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eu/Desktop/"/>
    </mc:Choice>
  </mc:AlternateContent>
  <xr:revisionPtr revIDLastSave="0" documentId="13_ncr:1_{D901818A-6E47-2947-876A-A7DF265BE3EB}" xr6:coauthVersionLast="45" xr6:coauthVersionMax="45" xr10:uidLastSave="{00000000-0000-0000-0000-000000000000}"/>
  <bookViews>
    <workbookView xWindow="2400" yWindow="460" windowWidth="25420" windowHeight="16500" activeTab="1" xr2:uid="{E1376F86-6745-4E5F-ABDC-43AC7A8D6F86}"/>
  </bookViews>
  <sheets>
    <sheet name="2010-2020 (2)" sheetId="1" r:id="rId1"/>
    <sheet name="24_1_2025" sheetId="6" r:id="rId2"/>
    <sheet name="From stata" sheetId="4" r:id="rId3"/>
    <sheet name="Sheet4" sheetId="5" r:id="rId4"/>
    <sheet name="Sheet2" sheetId="3" r:id="rId5"/>
    <sheet name="loginexcel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98" i="5" l="1"/>
  <c r="U298" i="5"/>
  <c r="S298" i="5"/>
  <c r="X297" i="5"/>
  <c r="U297" i="5"/>
  <c r="S297" i="5"/>
  <c r="X296" i="5"/>
  <c r="U296" i="5"/>
  <c r="S296" i="5"/>
  <c r="X295" i="5"/>
  <c r="U295" i="5"/>
  <c r="S295" i="5"/>
  <c r="X294" i="5"/>
  <c r="U294" i="5"/>
  <c r="S294" i="5"/>
  <c r="X293" i="5"/>
  <c r="U293" i="5"/>
  <c r="S293" i="5"/>
  <c r="X292" i="5"/>
  <c r="U292" i="5"/>
  <c r="S292" i="5"/>
  <c r="X291" i="5"/>
  <c r="U291" i="5"/>
  <c r="S291" i="5"/>
  <c r="X290" i="5"/>
  <c r="U290" i="5"/>
  <c r="S290" i="5"/>
  <c r="X289" i="5"/>
  <c r="U289" i="5"/>
  <c r="S289" i="5"/>
  <c r="X288" i="5"/>
  <c r="U288" i="5"/>
  <c r="S288" i="5"/>
  <c r="X287" i="5"/>
  <c r="U287" i="5"/>
  <c r="S287" i="5"/>
  <c r="X286" i="5"/>
  <c r="U286" i="5"/>
  <c r="S286" i="5"/>
  <c r="X285" i="5"/>
  <c r="U285" i="5"/>
  <c r="S285" i="5"/>
  <c r="X284" i="5"/>
  <c r="U284" i="5"/>
  <c r="S284" i="5"/>
  <c r="X283" i="5"/>
  <c r="U283" i="5"/>
  <c r="S283" i="5"/>
  <c r="X282" i="5"/>
  <c r="U282" i="5"/>
  <c r="S282" i="5"/>
  <c r="X281" i="5"/>
  <c r="U281" i="5"/>
  <c r="S281" i="5"/>
  <c r="X280" i="5"/>
  <c r="U280" i="5"/>
  <c r="S280" i="5"/>
  <c r="X279" i="5"/>
  <c r="U279" i="5"/>
  <c r="S279" i="5"/>
  <c r="X278" i="5"/>
  <c r="U278" i="5"/>
  <c r="S278" i="5"/>
  <c r="X277" i="5"/>
  <c r="U277" i="5"/>
  <c r="S277" i="5"/>
  <c r="X276" i="5"/>
  <c r="U276" i="5"/>
  <c r="S276" i="5"/>
  <c r="X275" i="5"/>
  <c r="U275" i="5"/>
  <c r="S275" i="5"/>
  <c r="X274" i="5"/>
  <c r="U274" i="5"/>
  <c r="S274" i="5"/>
  <c r="X273" i="5"/>
  <c r="U273" i="5"/>
  <c r="S273" i="5"/>
  <c r="X272" i="5"/>
  <c r="U272" i="5"/>
  <c r="S272" i="5"/>
  <c r="X271" i="5"/>
  <c r="U271" i="5"/>
  <c r="S271" i="5"/>
  <c r="X270" i="5"/>
  <c r="U270" i="5"/>
  <c r="S270" i="5"/>
  <c r="X269" i="5"/>
  <c r="U269" i="5"/>
  <c r="S269" i="5"/>
  <c r="X268" i="5"/>
  <c r="U268" i="5"/>
  <c r="S268" i="5"/>
  <c r="X267" i="5"/>
  <c r="U267" i="5"/>
  <c r="S267" i="5"/>
  <c r="X266" i="5"/>
  <c r="U266" i="5"/>
  <c r="S266" i="5"/>
  <c r="X265" i="5"/>
  <c r="U265" i="5"/>
  <c r="S265" i="5"/>
  <c r="X264" i="5"/>
  <c r="U264" i="5"/>
  <c r="S264" i="5"/>
  <c r="X263" i="5"/>
  <c r="U263" i="5"/>
  <c r="S263" i="5"/>
  <c r="X262" i="5"/>
  <c r="U262" i="5"/>
  <c r="S262" i="5"/>
  <c r="X261" i="5"/>
  <c r="U261" i="5"/>
  <c r="S261" i="5"/>
  <c r="X260" i="5"/>
  <c r="U260" i="5"/>
  <c r="S260" i="5"/>
  <c r="X259" i="5"/>
  <c r="U259" i="5"/>
  <c r="S259" i="5"/>
  <c r="X258" i="5"/>
  <c r="U258" i="5"/>
  <c r="S258" i="5"/>
  <c r="X257" i="5"/>
  <c r="U257" i="5"/>
  <c r="S257" i="5"/>
  <c r="X256" i="5"/>
  <c r="U256" i="5"/>
  <c r="S256" i="5"/>
  <c r="X255" i="5"/>
  <c r="U255" i="5"/>
  <c r="S255" i="5"/>
  <c r="X254" i="5"/>
  <c r="U254" i="5"/>
  <c r="S254" i="5"/>
  <c r="X253" i="5"/>
  <c r="U253" i="5"/>
  <c r="S253" i="5"/>
  <c r="X252" i="5"/>
  <c r="U252" i="5"/>
  <c r="S252" i="5"/>
  <c r="X251" i="5"/>
  <c r="U251" i="5"/>
  <c r="S251" i="5"/>
  <c r="X250" i="5"/>
  <c r="U250" i="5"/>
  <c r="S250" i="5"/>
  <c r="X249" i="5"/>
  <c r="U249" i="5"/>
  <c r="S249" i="5"/>
  <c r="X248" i="5"/>
  <c r="U248" i="5"/>
  <c r="S248" i="5"/>
  <c r="X247" i="5"/>
  <c r="U247" i="5"/>
  <c r="S247" i="5"/>
  <c r="X246" i="5"/>
  <c r="U246" i="5"/>
  <c r="S246" i="5"/>
  <c r="X245" i="5"/>
  <c r="U245" i="5"/>
  <c r="S245" i="5"/>
  <c r="X244" i="5"/>
  <c r="U244" i="5"/>
  <c r="S244" i="5"/>
  <c r="X243" i="5"/>
  <c r="U243" i="5"/>
  <c r="S243" i="5"/>
  <c r="X242" i="5"/>
  <c r="U242" i="5"/>
  <c r="S242" i="5"/>
  <c r="X241" i="5"/>
  <c r="U241" i="5"/>
  <c r="S241" i="5"/>
  <c r="X240" i="5"/>
  <c r="U240" i="5"/>
  <c r="S240" i="5"/>
  <c r="X239" i="5"/>
  <c r="U239" i="5"/>
  <c r="S239" i="5"/>
  <c r="X238" i="5"/>
  <c r="U238" i="5"/>
  <c r="S238" i="5"/>
  <c r="X237" i="5"/>
  <c r="U237" i="5"/>
  <c r="S237" i="5"/>
  <c r="X236" i="5"/>
  <c r="U236" i="5"/>
  <c r="S236" i="5"/>
  <c r="X235" i="5"/>
  <c r="U235" i="5"/>
  <c r="S235" i="5"/>
  <c r="X234" i="5"/>
  <c r="U234" i="5"/>
  <c r="S234" i="5"/>
  <c r="X233" i="5"/>
  <c r="U233" i="5"/>
  <c r="S233" i="5"/>
  <c r="X232" i="5"/>
  <c r="U232" i="5"/>
  <c r="S232" i="5"/>
  <c r="X231" i="5"/>
  <c r="U231" i="5"/>
  <c r="S231" i="5"/>
  <c r="X230" i="5"/>
  <c r="U230" i="5"/>
  <c r="S230" i="5"/>
  <c r="X229" i="5"/>
  <c r="U229" i="5"/>
  <c r="S229" i="5"/>
  <c r="X228" i="5"/>
  <c r="U228" i="5"/>
  <c r="S228" i="5"/>
  <c r="X227" i="5"/>
  <c r="U227" i="5"/>
  <c r="S227" i="5"/>
  <c r="X226" i="5"/>
  <c r="U226" i="5"/>
  <c r="S226" i="5"/>
  <c r="X225" i="5"/>
  <c r="U225" i="5"/>
  <c r="S225" i="5"/>
  <c r="X224" i="5"/>
  <c r="U224" i="5"/>
  <c r="S224" i="5"/>
  <c r="X223" i="5"/>
  <c r="U223" i="5"/>
  <c r="S223" i="5"/>
  <c r="X222" i="5"/>
  <c r="U222" i="5"/>
  <c r="S222" i="5"/>
  <c r="X221" i="5"/>
  <c r="U221" i="5"/>
  <c r="S221" i="5"/>
  <c r="X220" i="5"/>
  <c r="U220" i="5"/>
  <c r="S220" i="5"/>
  <c r="X219" i="5"/>
  <c r="U219" i="5"/>
  <c r="S219" i="5"/>
  <c r="X218" i="5"/>
  <c r="U218" i="5"/>
  <c r="S218" i="5"/>
  <c r="X217" i="5"/>
  <c r="U217" i="5"/>
  <c r="S217" i="5"/>
  <c r="X216" i="5"/>
  <c r="U216" i="5"/>
  <c r="S216" i="5"/>
  <c r="X215" i="5"/>
  <c r="U215" i="5"/>
  <c r="S215" i="5"/>
  <c r="X214" i="5"/>
  <c r="U214" i="5"/>
  <c r="S214" i="5"/>
  <c r="X213" i="5"/>
  <c r="U213" i="5"/>
  <c r="S213" i="5"/>
  <c r="X212" i="5"/>
  <c r="U212" i="5"/>
  <c r="S212" i="5"/>
  <c r="X211" i="5"/>
  <c r="U211" i="5"/>
  <c r="S211" i="5"/>
  <c r="X210" i="5"/>
  <c r="U210" i="5"/>
  <c r="S210" i="5"/>
  <c r="X209" i="5"/>
  <c r="U209" i="5"/>
  <c r="S209" i="5"/>
  <c r="X208" i="5"/>
  <c r="U208" i="5"/>
  <c r="S208" i="5"/>
  <c r="X207" i="5"/>
  <c r="U207" i="5"/>
  <c r="S207" i="5"/>
  <c r="X206" i="5"/>
  <c r="U206" i="5"/>
  <c r="S206" i="5"/>
  <c r="X205" i="5"/>
  <c r="U205" i="5"/>
  <c r="S205" i="5"/>
  <c r="X204" i="5"/>
  <c r="U204" i="5"/>
  <c r="S204" i="5"/>
  <c r="X203" i="5"/>
  <c r="U203" i="5"/>
  <c r="S203" i="5"/>
  <c r="X202" i="5"/>
  <c r="U202" i="5"/>
  <c r="S202" i="5"/>
  <c r="X201" i="5"/>
  <c r="U201" i="5"/>
  <c r="S201" i="5"/>
  <c r="X200" i="5"/>
  <c r="U200" i="5"/>
  <c r="S200" i="5"/>
  <c r="X199" i="5"/>
  <c r="U199" i="5"/>
  <c r="S199" i="5"/>
  <c r="X198" i="5"/>
  <c r="U198" i="5"/>
  <c r="S198" i="5"/>
  <c r="X197" i="5"/>
  <c r="U197" i="5"/>
  <c r="S197" i="5"/>
  <c r="X196" i="5"/>
  <c r="U196" i="5"/>
  <c r="S196" i="5"/>
  <c r="X195" i="5"/>
  <c r="U195" i="5"/>
  <c r="S195" i="5"/>
  <c r="X194" i="5"/>
  <c r="U194" i="5"/>
  <c r="S194" i="5"/>
  <c r="X193" i="5"/>
  <c r="U193" i="5"/>
  <c r="S193" i="5"/>
  <c r="X192" i="5"/>
  <c r="U192" i="5"/>
  <c r="S192" i="5"/>
  <c r="X191" i="5"/>
  <c r="U191" i="5"/>
  <c r="S191" i="5"/>
  <c r="X190" i="5"/>
  <c r="U190" i="5"/>
  <c r="S190" i="5"/>
  <c r="X189" i="5"/>
  <c r="U189" i="5"/>
  <c r="S189" i="5"/>
  <c r="X188" i="5"/>
  <c r="U188" i="5"/>
  <c r="S188" i="5"/>
  <c r="X187" i="5"/>
  <c r="U187" i="5"/>
  <c r="S187" i="5"/>
  <c r="X186" i="5"/>
  <c r="U186" i="5"/>
  <c r="S186" i="5"/>
  <c r="X185" i="5"/>
  <c r="U185" i="5"/>
  <c r="S185" i="5"/>
  <c r="X184" i="5"/>
  <c r="U184" i="5"/>
  <c r="S184" i="5"/>
  <c r="X183" i="5"/>
  <c r="U183" i="5"/>
  <c r="S183" i="5"/>
  <c r="X182" i="5"/>
  <c r="U182" i="5"/>
  <c r="S182" i="5"/>
  <c r="X181" i="5"/>
  <c r="U181" i="5"/>
  <c r="S181" i="5"/>
  <c r="X180" i="5"/>
  <c r="U180" i="5"/>
  <c r="S180" i="5"/>
  <c r="X179" i="5"/>
  <c r="U179" i="5"/>
  <c r="S179" i="5"/>
  <c r="X178" i="5"/>
  <c r="U178" i="5"/>
  <c r="S178" i="5"/>
  <c r="X177" i="5"/>
  <c r="U177" i="5"/>
  <c r="S177" i="5"/>
  <c r="X176" i="5"/>
  <c r="U176" i="5"/>
  <c r="S176" i="5"/>
  <c r="X175" i="5"/>
  <c r="U175" i="5"/>
  <c r="S175" i="5"/>
  <c r="X174" i="5"/>
  <c r="U174" i="5"/>
  <c r="S174" i="5"/>
  <c r="X173" i="5"/>
  <c r="U173" i="5"/>
  <c r="S173" i="5"/>
  <c r="X172" i="5"/>
  <c r="U172" i="5"/>
  <c r="S172" i="5"/>
  <c r="X171" i="5"/>
  <c r="U171" i="5"/>
  <c r="S171" i="5"/>
  <c r="X170" i="5"/>
  <c r="U170" i="5"/>
  <c r="S170" i="5"/>
  <c r="X169" i="5"/>
  <c r="U169" i="5"/>
  <c r="S169" i="5"/>
  <c r="X168" i="5"/>
  <c r="U168" i="5"/>
  <c r="S168" i="5"/>
  <c r="X167" i="5"/>
  <c r="U167" i="5"/>
  <c r="S167" i="5"/>
  <c r="X166" i="5"/>
  <c r="U166" i="5"/>
  <c r="S166" i="5"/>
  <c r="X165" i="5"/>
  <c r="U165" i="5"/>
  <c r="S165" i="5"/>
  <c r="X164" i="5"/>
  <c r="U164" i="5"/>
  <c r="S164" i="5"/>
  <c r="X163" i="5"/>
  <c r="U163" i="5"/>
  <c r="S163" i="5"/>
  <c r="X162" i="5"/>
  <c r="U162" i="5"/>
  <c r="S162" i="5"/>
  <c r="X161" i="5"/>
  <c r="U161" i="5"/>
  <c r="S161" i="5"/>
  <c r="X160" i="5"/>
  <c r="U160" i="5"/>
  <c r="S160" i="5"/>
  <c r="X159" i="5"/>
  <c r="U159" i="5"/>
  <c r="S159" i="5"/>
  <c r="X158" i="5"/>
  <c r="U158" i="5"/>
  <c r="S158" i="5"/>
  <c r="X157" i="5"/>
  <c r="U157" i="5"/>
  <c r="S157" i="5"/>
  <c r="X156" i="5"/>
  <c r="U156" i="5"/>
  <c r="S156" i="5"/>
  <c r="X155" i="5"/>
  <c r="U155" i="5"/>
  <c r="S155" i="5"/>
  <c r="X154" i="5"/>
  <c r="U154" i="5"/>
  <c r="S154" i="5"/>
  <c r="X153" i="5"/>
  <c r="U153" i="5"/>
  <c r="S153" i="5"/>
  <c r="X152" i="5"/>
  <c r="U152" i="5"/>
  <c r="S152" i="5"/>
  <c r="X151" i="5"/>
  <c r="U151" i="5"/>
  <c r="S151" i="5"/>
  <c r="X150" i="5"/>
  <c r="U150" i="5"/>
  <c r="S150" i="5"/>
  <c r="X149" i="5"/>
  <c r="U149" i="5"/>
  <c r="S149" i="5"/>
  <c r="X148" i="5"/>
  <c r="U148" i="5"/>
  <c r="S148" i="5"/>
  <c r="X147" i="5"/>
  <c r="U147" i="5"/>
  <c r="S147" i="5"/>
  <c r="X146" i="5"/>
  <c r="U146" i="5"/>
  <c r="S146" i="5"/>
  <c r="X145" i="5"/>
  <c r="U145" i="5"/>
  <c r="S145" i="5"/>
  <c r="X144" i="5"/>
  <c r="U144" i="5"/>
  <c r="S144" i="5"/>
  <c r="X143" i="5"/>
  <c r="U143" i="5"/>
  <c r="S143" i="5"/>
  <c r="X142" i="5"/>
  <c r="U142" i="5"/>
  <c r="S142" i="5"/>
  <c r="X141" i="5"/>
  <c r="U141" i="5"/>
  <c r="S141" i="5"/>
  <c r="X140" i="5"/>
  <c r="U140" i="5"/>
  <c r="S140" i="5"/>
  <c r="X139" i="5"/>
  <c r="U139" i="5"/>
  <c r="S139" i="5"/>
  <c r="X138" i="5"/>
  <c r="U138" i="5"/>
  <c r="S138" i="5"/>
  <c r="X137" i="5"/>
  <c r="U137" i="5"/>
  <c r="S137" i="5"/>
  <c r="X136" i="5"/>
  <c r="U136" i="5"/>
  <c r="S136" i="5"/>
  <c r="X135" i="5"/>
  <c r="U135" i="5"/>
  <c r="S135" i="5"/>
  <c r="X134" i="5"/>
  <c r="U134" i="5"/>
  <c r="S134" i="5"/>
  <c r="X133" i="5"/>
  <c r="U133" i="5"/>
  <c r="S133" i="5"/>
  <c r="X132" i="5"/>
  <c r="U132" i="5"/>
  <c r="S132" i="5"/>
  <c r="X131" i="5"/>
  <c r="U131" i="5"/>
  <c r="S131" i="5"/>
  <c r="X130" i="5"/>
  <c r="U130" i="5"/>
  <c r="S130" i="5"/>
  <c r="X129" i="5"/>
  <c r="U129" i="5"/>
  <c r="S129" i="5"/>
  <c r="X128" i="5"/>
  <c r="U128" i="5"/>
  <c r="S128" i="5"/>
  <c r="X127" i="5"/>
  <c r="U127" i="5"/>
  <c r="S127" i="5"/>
  <c r="X126" i="5"/>
  <c r="U126" i="5"/>
  <c r="S126" i="5"/>
  <c r="X125" i="5"/>
  <c r="U125" i="5"/>
  <c r="S125" i="5"/>
  <c r="X124" i="5"/>
  <c r="U124" i="5"/>
  <c r="S124" i="5"/>
  <c r="X123" i="5"/>
  <c r="U123" i="5"/>
  <c r="S123" i="5"/>
  <c r="X122" i="5"/>
  <c r="U122" i="5"/>
  <c r="S122" i="5"/>
  <c r="X121" i="5"/>
  <c r="U121" i="5"/>
  <c r="S121" i="5"/>
  <c r="X120" i="5"/>
  <c r="U120" i="5"/>
  <c r="S120" i="5"/>
  <c r="X119" i="5"/>
  <c r="U119" i="5"/>
  <c r="S119" i="5"/>
  <c r="X118" i="5"/>
  <c r="U118" i="5"/>
  <c r="S118" i="5"/>
  <c r="X117" i="5"/>
  <c r="U117" i="5"/>
  <c r="S117" i="5"/>
  <c r="X116" i="5"/>
  <c r="U116" i="5"/>
  <c r="S116" i="5"/>
  <c r="X115" i="5"/>
  <c r="U115" i="5"/>
  <c r="S115" i="5"/>
  <c r="X114" i="5"/>
  <c r="U114" i="5"/>
  <c r="S114" i="5"/>
  <c r="X113" i="5"/>
  <c r="U113" i="5"/>
  <c r="S113" i="5"/>
  <c r="X112" i="5"/>
  <c r="U112" i="5"/>
  <c r="S112" i="5"/>
  <c r="X111" i="5"/>
  <c r="U111" i="5"/>
  <c r="S111" i="5"/>
  <c r="X110" i="5"/>
  <c r="U110" i="5"/>
  <c r="S110" i="5"/>
  <c r="X109" i="5"/>
  <c r="U109" i="5"/>
  <c r="S109" i="5"/>
  <c r="X108" i="5"/>
  <c r="U108" i="5"/>
  <c r="S108" i="5"/>
  <c r="X107" i="5"/>
  <c r="U107" i="5"/>
  <c r="S107" i="5"/>
  <c r="X106" i="5"/>
  <c r="U106" i="5"/>
  <c r="S106" i="5"/>
  <c r="X105" i="5"/>
  <c r="U105" i="5"/>
  <c r="S105" i="5"/>
  <c r="X104" i="5"/>
  <c r="U104" i="5"/>
  <c r="S104" i="5"/>
  <c r="X103" i="5"/>
  <c r="U103" i="5"/>
  <c r="S103" i="5"/>
  <c r="X102" i="5"/>
  <c r="U102" i="5"/>
  <c r="S102" i="5"/>
  <c r="X101" i="5"/>
  <c r="U101" i="5"/>
  <c r="S101" i="5"/>
  <c r="X100" i="5"/>
  <c r="U100" i="5"/>
  <c r="S100" i="5"/>
  <c r="X99" i="5"/>
  <c r="U99" i="5"/>
  <c r="S99" i="5"/>
  <c r="X98" i="5"/>
  <c r="U98" i="5"/>
  <c r="S98" i="5"/>
  <c r="X97" i="5"/>
  <c r="U97" i="5"/>
  <c r="S97" i="5"/>
  <c r="X96" i="5"/>
  <c r="U96" i="5"/>
  <c r="S96" i="5"/>
  <c r="X95" i="5"/>
  <c r="U95" i="5"/>
  <c r="S95" i="5"/>
  <c r="X94" i="5"/>
  <c r="U94" i="5"/>
  <c r="S94" i="5"/>
  <c r="X93" i="5"/>
  <c r="U93" i="5"/>
  <c r="S93" i="5"/>
  <c r="X92" i="5"/>
  <c r="U92" i="5"/>
  <c r="S92" i="5"/>
  <c r="X91" i="5"/>
  <c r="U91" i="5"/>
  <c r="S91" i="5"/>
  <c r="X90" i="5"/>
  <c r="U90" i="5"/>
  <c r="S90" i="5"/>
  <c r="X89" i="5"/>
  <c r="U89" i="5"/>
  <c r="S89" i="5"/>
  <c r="X88" i="5"/>
  <c r="U88" i="5"/>
  <c r="S88" i="5"/>
  <c r="X87" i="5"/>
  <c r="U87" i="5"/>
  <c r="S87" i="5"/>
  <c r="X86" i="5"/>
  <c r="U86" i="5"/>
  <c r="S86" i="5"/>
  <c r="X85" i="5"/>
  <c r="U85" i="5"/>
  <c r="S85" i="5"/>
  <c r="X84" i="5"/>
  <c r="U84" i="5"/>
  <c r="S84" i="5"/>
  <c r="X83" i="5"/>
  <c r="U83" i="5"/>
  <c r="S83" i="5"/>
  <c r="X82" i="5"/>
  <c r="U82" i="5"/>
  <c r="S82" i="5"/>
  <c r="X81" i="5"/>
  <c r="U81" i="5"/>
  <c r="S81" i="5"/>
  <c r="X80" i="5"/>
  <c r="U80" i="5"/>
  <c r="S80" i="5"/>
  <c r="X79" i="5"/>
  <c r="U79" i="5"/>
  <c r="S79" i="5"/>
  <c r="X78" i="5"/>
  <c r="U78" i="5"/>
  <c r="S78" i="5"/>
  <c r="X77" i="5"/>
  <c r="U77" i="5"/>
  <c r="S77" i="5"/>
  <c r="X76" i="5"/>
  <c r="U76" i="5"/>
  <c r="S76" i="5"/>
  <c r="X75" i="5"/>
  <c r="U75" i="5"/>
  <c r="S75" i="5"/>
  <c r="X74" i="5"/>
  <c r="U74" i="5"/>
  <c r="S74" i="5"/>
  <c r="X73" i="5"/>
  <c r="U73" i="5"/>
  <c r="S73" i="5"/>
  <c r="X72" i="5"/>
  <c r="U72" i="5"/>
  <c r="S72" i="5"/>
  <c r="X71" i="5"/>
  <c r="U71" i="5"/>
  <c r="S71" i="5"/>
  <c r="X70" i="5"/>
  <c r="U70" i="5"/>
  <c r="S70" i="5"/>
  <c r="X69" i="5"/>
  <c r="U69" i="5"/>
  <c r="S69" i="5"/>
  <c r="X68" i="5"/>
  <c r="U68" i="5"/>
  <c r="S68" i="5"/>
  <c r="X67" i="5"/>
  <c r="U67" i="5"/>
  <c r="S67" i="5"/>
  <c r="X66" i="5"/>
  <c r="U66" i="5"/>
  <c r="S66" i="5"/>
  <c r="X65" i="5"/>
  <c r="U65" i="5"/>
  <c r="S65" i="5"/>
  <c r="X64" i="5"/>
  <c r="U64" i="5"/>
  <c r="S64" i="5"/>
  <c r="X63" i="5"/>
  <c r="U63" i="5"/>
  <c r="S63" i="5"/>
  <c r="X62" i="5"/>
  <c r="U62" i="5"/>
  <c r="S62" i="5"/>
  <c r="X61" i="5"/>
  <c r="U61" i="5"/>
  <c r="S61" i="5"/>
  <c r="X60" i="5"/>
  <c r="U60" i="5"/>
  <c r="S60" i="5"/>
  <c r="X59" i="5"/>
  <c r="U59" i="5"/>
  <c r="S59" i="5"/>
  <c r="X58" i="5"/>
  <c r="U58" i="5"/>
  <c r="S58" i="5"/>
  <c r="X57" i="5"/>
  <c r="U57" i="5"/>
  <c r="S57" i="5"/>
  <c r="X56" i="5"/>
  <c r="U56" i="5"/>
  <c r="S56" i="5"/>
  <c r="X55" i="5"/>
  <c r="U55" i="5"/>
  <c r="S55" i="5"/>
  <c r="X54" i="5"/>
  <c r="U54" i="5"/>
  <c r="S54" i="5"/>
  <c r="X53" i="5"/>
  <c r="U53" i="5"/>
  <c r="S53" i="5"/>
  <c r="X52" i="5"/>
  <c r="U52" i="5"/>
  <c r="S52" i="5"/>
  <c r="X51" i="5"/>
  <c r="U51" i="5"/>
  <c r="S51" i="5"/>
  <c r="X50" i="5"/>
  <c r="U50" i="5"/>
  <c r="S50" i="5"/>
  <c r="X49" i="5"/>
  <c r="U49" i="5"/>
  <c r="S49" i="5"/>
  <c r="X48" i="5"/>
  <c r="U48" i="5"/>
  <c r="S48" i="5"/>
  <c r="X47" i="5"/>
  <c r="U47" i="5"/>
  <c r="S47" i="5"/>
  <c r="X46" i="5"/>
  <c r="U46" i="5"/>
  <c r="S46" i="5"/>
  <c r="X45" i="5"/>
  <c r="U45" i="5"/>
  <c r="S45" i="5"/>
  <c r="X44" i="5"/>
  <c r="U44" i="5"/>
  <c r="S44" i="5"/>
  <c r="X43" i="5"/>
  <c r="U43" i="5"/>
  <c r="S43" i="5"/>
  <c r="X42" i="5"/>
  <c r="U42" i="5"/>
  <c r="S42" i="5"/>
  <c r="X41" i="5"/>
  <c r="U41" i="5"/>
  <c r="S41" i="5"/>
  <c r="X40" i="5"/>
  <c r="U40" i="5"/>
  <c r="S40" i="5"/>
  <c r="X39" i="5"/>
  <c r="U39" i="5"/>
  <c r="S39" i="5"/>
  <c r="X38" i="5"/>
  <c r="U38" i="5"/>
  <c r="S38" i="5"/>
  <c r="X37" i="5"/>
  <c r="U37" i="5"/>
  <c r="S37" i="5"/>
  <c r="X36" i="5"/>
  <c r="U36" i="5"/>
  <c r="S36" i="5"/>
  <c r="X35" i="5"/>
  <c r="U35" i="5"/>
  <c r="S35" i="5"/>
  <c r="X34" i="5"/>
  <c r="U34" i="5"/>
  <c r="S34" i="5"/>
  <c r="X33" i="5"/>
  <c r="U33" i="5"/>
  <c r="S33" i="5"/>
  <c r="X32" i="5"/>
  <c r="U32" i="5"/>
  <c r="S32" i="5"/>
  <c r="X31" i="5"/>
  <c r="U31" i="5"/>
  <c r="S31" i="5"/>
  <c r="X30" i="5"/>
  <c r="U30" i="5"/>
  <c r="S30" i="5"/>
  <c r="X29" i="5"/>
  <c r="U29" i="5"/>
  <c r="S29" i="5"/>
  <c r="X28" i="5"/>
  <c r="U28" i="5"/>
  <c r="S28" i="5"/>
  <c r="X27" i="5"/>
  <c r="U27" i="5"/>
  <c r="S27" i="5"/>
  <c r="X26" i="5"/>
  <c r="U26" i="5"/>
  <c r="S26" i="5"/>
  <c r="X25" i="5"/>
  <c r="U25" i="5"/>
  <c r="S25" i="5"/>
  <c r="X24" i="5"/>
  <c r="U24" i="5"/>
  <c r="S24" i="5"/>
  <c r="X23" i="5"/>
  <c r="U23" i="5"/>
  <c r="S23" i="5"/>
  <c r="X22" i="5"/>
  <c r="U22" i="5"/>
  <c r="S22" i="5"/>
  <c r="X21" i="5"/>
  <c r="U21" i="5"/>
  <c r="S21" i="5"/>
  <c r="X20" i="5"/>
  <c r="U20" i="5"/>
  <c r="S20" i="5"/>
  <c r="X19" i="5"/>
  <c r="U19" i="5"/>
  <c r="S19" i="5"/>
  <c r="X18" i="5"/>
  <c r="U18" i="5"/>
  <c r="S18" i="5"/>
  <c r="X17" i="5"/>
  <c r="U17" i="5"/>
  <c r="S17" i="5"/>
  <c r="X16" i="5"/>
  <c r="U16" i="5"/>
  <c r="S16" i="5"/>
  <c r="X15" i="5"/>
  <c r="U15" i="5"/>
  <c r="S15" i="5"/>
  <c r="X14" i="5"/>
  <c r="U14" i="5"/>
  <c r="S14" i="5"/>
  <c r="X13" i="5"/>
  <c r="U13" i="5"/>
  <c r="S13" i="5"/>
  <c r="X12" i="5"/>
  <c r="U12" i="5"/>
  <c r="S12" i="5"/>
  <c r="X11" i="5"/>
  <c r="U11" i="5"/>
  <c r="S11" i="5"/>
  <c r="X10" i="5"/>
  <c r="U10" i="5"/>
  <c r="S10" i="5"/>
  <c r="X9" i="5"/>
  <c r="U9" i="5"/>
  <c r="S9" i="5"/>
  <c r="X8" i="5"/>
  <c r="U8" i="5"/>
  <c r="S8" i="5"/>
  <c r="X7" i="5"/>
  <c r="U7" i="5"/>
  <c r="S7" i="5"/>
  <c r="X6" i="5"/>
  <c r="U6" i="5"/>
  <c r="S6" i="5"/>
  <c r="X5" i="5"/>
  <c r="U5" i="5"/>
  <c r="S5" i="5"/>
  <c r="X4" i="5"/>
  <c r="U4" i="5"/>
  <c r="S4" i="5"/>
  <c r="X3" i="5"/>
  <c r="U3" i="5"/>
  <c r="S3" i="5"/>
  <c r="X2" i="5"/>
  <c r="U2" i="5"/>
  <c r="S2" i="5"/>
  <c r="AK113" i="2" l="1"/>
  <c r="AB215" i="2"/>
  <c r="AB216" i="2"/>
  <c r="AB222" i="2"/>
  <c r="AB223" i="2"/>
  <c r="AB224" i="2"/>
  <c r="AB225" i="2"/>
  <c r="AB226" i="2"/>
  <c r="AS298" i="2" l="1"/>
  <c r="AK298" i="2"/>
  <c r="AI298" i="2"/>
  <c r="AF298" i="2"/>
  <c r="AD298" i="2"/>
  <c r="X298" i="2"/>
  <c r="V298" i="2"/>
  <c r="T298" i="2"/>
  <c r="Q298" i="2"/>
  <c r="O298" i="2"/>
  <c r="M298" i="2"/>
  <c r="F298" i="2"/>
  <c r="AS297" i="2"/>
  <c r="AK297" i="2"/>
  <c r="AI297" i="2"/>
  <c r="AF297" i="2"/>
  <c r="AD297" i="2"/>
  <c r="AB297" i="2"/>
  <c r="X297" i="2"/>
  <c r="V297" i="2"/>
  <c r="T297" i="2"/>
  <c r="Q297" i="2"/>
  <c r="O297" i="2"/>
  <c r="M297" i="2"/>
  <c r="F297" i="2"/>
  <c r="AS296" i="2"/>
  <c r="AN296" i="2"/>
  <c r="AK296" i="2"/>
  <c r="AI296" i="2"/>
  <c r="AF296" i="2"/>
  <c r="AD296" i="2"/>
  <c r="AB296" i="2"/>
  <c r="X296" i="2"/>
  <c r="V296" i="2"/>
  <c r="T296" i="2"/>
  <c r="Q296" i="2"/>
  <c r="O296" i="2"/>
  <c r="M296" i="2"/>
  <c r="F296" i="2"/>
  <c r="AS295" i="2"/>
  <c r="AN295" i="2"/>
  <c r="AK295" i="2"/>
  <c r="AI295" i="2"/>
  <c r="AF295" i="2"/>
  <c r="AD295" i="2"/>
  <c r="AB295" i="2"/>
  <c r="X295" i="2"/>
  <c r="V295" i="2"/>
  <c r="T295" i="2"/>
  <c r="Q295" i="2"/>
  <c r="O295" i="2"/>
  <c r="M295" i="2"/>
  <c r="F295" i="2"/>
  <c r="AS294" i="2"/>
  <c r="AN294" i="2"/>
  <c r="AK294" i="2"/>
  <c r="AI294" i="2"/>
  <c r="AF294" i="2"/>
  <c r="AD294" i="2"/>
  <c r="X294" i="2"/>
  <c r="V294" i="2"/>
  <c r="T294" i="2"/>
  <c r="Q294" i="2"/>
  <c r="O294" i="2"/>
  <c r="M294" i="2"/>
  <c r="F294" i="2"/>
  <c r="AS293" i="2"/>
  <c r="AN293" i="2"/>
  <c r="AK293" i="2"/>
  <c r="AI293" i="2"/>
  <c r="AF293" i="2"/>
  <c r="AD293" i="2"/>
  <c r="AB293" i="2"/>
  <c r="X293" i="2"/>
  <c r="V293" i="2"/>
  <c r="T293" i="2"/>
  <c r="Q293" i="2"/>
  <c r="O293" i="2"/>
  <c r="M293" i="2"/>
  <c r="F293" i="2"/>
  <c r="AS292" i="2"/>
  <c r="AN292" i="2"/>
  <c r="AK292" i="2"/>
  <c r="AI292" i="2"/>
  <c r="AF292" i="2"/>
  <c r="AD292" i="2"/>
  <c r="AB292" i="2"/>
  <c r="X292" i="2"/>
  <c r="V292" i="2"/>
  <c r="T292" i="2"/>
  <c r="Q292" i="2"/>
  <c r="O292" i="2"/>
  <c r="M292" i="2"/>
  <c r="F292" i="2"/>
  <c r="AS291" i="2"/>
  <c r="AN291" i="2"/>
  <c r="AK291" i="2"/>
  <c r="AI291" i="2"/>
  <c r="AF291" i="2"/>
  <c r="AD291" i="2"/>
  <c r="AB291" i="2"/>
  <c r="X291" i="2"/>
  <c r="V291" i="2"/>
  <c r="T291" i="2"/>
  <c r="Q291" i="2"/>
  <c r="O291" i="2"/>
  <c r="M291" i="2"/>
  <c r="F291" i="2"/>
  <c r="AS290" i="2"/>
  <c r="AN290" i="2"/>
  <c r="AK290" i="2"/>
  <c r="AI290" i="2"/>
  <c r="AF290" i="2"/>
  <c r="AD290" i="2"/>
  <c r="AB290" i="2"/>
  <c r="X290" i="2"/>
  <c r="V290" i="2"/>
  <c r="T290" i="2"/>
  <c r="Q290" i="2"/>
  <c r="O290" i="2"/>
  <c r="M290" i="2"/>
  <c r="F290" i="2"/>
  <c r="AS289" i="2"/>
  <c r="AN289" i="2"/>
  <c r="AK289" i="2"/>
  <c r="AI289" i="2"/>
  <c r="AF289" i="2"/>
  <c r="AD289" i="2"/>
  <c r="X289" i="2"/>
  <c r="V289" i="2"/>
  <c r="T289" i="2"/>
  <c r="Q289" i="2"/>
  <c r="O289" i="2"/>
  <c r="M289" i="2"/>
  <c r="F289" i="2"/>
  <c r="AS288" i="2"/>
  <c r="AN288" i="2"/>
  <c r="AK288" i="2"/>
  <c r="AI288" i="2"/>
  <c r="AF288" i="2"/>
  <c r="AD288" i="2"/>
  <c r="X288" i="2"/>
  <c r="V288" i="2"/>
  <c r="T288" i="2"/>
  <c r="Q288" i="2"/>
  <c r="O288" i="2"/>
  <c r="M288" i="2"/>
  <c r="F288" i="2"/>
  <c r="AS287" i="2"/>
  <c r="AN287" i="2"/>
  <c r="AK287" i="2"/>
  <c r="AI287" i="2"/>
  <c r="AF287" i="2"/>
  <c r="AD287" i="2"/>
  <c r="AB287" i="2"/>
  <c r="X287" i="2"/>
  <c r="V287" i="2"/>
  <c r="T287" i="2"/>
  <c r="Q287" i="2"/>
  <c r="O287" i="2"/>
  <c r="M287" i="2"/>
  <c r="F287" i="2"/>
  <c r="AS286" i="2"/>
  <c r="AN286" i="2"/>
  <c r="AK286" i="2"/>
  <c r="AI286" i="2"/>
  <c r="AF286" i="2"/>
  <c r="AD286" i="2"/>
  <c r="AB286" i="2"/>
  <c r="X286" i="2"/>
  <c r="V286" i="2"/>
  <c r="T286" i="2"/>
  <c r="Q286" i="2"/>
  <c r="O286" i="2"/>
  <c r="M286" i="2"/>
  <c r="F286" i="2"/>
  <c r="AS285" i="2"/>
  <c r="AN285" i="2"/>
  <c r="AK285" i="2"/>
  <c r="AI285" i="2"/>
  <c r="AF285" i="2"/>
  <c r="AD285" i="2"/>
  <c r="X285" i="2"/>
  <c r="V285" i="2"/>
  <c r="T285" i="2"/>
  <c r="Q285" i="2"/>
  <c r="O285" i="2"/>
  <c r="M285" i="2"/>
  <c r="F285" i="2"/>
  <c r="AS284" i="2"/>
  <c r="AN284" i="2"/>
  <c r="AK284" i="2"/>
  <c r="AI284" i="2"/>
  <c r="AF284" i="2"/>
  <c r="AD284" i="2"/>
  <c r="AB284" i="2"/>
  <c r="X284" i="2"/>
  <c r="V284" i="2"/>
  <c r="T284" i="2"/>
  <c r="Q284" i="2"/>
  <c r="O284" i="2"/>
  <c r="M284" i="2"/>
  <c r="F284" i="2"/>
  <c r="AS283" i="2"/>
  <c r="AN283" i="2"/>
  <c r="AK283" i="2"/>
  <c r="AI283" i="2"/>
  <c r="AF283" i="2"/>
  <c r="AD283" i="2"/>
  <c r="X283" i="2"/>
  <c r="V283" i="2"/>
  <c r="T283" i="2"/>
  <c r="Q283" i="2"/>
  <c r="O283" i="2"/>
  <c r="M283" i="2"/>
  <c r="F283" i="2"/>
  <c r="AS282" i="2"/>
  <c r="AN282" i="2"/>
  <c r="AK282" i="2"/>
  <c r="AI282" i="2"/>
  <c r="AF282" i="2"/>
  <c r="AD282" i="2"/>
  <c r="X282" i="2"/>
  <c r="V282" i="2"/>
  <c r="T282" i="2"/>
  <c r="Q282" i="2"/>
  <c r="O282" i="2"/>
  <c r="M282" i="2"/>
  <c r="F282" i="2"/>
  <c r="AS281" i="2"/>
  <c r="AN281" i="2"/>
  <c r="AK281" i="2"/>
  <c r="AI281" i="2"/>
  <c r="AF281" i="2"/>
  <c r="AD281" i="2"/>
  <c r="AB281" i="2"/>
  <c r="X281" i="2"/>
  <c r="V281" i="2"/>
  <c r="T281" i="2"/>
  <c r="Q281" i="2"/>
  <c r="O281" i="2"/>
  <c r="M281" i="2"/>
  <c r="F281" i="2"/>
  <c r="AS280" i="2"/>
  <c r="AN280" i="2"/>
  <c r="AK280" i="2"/>
  <c r="AI280" i="2"/>
  <c r="AF280" i="2"/>
  <c r="AD280" i="2"/>
  <c r="AB280" i="2"/>
  <c r="X280" i="2"/>
  <c r="V280" i="2"/>
  <c r="T280" i="2"/>
  <c r="Q280" i="2"/>
  <c r="O280" i="2"/>
  <c r="M280" i="2"/>
  <c r="F280" i="2"/>
  <c r="AS279" i="2"/>
  <c r="AN279" i="2"/>
  <c r="AK279" i="2"/>
  <c r="AI279" i="2"/>
  <c r="AF279" i="2"/>
  <c r="AD279" i="2"/>
  <c r="X279" i="2"/>
  <c r="V279" i="2"/>
  <c r="T279" i="2"/>
  <c r="Q279" i="2"/>
  <c r="O279" i="2"/>
  <c r="M279" i="2"/>
  <c r="F279" i="2"/>
  <c r="AS278" i="2"/>
  <c r="AN278" i="2"/>
  <c r="AK278" i="2"/>
  <c r="AI278" i="2"/>
  <c r="AF278" i="2"/>
  <c r="AD278" i="2"/>
  <c r="AB278" i="2"/>
  <c r="X278" i="2"/>
  <c r="V278" i="2"/>
  <c r="T278" i="2"/>
  <c r="Q278" i="2"/>
  <c r="O278" i="2"/>
  <c r="M278" i="2"/>
  <c r="F278" i="2"/>
  <c r="AS277" i="2"/>
  <c r="AN277" i="2"/>
  <c r="AK277" i="2"/>
  <c r="AI277" i="2"/>
  <c r="AF277" i="2"/>
  <c r="AD277" i="2"/>
  <c r="X277" i="2"/>
  <c r="V277" i="2"/>
  <c r="T277" i="2"/>
  <c r="Q277" i="2"/>
  <c r="O277" i="2"/>
  <c r="M277" i="2"/>
  <c r="F277" i="2"/>
  <c r="AS276" i="2"/>
  <c r="AK276" i="2"/>
  <c r="AI276" i="2"/>
  <c r="AF276" i="2"/>
  <c r="AD276" i="2"/>
  <c r="AB276" i="2"/>
  <c r="X276" i="2"/>
  <c r="V276" i="2"/>
  <c r="T276" i="2"/>
  <c r="Q276" i="2"/>
  <c r="O276" i="2"/>
  <c r="M276" i="2"/>
  <c r="F276" i="2"/>
  <c r="AS275" i="2"/>
  <c r="AK275" i="2"/>
  <c r="AI275" i="2"/>
  <c r="AF275" i="2"/>
  <c r="AD275" i="2"/>
  <c r="AB275" i="2"/>
  <c r="X275" i="2"/>
  <c r="V275" i="2"/>
  <c r="T275" i="2"/>
  <c r="Q275" i="2"/>
  <c r="O275" i="2"/>
  <c r="M275" i="2"/>
  <c r="F275" i="2"/>
  <c r="AS274" i="2"/>
  <c r="AN274" i="2"/>
  <c r="AK274" i="2"/>
  <c r="AI274" i="2"/>
  <c r="AF274" i="2"/>
  <c r="AD274" i="2"/>
  <c r="AB274" i="2"/>
  <c r="X274" i="2"/>
  <c r="V274" i="2"/>
  <c r="T274" i="2"/>
  <c r="Q274" i="2"/>
  <c r="O274" i="2"/>
  <c r="M274" i="2"/>
  <c r="F274" i="2"/>
  <c r="AS273" i="2"/>
  <c r="AN273" i="2"/>
  <c r="AK273" i="2"/>
  <c r="AI273" i="2"/>
  <c r="AF273" i="2"/>
  <c r="AD273" i="2"/>
  <c r="AB273" i="2"/>
  <c r="X273" i="2"/>
  <c r="V273" i="2"/>
  <c r="T273" i="2"/>
  <c r="Q273" i="2"/>
  <c r="O273" i="2"/>
  <c r="M273" i="2"/>
  <c r="F273" i="2"/>
  <c r="AS272" i="2"/>
  <c r="AN272" i="2"/>
  <c r="AK272" i="2"/>
  <c r="AI272" i="2"/>
  <c r="AF272" i="2"/>
  <c r="AD272" i="2"/>
  <c r="AB272" i="2"/>
  <c r="X272" i="2"/>
  <c r="V272" i="2"/>
  <c r="T272" i="2"/>
  <c r="Q272" i="2"/>
  <c r="O272" i="2"/>
  <c r="M272" i="2"/>
  <c r="F272" i="2"/>
  <c r="AS271" i="2"/>
  <c r="AN271" i="2"/>
  <c r="AK271" i="2"/>
  <c r="AI271" i="2"/>
  <c r="AF271" i="2"/>
  <c r="AD271" i="2"/>
  <c r="AB271" i="2"/>
  <c r="X271" i="2"/>
  <c r="V271" i="2"/>
  <c r="T271" i="2"/>
  <c r="Q271" i="2"/>
  <c r="O271" i="2"/>
  <c r="M271" i="2"/>
  <c r="F271" i="2"/>
  <c r="AS270" i="2"/>
  <c r="AN270" i="2"/>
  <c r="AK270" i="2"/>
  <c r="AI270" i="2"/>
  <c r="AF270" i="2"/>
  <c r="AD270" i="2"/>
  <c r="AB270" i="2"/>
  <c r="X270" i="2"/>
  <c r="V270" i="2"/>
  <c r="T270" i="2"/>
  <c r="Q270" i="2"/>
  <c r="O270" i="2"/>
  <c r="M270" i="2"/>
  <c r="F270" i="2"/>
  <c r="AS269" i="2"/>
  <c r="AN269" i="2"/>
  <c r="AK269" i="2"/>
  <c r="AI269" i="2"/>
  <c r="AF269" i="2"/>
  <c r="AD269" i="2"/>
  <c r="AB269" i="2"/>
  <c r="X269" i="2"/>
  <c r="V269" i="2"/>
  <c r="T269" i="2"/>
  <c r="Q269" i="2"/>
  <c r="O269" i="2"/>
  <c r="M269" i="2"/>
  <c r="F269" i="2"/>
  <c r="AS268" i="2"/>
  <c r="AN268" i="2"/>
  <c r="AK268" i="2"/>
  <c r="AI268" i="2"/>
  <c r="AF268" i="2"/>
  <c r="AD268" i="2"/>
  <c r="AB268" i="2"/>
  <c r="X268" i="2"/>
  <c r="V268" i="2"/>
  <c r="T268" i="2"/>
  <c r="Q268" i="2"/>
  <c r="O268" i="2"/>
  <c r="M268" i="2"/>
  <c r="F268" i="2"/>
  <c r="AS267" i="2"/>
  <c r="AN267" i="2"/>
  <c r="AK267" i="2"/>
  <c r="AI267" i="2"/>
  <c r="AF267" i="2"/>
  <c r="AD267" i="2"/>
  <c r="AB267" i="2"/>
  <c r="X267" i="2"/>
  <c r="V267" i="2"/>
  <c r="T267" i="2"/>
  <c r="Q267" i="2"/>
  <c r="O267" i="2"/>
  <c r="M267" i="2"/>
  <c r="F267" i="2"/>
  <c r="AS266" i="2"/>
  <c r="AN266" i="2"/>
  <c r="AK266" i="2"/>
  <c r="AI266" i="2"/>
  <c r="AF266" i="2"/>
  <c r="AD266" i="2"/>
  <c r="AB266" i="2"/>
  <c r="X266" i="2"/>
  <c r="V266" i="2"/>
  <c r="T266" i="2"/>
  <c r="Q266" i="2"/>
  <c r="O266" i="2"/>
  <c r="M266" i="2"/>
  <c r="F266" i="2"/>
  <c r="AS265" i="2"/>
  <c r="AK265" i="2"/>
  <c r="AI265" i="2"/>
  <c r="AF265" i="2"/>
  <c r="AD265" i="2"/>
  <c r="AB265" i="2"/>
  <c r="X265" i="2"/>
  <c r="V265" i="2"/>
  <c r="T265" i="2"/>
  <c r="Q265" i="2"/>
  <c r="O265" i="2"/>
  <c r="M265" i="2"/>
  <c r="F265" i="2"/>
  <c r="AS264" i="2"/>
  <c r="AK264" i="2"/>
  <c r="AI264" i="2"/>
  <c r="AF264" i="2"/>
  <c r="AD264" i="2"/>
  <c r="AB264" i="2"/>
  <c r="X264" i="2"/>
  <c r="V264" i="2"/>
  <c r="T264" i="2"/>
  <c r="Q264" i="2"/>
  <c r="O264" i="2"/>
  <c r="M264" i="2"/>
  <c r="F264" i="2"/>
  <c r="AS263" i="2"/>
  <c r="AN263" i="2"/>
  <c r="AK263" i="2"/>
  <c r="AI263" i="2"/>
  <c r="AF263" i="2"/>
  <c r="AD263" i="2"/>
  <c r="AB263" i="2"/>
  <c r="X263" i="2"/>
  <c r="V263" i="2"/>
  <c r="T263" i="2"/>
  <c r="Q263" i="2"/>
  <c r="O263" i="2"/>
  <c r="M263" i="2"/>
  <c r="F263" i="2"/>
  <c r="AS262" i="2"/>
  <c r="AN262" i="2"/>
  <c r="AK262" i="2"/>
  <c r="AI262" i="2"/>
  <c r="AF262" i="2"/>
  <c r="AD262" i="2"/>
  <c r="AB262" i="2"/>
  <c r="X262" i="2"/>
  <c r="V262" i="2"/>
  <c r="T262" i="2"/>
  <c r="Q262" i="2"/>
  <c r="O262" i="2"/>
  <c r="M262" i="2"/>
  <c r="F262" i="2"/>
  <c r="AS261" i="2"/>
  <c r="AN261" i="2"/>
  <c r="AK261" i="2"/>
  <c r="AI261" i="2"/>
  <c r="AF261" i="2"/>
  <c r="AD261" i="2"/>
  <c r="AB261" i="2"/>
  <c r="X261" i="2"/>
  <c r="V261" i="2"/>
  <c r="T261" i="2"/>
  <c r="Q261" i="2"/>
  <c r="O261" i="2"/>
  <c r="M261" i="2"/>
  <c r="F261" i="2"/>
  <c r="AS260" i="2"/>
  <c r="AN260" i="2"/>
  <c r="AK260" i="2"/>
  <c r="AI260" i="2"/>
  <c r="AF260" i="2"/>
  <c r="AD260" i="2"/>
  <c r="AB260" i="2"/>
  <c r="X260" i="2"/>
  <c r="V260" i="2"/>
  <c r="T260" i="2"/>
  <c r="Q260" i="2"/>
  <c r="O260" i="2"/>
  <c r="M260" i="2"/>
  <c r="F260" i="2"/>
  <c r="AS259" i="2"/>
  <c r="AN259" i="2"/>
  <c r="AK259" i="2"/>
  <c r="AI259" i="2"/>
  <c r="AF259" i="2"/>
  <c r="AD259" i="2"/>
  <c r="AB259" i="2"/>
  <c r="X259" i="2"/>
  <c r="V259" i="2"/>
  <c r="T259" i="2"/>
  <c r="Q259" i="2"/>
  <c r="O259" i="2"/>
  <c r="M259" i="2"/>
  <c r="F259" i="2"/>
  <c r="AS258" i="2"/>
  <c r="AN258" i="2"/>
  <c r="AK258" i="2"/>
  <c r="AI258" i="2"/>
  <c r="AF258" i="2"/>
  <c r="AD258" i="2"/>
  <c r="AB258" i="2"/>
  <c r="X258" i="2"/>
  <c r="V258" i="2"/>
  <c r="T258" i="2"/>
  <c r="Q258" i="2"/>
  <c r="O258" i="2"/>
  <c r="M258" i="2"/>
  <c r="F258" i="2"/>
  <c r="AS257" i="2"/>
  <c r="AN257" i="2"/>
  <c r="AK257" i="2"/>
  <c r="AI257" i="2"/>
  <c r="AF257" i="2"/>
  <c r="AD257" i="2"/>
  <c r="AB257" i="2"/>
  <c r="X257" i="2"/>
  <c r="V257" i="2"/>
  <c r="T257" i="2"/>
  <c r="Q257" i="2"/>
  <c r="O257" i="2"/>
  <c r="M257" i="2"/>
  <c r="F257" i="2"/>
  <c r="AS256" i="2"/>
  <c r="AN256" i="2"/>
  <c r="AK256" i="2"/>
  <c r="AI256" i="2"/>
  <c r="AF256" i="2"/>
  <c r="AD256" i="2"/>
  <c r="AB256" i="2"/>
  <c r="X256" i="2"/>
  <c r="V256" i="2"/>
  <c r="T256" i="2"/>
  <c r="Q256" i="2"/>
  <c r="O256" i="2"/>
  <c r="M256" i="2"/>
  <c r="F256" i="2"/>
  <c r="AS255" i="2"/>
  <c r="AN255" i="2"/>
  <c r="AK255" i="2"/>
  <c r="AI255" i="2"/>
  <c r="AF255" i="2"/>
  <c r="AD255" i="2"/>
  <c r="AB255" i="2"/>
  <c r="X255" i="2"/>
  <c r="V255" i="2"/>
  <c r="T255" i="2"/>
  <c r="Q255" i="2"/>
  <c r="O255" i="2"/>
  <c r="M255" i="2"/>
  <c r="F255" i="2"/>
  <c r="AS254" i="2"/>
  <c r="AK254" i="2"/>
  <c r="AI254" i="2"/>
  <c r="AF254" i="2"/>
  <c r="AD254" i="2"/>
  <c r="AB254" i="2"/>
  <c r="X254" i="2"/>
  <c r="V254" i="2"/>
  <c r="T254" i="2"/>
  <c r="Q254" i="2"/>
  <c r="O254" i="2"/>
  <c r="M254" i="2"/>
  <c r="F254" i="2"/>
  <c r="AS253" i="2"/>
  <c r="AK253" i="2"/>
  <c r="AI253" i="2"/>
  <c r="AF253" i="2"/>
  <c r="AD253" i="2"/>
  <c r="AB253" i="2"/>
  <c r="X253" i="2"/>
  <c r="V253" i="2"/>
  <c r="T253" i="2"/>
  <c r="Q253" i="2"/>
  <c r="O253" i="2"/>
  <c r="M253" i="2"/>
  <c r="F253" i="2"/>
  <c r="AS252" i="2"/>
  <c r="AN252" i="2"/>
  <c r="AK252" i="2"/>
  <c r="AI252" i="2"/>
  <c r="AF252" i="2"/>
  <c r="AD252" i="2"/>
  <c r="AB252" i="2"/>
  <c r="X252" i="2"/>
  <c r="V252" i="2"/>
  <c r="T252" i="2"/>
  <c r="Q252" i="2"/>
  <c r="O252" i="2"/>
  <c r="M252" i="2"/>
  <c r="F252" i="2"/>
  <c r="AS251" i="2"/>
  <c r="AN251" i="2"/>
  <c r="AK251" i="2"/>
  <c r="AI251" i="2"/>
  <c r="AF251" i="2"/>
  <c r="AD251" i="2"/>
  <c r="AB251" i="2"/>
  <c r="X251" i="2"/>
  <c r="V251" i="2"/>
  <c r="T251" i="2"/>
  <c r="Q251" i="2"/>
  <c r="O251" i="2"/>
  <c r="M251" i="2"/>
  <c r="F251" i="2"/>
  <c r="AS250" i="2"/>
  <c r="AN250" i="2"/>
  <c r="AK250" i="2"/>
  <c r="AI250" i="2"/>
  <c r="AF250" i="2"/>
  <c r="AD250" i="2"/>
  <c r="AB250" i="2"/>
  <c r="X250" i="2"/>
  <c r="V250" i="2"/>
  <c r="T250" i="2"/>
  <c r="Q250" i="2"/>
  <c r="O250" i="2"/>
  <c r="M250" i="2"/>
  <c r="F250" i="2"/>
  <c r="AS249" i="2"/>
  <c r="AN249" i="2"/>
  <c r="AK249" i="2"/>
  <c r="AI249" i="2"/>
  <c r="AF249" i="2"/>
  <c r="AD249" i="2"/>
  <c r="AB249" i="2"/>
  <c r="X249" i="2"/>
  <c r="V249" i="2"/>
  <c r="T249" i="2"/>
  <c r="Q249" i="2"/>
  <c r="O249" i="2"/>
  <c r="M249" i="2"/>
  <c r="F249" i="2"/>
  <c r="AS248" i="2"/>
  <c r="AN248" i="2"/>
  <c r="AK248" i="2"/>
  <c r="AI248" i="2"/>
  <c r="AF248" i="2"/>
  <c r="AD248" i="2"/>
  <c r="X248" i="2"/>
  <c r="V248" i="2"/>
  <c r="T248" i="2"/>
  <c r="Q248" i="2"/>
  <c r="O248" i="2"/>
  <c r="M248" i="2"/>
  <c r="F248" i="2"/>
  <c r="AS247" i="2"/>
  <c r="AN247" i="2"/>
  <c r="AK247" i="2"/>
  <c r="AI247" i="2"/>
  <c r="AF247" i="2"/>
  <c r="AD247" i="2"/>
  <c r="AB247" i="2"/>
  <c r="X247" i="2"/>
  <c r="V247" i="2"/>
  <c r="T247" i="2"/>
  <c r="Q247" i="2"/>
  <c r="O247" i="2"/>
  <c r="M247" i="2"/>
  <c r="F247" i="2"/>
  <c r="AS246" i="2"/>
  <c r="AN246" i="2"/>
  <c r="AK246" i="2"/>
  <c r="AI246" i="2"/>
  <c r="AF246" i="2"/>
  <c r="AD246" i="2"/>
  <c r="AB246" i="2"/>
  <c r="X246" i="2"/>
  <c r="V246" i="2"/>
  <c r="T246" i="2"/>
  <c r="Q246" i="2"/>
  <c r="O246" i="2"/>
  <c r="M246" i="2"/>
  <c r="F246" i="2"/>
  <c r="AS245" i="2"/>
  <c r="AN245" i="2"/>
  <c r="AK245" i="2"/>
  <c r="AI245" i="2"/>
  <c r="AF245" i="2"/>
  <c r="AD245" i="2"/>
  <c r="AB245" i="2"/>
  <c r="X245" i="2"/>
  <c r="V245" i="2"/>
  <c r="T245" i="2"/>
  <c r="Q245" i="2"/>
  <c r="O245" i="2"/>
  <c r="M245" i="2"/>
  <c r="F245" i="2"/>
  <c r="AS244" i="2"/>
  <c r="AN244" i="2"/>
  <c r="AK244" i="2"/>
  <c r="AI244" i="2"/>
  <c r="AF244" i="2"/>
  <c r="AD244" i="2"/>
  <c r="AB244" i="2"/>
  <c r="X244" i="2"/>
  <c r="V244" i="2"/>
  <c r="T244" i="2"/>
  <c r="Q244" i="2"/>
  <c r="O244" i="2"/>
  <c r="M244" i="2"/>
  <c r="F244" i="2"/>
  <c r="AS243" i="2"/>
  <c r="AN243" i="2"/>
  <c r="AK243" i="2"/>
  <c r="AI243" i="2"/>
  <c r="AF243" i="2"/>
  <c r="AD243" i="2"/>
  <c r="AB243" i="2"/>
  <c r="X243" i="2"/>
  <c r="V243" i="2"/>
  <c r="T243" i="2"/>
  <c r="Q243" i="2"/>
  <c r="O243" i="2"/>
  <c r="M243" i="2"/>
  <c r="F243" i="2"/>
  <c r="AS242" i="2"/>
  <c r="AN242" i="2"/>
  <c r="AK242" i="2"/>
  <c r="AI242" i="2"/>
  <c r="AF242" i="2"/>
  <c r="AD242" i="2"/>
  <c r="AB242" i="2"/>
  <c r="X242" i="2"/>
  <c r="V242" i="2"/>
  <c r="T242" i="2"/>
  <c r="Q242" i="2"/>
  <c r="O242" i="2"/>
  <c r="M242" i="2"/>
  <c r="F242" i="2"/>
  <c r="AS241" i="2"/>
  <c r="AN241" i="2"/>
  <c r="AK241" i="2"/>
  <c r="AI241" i="2"/>
  <c r="AF241" i="2"/>
  <c r="AD241" i="2"/>
  <c r="AB241" i="2"/>
  <c r="X241" i="2"/>
  <c r="V241" i="2"/>
  <c r="T241" i="2"/>
  <c r="Q241" i="2"/>
  <c r="O241" i="2"/>
  <c r="M241" i="2"/>
  <c r="F241" i="2"/>
  <c r="AS240" i="2"/>
  <c r="AN240" i="2"/>
  <c r="AK240" i="2"/>
  <c r="AI240" i="2"/>
  <c r="AF240" i="2"/>
  <c r="AD240" i="2"/>
  <c r="AB240" i="2"/>
  <c r="X240" i="2"/>
  <c r="V240" i="2"/>
  <c r="T240" i="2"/>
  <c r="Q240" i="2"/>
  <c r="O240" i="2"/>
  <c r="M240" i="2"/>
  <c r="F240" i="2"/>
  <c r="AS239" i="2"/>
  <c r="AN239" i="2"/>
  <c r="AK239" i="2"/>
  <c r="AI239" i="2"/>
  <c r="AF239" i="2"/>
  <c r="AD239" i="2"/>
  <c r="AB239" i="2"/>
  <c r="X239" i="2"/>
  <c r="V239" i="2"/>
  <c r="T239" i="2"/>
  <c r="Q239" i="2"/>
  <c r="O239" i="2"/>
  <c r="M239" i="2"/>
  <c r="F239" i="2"/>
  <c r="AS238" i="2"/>
  <c r="AN238" i="2"/>
  <c r="AK238" i="2"/>
  <c r="AI238" i="2"/>
  <c r="AF238" i="2"/>
  <c r="AD238" i="2"/>
  <c r="AB238" i="2"/>
  <c r="X238" i="2"/>
  <c r="V238" i="2"/>
  <c r="T238" i="2"/>
  <c r="Q238" i="2"/>
  <c r="O238" i="2"/>
  <c r="M238" i="2"/>
  <c r="F238" i="2"/>
  <c r="AS237" i="2"/>
  <c r="AN237" i="2"/>
  <c r="AK237" i="2"/>
  <c r="AI237" i="2"/>
  <c r="AF237" i="2"/>
  <c r="AD237" i="2"/>
  <c r="AB237" i="2"/>
  <c r="X237" i="2"/>
  <c r="V237" i="2"/>
  <c r="T237" i="2"/>
  <c r="Q237" i="2"/>
  <c r="O237" i="2"/>
  <c r="M237" i="2"/>
  <c r="F237" i="2"/>
  <c r="AS236" i="2"/>
  <c r="AN236" i="2"/>
  <c r="AK236" i="2"/>
  <c r="AI236" i="2"/>
  <c r="AF236" i="2"/>
  <c r="AD236" i="2"/>
  <c r="AB236" i="2"/>
  <c r="X236" i="2"/>
  <c r="V236" i="2"/>
  <c r="T236" i="2"/>
  <c r="Q236" i="2"/>
  <c r="O236" i="2"/>
  <c r="M236" i="2"/>
  <c r="F236" i="2"/>
  <c r="AS235" i="2"/>
  <c r="AN235" i="2"/>
  <c r="AK235" i="2"/>
  <c r="AI235" i="2"/>
  <c r="AF235" i="2"/>
  <c r="AD235" i="2"/>
  <c r="AB235" i="2"/>
  <c r="X235" i="2"/>
  <c r="V235" i="2"/>
  <c r="T235" i="2"/>
  <c r="Q235" i="2"/>
  <c r="O235" i="2"/>
  <c r="M235" i="2"/>
  <c r="F235" i="2"/>
  <c r="AS234" i="2"/>
  <c r="AN234" i="2"/>
  <c r="AK234" i="2"/>
  <c r="AI234" i="2"/>
  <c r="AF234" i="2"/>
  <c r="AD234" i="2"/>
  <c r="AB234" i="2"/>
  <c r="X234" i="2"/>
  <c r="V234" i="2"/>
  <c r="T234" i="2"/>
  <c r="Q234" i="2"/>
  <c r="O234" i="2"/>
  <c r="M234" i="2"/>
  <c r="F234" i="2"/>
  <c r="AS233" i="2"/>
  <c r="AN233" i="2"/>
  <c r="AK233" i="2"/>
  <c r="AI233" i="2"/>
  <c r="AF233" i="2"/>
  <c r="AD233" i="2"/>
  <c r="AB233" i="2"/>
  <c r="X233" i="2"/>
  <c r="V233" i="2"/>
  <c r="T233" i="2"/>
  <c r="Q233" i="2"/>
  <c r="O233" i="2"/>
  <c r="M233" i="2"/>
  <c r="F233" i="2"/>
  <c r="AS232" i="2"/>
  <c r="AK232" i="2"/>
  <c r="AI232" i="2"/>
  <c r="AF232" i="2"/>
  <c r="AD232" i="2"/>
  <c r="AB232" i="2"/>
  <c r="X232" i="2"/>
  <c r="V232" i="2"/>
  <c r="T232" i="2"/>
  <c r="Q232" i="2"/>
  <c r="O232" i="2"/>
  <c r="M232" i="2"/>
  <c r="F232" i="2"/>
  <c r="AS231" i="2"/>
  <c r="AK231" i="2"/>
  <c r="AI231" i="2"/>
  <c r="AF231" i="2"/>
  <c r="AD231" i="2"/>
  <c r="AB231" i="2"/>
  <c r="X231" i="2"/>
  <c r="V231" i="2"/>
  <c r="T231" i="2"/>
  <c r="Q231" i="2"/>
  <c r="O231" i="2"/>
  <c r="M231" i="2"/>
  <c r="F231" i="2"/>
  <c r="AS230" i="2"/>
  <c r="AN230" i="2"/>
  <c r="AK230" i="2"/>
  <c r="AI230" i="2"/>
  <c r="AF230" i="2"/>
  <c r="AD230" i="2"/>
  <c r="AB230" i="2"/>
  <c r="X230" i="2"/>
  <c r="V230" i="2"/>
  <c r="T230" i="2"/>
  <c r="Q230" i="2"/>
  <c r="O230" i="2"/>
  <c r="M230" i="2"/>
  <c r="F230" i="2"/>
  <c r="AS229" i="2"/>
  <c r="AN229" i="2"/>
  <c r="AK229" i="2"/>
  <c r="AI229" i="2"/>
  <c r="AF229" i="2"/>
  <c r="AD229" i="2"/>
  <c r="AB229" i="2"/>
  <c r="X229" i="2"/>
  <c r="V229" i="2"/>
  <c r="T229" i="2"/>
  <c r="Q229" i="2"/>
  <c r="O229" i="2"/>
  <c r="M229" i="2"/>
  <c r="F229" i="2"/>
  <c r="AS228" i="2"/>
  <c r="AN228" i="2"/>
  <c r="AK228" i="2"/>
  <c r="AI228" i="2"/>
  <c r="AF228" i="2"/>
  <c r="AD228" i="2"/>
  <c r="AB228" i="2"/>
  <c r="X228" i="2"/>
  <c r="V228" i="2"/>
  <c r="T228" i="2"/>
  <c r="Q228" i="2"/>
  <c r="O228" i="2"/>
  <c r="M228" i="2"/>
  <c r="F228" i="2"/>
  <c r="AS227" i="2"/>
  <c r="AN227" i="2"/>
  <c r="AK227" i="2"/>
  <c r="AI227" i="2"/>
  <c r="AF227" i="2"/>
  <c r="AD227" i="2"/>
  <c r="AB227" i="2"/>
  <c r="X227" i="2"/>
  <c r="V227" i="2"/>
  <c r="T227" i="2"/>
  <c r="Q227" i="2"/>
  <c r="O227" i="2"/>
  <c r="M227" i="2"/>
  <c r="F227" i="2"/>
  <c r="AS226" i="2"/>
  <c r="AN226" i="2"/>
  <c r="AK226" i="2"/>
  <c r="AI226" i="2"/>
  <c r="AF226" i="2"/>
  <c r="AD226" i="2"/>
  <c r="X226" i="2"/>
  <c r="V226" i="2"/>
  <c r="T226" i="2"/>
  <c r="Q226" i="2"/>
  <c r="O226" i="2"/>
  <c r="M226" i="2"/>
  <c r="F226" i="2"/>
  <c r="AS225" i="2"/>
  <c r="AN225" i="2"/>
  <c r="AK225" i="2"/>
  <c r="AI225" i="2"/>
  <c r="AF225" i="2"/>
  <c r="AD225" i="2"/>
  <c r="X225" i="2"/>
  <c r="V225" i="2"/>
  <c r="T225" i="2"/>
  <c r="Q225" i="2"/>
  <c r="O225" i="2"/>
  <c r="M225" i="2"/>
  <c r="F225" i="2"/>
  <c r="AS224" i="2"/>
  <c r="AN224" i="2"/>
  <c r="AK224" i="2"/>
  <c r="AI224" i="2"/>
  <c r="AF224" i="2"/>
  <c r="AD224" i="2"/>
  <c r="X224" i="2"/>
  <c r="V224" i="2"/>
  <c r="T224" i="2"/>
  <c r="Q224" i="2"/>
  <c r="O224" i="2"/>
  <c r="M224" i="2"/>
  <c r="F224" i="2"/>
  <c r="AS223" i="2"/>
  <c r="AN223" i="2"/>
  <c r="AK223" i="2"/>
  <c r="AI223" i="2"/>
  <c r="AF223" i="2"/>
  <c r="AD223" i="2"/>
  <c r="X223" i="2"/>
  <c r="V223" i="2"/>
  <c r="T223" i="2"/>
  <c r="Q223" i="2"/>
  <c r="O223" i="2"/>
  <c r="M223" i="2"/>
  <c r="F223" i="2"/>
  <c r="AS222" i="2"/>
  <c r="AN222" i="2"/>
  <c r="AK222" i="2"/>
  <c r="AI222" i="2"/>
  <c r="AF222" i="2"/>
  <c r="AD222" i="2"/>
  <c r="X222" i="2"/>
  <c r="V222" i="2"/>
  <c r="T222" i="2"/>
  <c r="Q222" i="2"/>
  <c r="O222" i="2"/>
  <c r="M222" i="2"/>
  <c r="F222" i="2"/>
  <c r="AS221" i="2"/>
  <c r="AN221" i="2"/>
  <c r="AK221" i="2"/>
  <c r="AI221" i="2"/>
  <c r="AF221" i="2"/>
  <c r="AD221" i="2"/>
  <c r="X221" i="2"/>
  <c r="V221" i="2"/>
  <c r="T221" i="2"/>
  <c r="Q221" i="2"/>
  <c r="O221" i="2"/>
  <c r="M221" i="2"/>
  <c r="F221" i="2"/>
  <c r="AS220" i="2"/>
  <c r="AN220" i="2"/>
  <c r="AK220" i="2"/>
  <c r="AI220" i="2"/>
  <c r="AF220" i="2"/>
  <c r="AD220" i="2"/>
  <c r="X220" i="2"/>
  <c r="V220" i="2"/>
  <c r="T220" i="2"/>
  <c r="Q220" i="2"/>
  <c r="O220" i="2"/>
  <c r="M220" i="2"/>
  <c r="F220" i="2"/>
  <c r="AS219" i="2"/>
  <c r="AN219" i="2"/>
  <c r="AK219" i="2"/>
  <c r="AI219" i="2"/>
  <c r="AF219" i="2"/>
  <c r="AD219" i="2"/>
  <c r="X219" i="2"/>
  <c r="V219" i="2"/>
  <c r="T219" i="2"/>
  <c r="Q219" i="2"/>
  <c r="O219" i="2"/>
  <c r="M219" i="2"/>
  <c r="F219" i="2"/>
  <c r="AS218" i="2"/>
  <c r="AN218" i="2"/>
  <c r="AK218" i="2"/>
  <c r="AI218" i="2"/>
  <c r="AF218" i="2"/>
  <c r="AD218" i="2"/>
  <c r="X218" i="2"/>
  <c r="V218" i="2"/>
  <c r="T218" i="2"/>
  <c r="Q218" i="2"/>
  <c r="O218" i="2"/>
  <c r="M218" i="2"/>
  <c r="F218" i="2"/>
  <c r="AS217" i="2"/>
  <c r="AN217" i="2"/>
  <c r="AK217" i="2"/>
  <c r="AI217" i="2"/>
  <c r="AF217" i="2"/>
  <c r="AD217" i="2"/>
  <c r="X217" i="2"/>
  <c r="V217" i="2"/>
  <c r="T217" i="2"/>
  <c r="Q217" i="2"/>
  <c r="O217" i="2"/>
  <c r="M217" i="2"/>
  <c r="F217" i="2"/>
  <c r="AS216" i="2"/>
  <c r="AN216" i="2"/>
  <c r="AK216" i="2"/>
  <c r="AI216" i="2"/>
  <c r="AF216" i="2"/>
  <c r="AD216" i="2"/>
  <c r="X216" i="2"/>
  <c r="V216" i="2"/>
  <c r="T216" i="2"/>
  <c r="Q216" i="2"/>
  <c r="O216" i="2"/>
  <c r="M216" i="2"/>
  <c r="F216" i="2"/>
  <c r="AS215" i="2"/>
  <c r="AN215" i="2"/>
  <c r="AK215" i="2"/>
  <c r="AI215" i="2"/>
  <c r="AF215" i="2"/>
  <c r="AD215" i="2"/>
  <c r="X215" i="2"/>
  <c r="V215" i="2"/>
  <c r="T215" i="2"/>
  <c r="Q215" i="2"/>
  <c r="O215" i="2"/>
  <c r="M215" i="2"/>
  <c r="F215" i="2"/>
  <c r="AS214" i="2"/>
  <c r="AN214" i="2"/>
  <c r="AK214" i="2"/>
  <c r="AI214" i="2"/>
  <c r="AF214" i="2"/>
  <c r="AD214" i="2"/>
  <c r="X214" i="2"/>
  <c r="V214" i="2"/>
  <c r="T214" i="2"/>
  <c r="Q214" i="2"/>
  <c r="O214" i="2"/>
  <c r="M214" i="2"/>
  <c r="F214" i="2"/>
  <c r="AS213" i="2"/>
  <c r="AN213" i="2"/>
  <c r="AK213" i="2"/>
  <c r="AI213" i="2"/>
  <c r="AF213" i="2"/>
  <c r="AD213" i="2"/>
  <c r="X213" i="2"/>
  <c r="V213" i="2"/>
  <c r="T213" i="2"/>
  <c r="Q213" i="2"/>
  <c r="O213" i="2"/>
  <c r="M213" i="2"/>
  <c r="F213" i="2"/>
  <c r="AS212" i="2"/>
  <c r="AN212" i="2"/>
  <c r="AK212" i="2"/>
  <c r="AI212" i="2"/>
  <c r="AF212" i="2"/>
  <c r="AD212" i="2"/>
  <c r="X212" i="2"/>
  <c r="V212" i="2"/>
  <c r="T212" i="2"/>
  <c r="Q212" i="2"/>
  <c r="O212" i="2"/>
  <c r="M212" i="2"/>
  <c r="F212" i="2"/>
  <c r="AS211" i="2"/>
  <c r="AN211" i="2"/>
  <c r="AK211" i="2"/>
  <c r="AI211" i="2"/>
  <c r="AF211" i="2"/>
  <c r="AD211" i="2"/>
  <c r="X211" i="2"/>
  <c r="V211" i="2"/>
  <c r="T211" i="2"/>
  <c r="Q211" i="2"/>
  <c r="O211" i="2"/>
  <c r="M211" i="2"/>
  <c r="F211" i="2"/>
  <c r="AS210" i="2"/>
  <c r="AN210" i="2"/>
  <c r="AK210" i="2"/>
  <c r="AI210" i="2"/>
  <c r="AF210" i="2"/>
  <c r="AD210" i="2"/>
  <c r="AB210" i="2"/>
  <c r="X210" i="2"/>
  <c r="V210" i="2"/>
  <c r="T210" i="2"/>
  <c r="Q210" i="2"/>
  <c r="O210" i="2"/>
  <c r="M210" i="2"/>
  <c r="F210" i="2"/>
  <c r="AS209" i="2"/>
  <c r="AN209" i="2"/>
  <c r="AK209" i="2"/>
  <c r="AI209" i="2"/>
  <c r="AF209" i="2"/>
  <c r="AD209" i="2"/>
  <c r="X209" i="2"/>
  <c r="V209" i="2"/>
  <c r="T209" i="2"/>
  <c r="Q209" i="2"/>
  <c r="O209" i="2"/>
  <c r="M209" i="2"/>
  <c r="F209" i="2"/>
  <c r="AS208" i="2"/>
  <c r="AN208" i="2"/>
  <c r="AK208" i="2"/>
  <c r="AI208" i="2"/>
  <c r="AF208" i="2"/>
  <c r="AD208" i="2"/>
  <c r="X208" i="2"/>
  <c r="V208" i="2"/>
  <c r="T208" i="2"/>
  <c r="Q208" i="2"/>
  <c r="O208" i="2"/>
  <c r="M208" i="2"/>
  <c r="F208" i="2"/>
  <c r="AS207" i="2"/>
  <c r="AN207" i="2"/>
  <c r="AK207" i="2"/>
  <c r="AI207" i="2"/>
  <c r="AF207" i="2"/>
  <c r="AD207" i="2"/>
  <c r="AB207" i="2"/>
  <c r="X207" i="2"/>
  <c r="V207" i="2"/>
  <c r="T207" i="2"/>
  <c r="Q207" i="2"/>
  <c r="O207" i="2"/>
  <c r="M207" i="2"/>
  <c r="F207" i="2"/>
  <c r="AS206" i="2"/>
  <c r="AN206" i="2"/>
  <c r="AK206" i="2"/>
  <c r="AI206" i="2"/>
  <c r="AF206" i="2"/>
  <c r="AD206" i="2"/>
  <c r="AB206" i="2"/>
  <c r="X206" i="2"/>
  <c r="V206" i="2"/>
  <c r="T206" i="2"/>
  <c r="Q206" i="2"/>
  <c r="O206" i="2"/>
  <c r="M206" i="2"/>
  <c r="F206" i="2"/>
  <c r="AS205" i="2"/>
  <c r="AN205" i="2"/>
  <c r="AK205" i="2"/>
  <c r="AI205" i="2"/>
  <c r="AF205" i="2"/>
  <c r="AD205" i="2"/>
  <c r="AB205" i="2"/>
  <c r="X205" i="2"/>
  <c r="V205" i="2"/>
  <c r="T205" i="2"/>
  <c r="Q205" i="2"/>
  <c r="O205" i="2"/>
  <c r="M205" i="2"/>
  <c r="F205" i="2"/>
  <c r="AS204" i="2"/>
  <c r="AN204" i="2"/>
  <c r="AK204" i="2"/>
  <c r="AI204" i="2"/>
  <c r="AF204" i="2"/>
  <c r="AD204" i="2"/>
  <c r="AB204" i="2"/>
  <c r="X204" i="2"/>
  <c r="V204" i="2"/>
  <c r="T204" i="2"/>
  <c r="Q204" i="2"/>
  <c r="O204" i="2"/>
  <c r="M204" i="2"/>
  <c r="F204" i="2"/>
  <c r="AS203" i="2"/>
  <c r="AN203" i="2"/>
  <c r="AK203" i="2"/>
  <c r="AI203" i="2"/>
  <c r="AF203" i="2"/>
  <c r="AD203" i="2"/>
  <c r="AB203" i="2"/>
  <c r="X203" i="2"/>
  <c r="V203" i="2"/>
  <c r="T203" i="2"/>
  <c r="Q203" i="2"/>
  <c r="O203" i="2"/>
  <c r="M203" i="2"/>
  <c r="F203" i="2"/>
  <c r="AS202" i="2"/>
  <c r="AN202" i="2"/>
  <c r="AK202" i="2"/>
  <c r="AI202" i="2"/>
  <c r="AF202" i="2"/>
  <c r="AD202" i="2"/>
  <c r="AB202" i="2"/>
  <c r="X202" i="2"/>
  <c r="V202" i="2"/>
  <c r="T202" i="2"/>
  <c r="Q202" i="2"/>
  <c r="O202" i="2"/>
  <c r="M202" i="2"/>
  <c r="F202" i="2"/>
  <c r="AS201" i="2"/>
  <c r="AN201" i="2"/>
  <c r="AK201" i="2"/>
  <c r="AI201" i="2"/>
  <c r="AF201" i="2"/>
  <c r="AD201" i="2"/>
  <c r="X201" i="2"/>
  <c r="V201" i="2"/>
  <c r="T201" i="2"/>
  <c r="Q201" i="2"/>
  <c r="O201" i="2"/>
  <c r="M201" i="2"/>
  <c r="F201" i="2"/>
  <c r="AS200" i="2"/>
  <c r="AN200" i="2"/>
  <c r="AK200" i="2"/>
  <c r="AI200" i="2"/>
  <c r="AF200" i="2"/>
  <c r="AD200" i="2"/>
  <c r="AB200" i="2"/>
  <c r="X200" i="2"/>
  <c r="V200" i="2"/>
  <c r="T200" i="2"/>
  <c r="Q200" i="2"/>
  <c r="O200" i="2"/>
  <c r="M200" i="2"/>
  <c r="F200" i="2"/>
  <c r="AS199" i="2"/>
  <c r="AK199" i="2"/>
  <c r="AI199" i="2"/>
  <c r="AF199" i="2"/>
  <c r="AD199" i="2"/>
  <c r="AB199" i="2"/>
  <c r="X199" i="2"/>
  <c r="V199" i="2"/>
  <c r="T199" i="2"/>
  <c r="Q199" i="2"/>
  <c r="O199" i="2"/>
  <c r="M199" i="2"/>
  <c r="F199" i="2"/>
  <c r="AS198" i="2"/>
  <c r="AK198" i="2"/>
  <c r="AI198" i="2"/>
  <c r="AF198" i="2"/>
  <c r="AD198" i="2"/>
  <c r="AB198" i="2"/>
  <c r="X198" i="2"/>
  <c r="V198" i="2"/>
  <c r="T198" i="2"/>
  <c r="Q198" i="2"/>
  <c r="O198" i="2"/>
  <c r="M198" i="2"/>
  <c r="F198" i="2"/>
  <c r="AS197" i="2"/>
  <c r="AN197" i="2"/>
  <c r="AK197" i="2"/>
  <c r="AI197" i="2"/>
  <c r="AF197" i="2"/>
  <c r="AD197" i="2"/>
  <c r="AB197" i="2"/>
  <c r="X197" i="2"/>
  <c r="V197" i="2"/>
  <c r="T197" i="2"/>
  <c r="Q197" i="2"/>
  <c r="O197" i="2"/>
  <c r="M197" i="2"/>
  <c r="F197" i="2"/>
  <c r="AS196" i="2"/>
  <c r="AN196" i="2"/>
  <c r="AK196" i="2"/>
  <c r="AI196" i="2"/>
  <c r="AF196" i="2"/>
  <c r="AD196" i="2"/>
  <c r="AB196" i="2"/>
  <c r="X196" i="2"/>
  <c r="V196" i="2"/>
  <c r="T196" i="2"/>
  <c r="Q196" i="2"/>
  <c r="O196" i="2"/>
  <c r="M196" i="2"/>
  <c r="F196" i="2"/>
  <c r="AS195" i="2"/>
  <c r="AN195" i="2"/>
  <c r="AK195" i="2"/>
  <c r="AI195" i="2"/>
  <c r="AF195" i="2"/>
  <c r="AD195" i="2"/>
  <c r="AB195" i="2"/>
  <c r="X195" i="2"/>
  <c r="V195" i="2"/>
  <c r="T195" i="2"/>
  <c r="Q195" i="2"/>
  <c r="O195" i="2"/>
  <c r="M195" i="2"/>
  <c r="F195" i="2"/>
  <c r="AS194" i="2"/>
  <c r="AN194" i="2"/>
  <c r="AK194" i="2"/>
  <c r="AI194" i="2"/>
  <c r="AF194" i="2"/>
  <c r="AD194" i="2"/>
  <c r="AB194" i="2"/>
  <c r="X194" i="2"/>
  <c r="V194" i="2"/>
  <c r="T194" i="2"/>
  <c r="Q194" i="2"/>
  <c r="O194" i="2"/>
  <c r="M194" i="2"/>
  <c r="F194" i="2"/>
  <c r="AS193" i="2"/>
  <c r="AN193" i="2"/>
  <c r="AK193" i="2"/>
  <c r="AI193" i="2"/>
  <c r="AF193" i="2"/>
  <c r="AD193" i="2"/>
  <c r="AB193" i="2"/>
  <c r="X193" i="2"/>
  <c r="V193" i="2"/>
  <c r="T193" i="2"/>
  <c r="Q193" i="2"/>
  <c r="O193" i="2"/>
  <c r="M193" i="2"/>
  <c r="F193" i="2"/>
  <c r="AS192" i="2"/>
  <c r="AN192" i="2"/>
  <c r="AK192" i="2"/>
  <c r="AI192" i="2"/>
  <c r="AF192" i="2"/>
  <c r="AD192" i="2"/>
  <c r="AB192" i="2"/>
  <c r="X192" i="2"/>
  <c r="V192" i="2"/>
  <c r="T192" i="2"/>
  <c r="Q192" i="2"/>
  <c r="O192" i="2"/>
  <c r="M192" i="2"/>
  <c r="F192" i="2"/>
  <c r="AS191" i="2"/>
  <c r="AN191" i="2"/>
  <c r="AK191" i="2"/>
  <c r="AI191" i="2"/>
  <c r="AF191" i="2"/>
  <c r="AD191" i="2"/>
  <c r="AB191" i="2"/>
  <c r="X191" i="2"/>
  <c r="V191" i="2"/>
  <c r="T191" i="2"/>
  <c r="Q191" i="2"/>
  <c r="O191" i="2"/>
  <c r="M191" i="2"/>
  <c r="F191" i="2"/>
  <c r="AS190" i="2"/>
  <c r="AN190" i="2"/>
  <c r="AK190" i="2"/>
  <c r="AI190" i="2"/>
  <c r="AF190" i="2"/>
  <c r="AD190" i="2"/>
  <c r="AB190" i="2"/>
  <c r="X190" i="2"/>
  <c r="V190" i="2"/>
  <c r="T190" i="2"/>
  <c r="Q190" i="2"/>
  <c r="O190" i="2"/>
  <c r="M190" i="2"/>
  <c r="F190" i="2"/>
  <c r="AS189" i="2"/>
  <c r="AN189" i="2"/>
  <c r="AK189" i="2"/>
  <c r="AI189" i="2"/>
  <c r="AF189" i="2"/>
  <c r="AD189" i="2"/>
  <c r="AB189" i="2"/>
  <c r="X189" i="2"/>
  <c r="V189" i="2"/>
  <c r="T189" i="2"/>
  <c r="Q189" i="2"/>
  <c r="O189" i="2"/>
  <c r="M189" i="2"/>
  <c r="F189" i="2"/>
  <c r="AS188" i="2"/>
  <c r="AK188" i="2"/>
  <c r="AI188" i="2"/>
  <c r="AF188" i="2"/>
  <c r="AD188" i="2"/>
  <c r="X188" i="2"/>
  <c r="V188" i="2"/>
  <c r="T188" i="2"/>
  <c r="Q188" i="2"/>
  <c r="O188" i="2"/>
  <c r="M188" i="2"/>
  <c r="F188" i="2"/>
  <c r="AS187" i="2"/>
  <c r="AK187" i="2"/>
  <c r="AI187" i="2"/>
  <c r="AF187" i="2"/>
  <c r="AD187" i="2"/>
  <c r="AB187" i="2"/>
  <c r="X187" i="2"/>
  <c r="V187" i="2"/>
  <c r="T187" i="2"/>
  <c r="Q187" i="2"/>
  <c r="O187" i="2"/>
  <c r="M187" i="2"/>
  <c r="F187" i="2"/>
  <c r="AS186" i="2"/>
  <c r="AN186" i="2"/>
  <c r="AK186" i="2"/>
  <c r="AI186" i="2"/>
  <c r="AF186" i="2"/>
  <c r="AD186" i="2"/>
  <c r="X186" i="2"/>
  <c r="V186" i="2"/>
  <c r="T186" i="2"/>
  <c r="Q186" i="2"/>
  <c r="O186" i="2"/>
  <c r="M186" i="2"/>
  <c r="F186" i="2"/>
  <c r="AS185" i="2"/>
  <c r="AN185" i="2"/>
  <c r="AK185" i="2"/>
  <c r="AI185" i="2"/>
  <c r="AF185" i="2"/>
  <c r="AD185" i="2"/>
  <c r="X185" i="2"/>
  <c r="V185" i="2"/>
  <c r="T185" i="2"/>
  <c r="Q185" i="2"/>
  <c r="O185" i="2"/>
  <c r="M185" i="2"/>
  <c r="F185" i="2"/>
  <c r="AS184" i="2"/>
  <c r="AN184" i="2"/>
  <c r="AK184" i="2"/>
  <c r="AI184" i="2"/>
  <c r="AF184" i="2"/>
  <c r="AD184" i="2"/>
  <c r="X184" i="2"/>
  <c r="V184" i="2"/>
  <c r="T184" i="2"/>
  <c r="Q184" i="2"/>
  <c r="O184" i="2"/>
  <c r="M184" i="2"/>
  <c r="F184" i="2"/>
  <c r="AS183" i="2"/>
  <c r="AN183" i="2"/>
  <c r="AK183" i="2"/>
  <c r="AI183" i="2"/>
  <c r="AF183" i="2"/>
  <c r="AD183" i="2"/>
  <c r="X183" i="2"/>
  <c r="V183" i="2"/>
  <c r="T183" i="2"/>
  <c r="Q183" i="2"/>
  <c r="O183" i="2"/>
  <c r="M183" i="2"/>
  <c r="F183" i="2"/>
  <c r="AS182" i="2"/>
  <c r="AN182" i="2"/>
  <c r="AK182" i="2"/>
  <c r="AI182" i="2"/>
  <c r="AF182" i="2"/>
  <c r="AD182" i="2"/>
  <c r="X182" i="2"/>
  <c r="V182" i="2"/>
  <c r="T182" i="2"/>
  <c r="Q182" i="2"/>
  <c r="O182" i="2"/>
  <c r="M182" i="2"/>
  <c r="F182" i="2"/>
  <c r="AS181" i="2"/>
  <c r="AN181" i="2"/>
  <c r="AK181" i="2"/>
  <c r="AI181" i="2"/>
  <c r="AF181" i="2"/>
  <c r="AD181" i="2"/>
  <c r="AB181" i="2"/>
  <c r="X181" i="2"/>
  <c r="V181" i="2"/>
  <c r="T181" i="2"/>
  <c r="Q181" i="2"/>
  <c r="O181" i="2"/>
  <c r="M181" i="2"/>
  <c r="F181" i="2"/>
  <c r="AS180" i="2"/>
  <c r="AN180" i="2"/>
  <c r="AK180" i="2"/>
  <c r="AI180" i="2"/>
  <c r="AF180" i="2"/>
  <c r="AD180" i="2"/>
  <c r="AB180" i="2"/>
  <c r="X180" i="2"/>
  <c r="V180" i="2"/>
  <c r="T180" i="2"/>
  <c r="Q180" i="2"/>
  <c r="O180" i="2"/>
  <c r="M180" i="2"/>
  <c r="F180" i="2"/>
  <c r="AS179" i="2"/>
  <c r="AN179" i="2"/>
  <c r="AK179" i="2"/>
  <c r="AI179" i="2"/>
  <c r="AF179" i="2"/>
  <c r="AD179" i="2"/>
  <c r="AB179" i="2"/>
  <c r="X179" i="2"/>
  <c r="V179" i="2"/>
  <c r="T179" i="2"/>
  <c r="Q179" i="2"/>
  <c r="O179" i="2"/>
  <c r="M179" i="2"/>
  <c r="F179" i="2"/>
  <c r="AS178" i="2"/>
  <c r="AN178" i="2"/>
  <c r="AK178" i="2"/>
  <c r="AI178" i="2"/>
  <c r="AF178" i="2"/>
  <c r="AD178" i="2"/>
  <c r="AB178" i="2"/>
  <c r="X178" i="2"/>
  <c r="V178" i="2"/>
  <c r="T178" i="2"/>
  <c r="Q178" i="2"/>
  <c r="O178" i="2"/>
  <c r="M178" i="2"/>
  <c r="F178" i="2"/>
  <c r="AS177" i="2"/>
  <c r="AI177" i="2"/>
  <c r="AF177" i="2"/>
  <c r="AD177" i="2"/>
  <c r="AB177" i="2"/>
  <c r="X177" i="2"/>
  <c r="V177" i="2"/>
  <c r="T177" i="2"/>
  <c r="Q177" i="2"/>
  <c r="O177" i="2"/>
  <c r="M177" i="2"/>
  <c r="F177" i="2"/>
  <c r="AS176" i="2"/>
  <c r="AK176" i="2"/>
  <c r="AI176" i="2"/>
  <c r="AF176" i="2"/>
  <c r="AD176" i="2"/>
  <c r="AB176" i="2"/>
  <c r="X176" i="2"/>
  <c r="V176" i="2"/>
  <c r="T176" i="2"/>
  <c r="Q176" i="2"/>
  <c r="O176" i="2"/>
  <c r="M176" i="2"/>
  <c r="F176" i="2"/>
  <c r="AS175" i="2"/>
  <c r="AN175" i="2"/>
  <c r="AK175" i="2"/>
  <c r="AI175" i="2"/>
  <c r="AF175" i="2"/>
  <c r="AD175" i="2"/>
  <c r="AB175" i="2"/>
  <c r="X175" i="2"/>
  <c r="V175" i="2"/>
  <c r="T175" i="2"/>
  <c r="Q175" i="2"/>
  <c r="O175" i="2"/>
  <c r="M175" i="2"/>
  <c r="F175" i="2"/>
  <c r="AS174" i="2"/>
  <c r="AN174" i="2"/>
  <c r="AK174" i="2"/>
  <c r="AI174" i="2"/>
  <c r="AF174" i="2"/>
  <c r="AD174" i="2"/>
  <c r="AB174" i="2"/>
  <c r="X174" i="2"/>
  <c r="V174" i="2"/>
  <c r="T174" i="2"/>
  <c r="Q174" i="2"/>
  <c r="O174" i="2"/>
  <c r="M174" i="2"/>
  <c r="F174" i="2"/>
  <c r="AS173" i="2"/>
  <c r="AN173" i="2"/>
  <c r="AK173" i="2"/>
  <c r="AI173" i="2"/>
  <c r="AF173" i="2"/>
  <c r="AD173" i="2"/>
  <c r="AB173" i="2"/>
  <c r="X173" i="2"/>
  <c r="V173" i="2"/>
  <c r="T173" i="2"/>
  <c r="Q173" i="2"/>
  <c r="O173" i="2"/>
  <c r="M173" i="2"/>
  <c r="F173" i="2"/>
  <c r="AS172" i="2"/>
  <c r="AN172" i="2"/>
  <c r="AK172" i="2"/>
  <c r="AI172" i="2"/>
  <c r="AF172" i="2"/>
  <c r="AD172" i="2"/>
  <c r="AB172" i="2"/>
  <c r="X172" i="2"/>
  <c r="V172" i="2"/>
  <c r="T172" i="2"/>
  <c r="Q172" i="2"/>
  <c r="O172" i="2"/>
  <c r="M172" i="2"/>
  <c r="F172" i="2"/>
  <c r="AS171" i="2"/>
  <c r="AN171" i="2"/>
  <c r="AK171" i="2"/>
  <c r="AI171" i="2"/>
  <c r="AF171" i="2"/>
  <c r="AD171" i="2"/>
  <c r="AB171" i="2"/>
  <c r="X171" i="2"/>
  <c r="V171" i="2"/>
  <c r="T171" i="2"/>
  <c r="Q171" i="2"/>
  <c r="O171" i="2"/>
  <c r="M171" i="2"/>
  <c r="F171" i="2"/>
  <c r="AS170" i="2"/>
  <c r="AN170" i="2"/>
  <c r="AK170" i="2"/>
  <c r="AI170" i="2"/>
  <c r="AF170" i="2"/>
  <c r="AD170" i="2"/>
  <c r="AB170" i="2"/>
  <c r="X170" i="2"/>
  <c r="V170" i="2"/>
  <c r="T170" i="2"/>
  <c r="Q170" i="2"/>
  <c r="O170" i="2"/>
  <c r="M170" i="2"/>
  <c r="F170" i="2"/>
  <c r="AS169" i="2"/>
  <c r="AN169" i="2"/>
  <c r="AK169" i="2"/>
  <c r="AI169" i="2"/>
  <c r="AF169" i="2"/>
  <c r="AD169" i="2"/>
  <c r="AB169" i="2"/>
  <c r="X169" i="2"/>
  <c r="V169" i="2"/>
  <c r="T169" i="2"/>
  <c r="Q169" i="2"/>
  <c r="O169" i="2"/>
  <c r="M169" i="2"/>
  <c r="F169" i="2"/>
  <c r="AS168" i="2"/>
  <c r="AN168" i="2"/>
  <c r="AK168" i="2"/>
  <c r="AI168" i="2"/>
  <c r="AF168" i="2"/>
  <c r="AD168" i="2"/>
  <c r="AB168" i="2"/>
  <c r="X168" i="2"/>
  <c r="V168" i="2"/>
  <c r="T168" i="2"/>
  <c r="Q168" i="2"/>
  <c r="O168" i="2"/>
  <c r="M168" i="2"/>
  <c r="F168" i="2"/>
  <c r="AS167" i="2"/>
  <c r="AN167" i="2"/>
  <c r="AK167" i="2"/>
  <c r="AI167" i="2"/>
  <c r="AF167" i="2"/>
  <c r="AD167" i="2"/>
  <c r="AB167" i="2"/>
  <c r="X167" i="2"/>
  <c r="V167" i="2"/>
  <c r="T167" i="2"/>
  <c r="Q167" i="2"/>
  <c r="O167" i="2"/>
  <c r="M167" i="2"/>
  <c r="F167" i="2"/>
  <c r="AS166" i="2"/>
  <c r="AK166" i="2"/>
  <c r="AI166" i="2"/>
  <c r="AF166" i="2"/>
  <c r="AD166" i="2"/>
  <c r="AB166" i="2"/>
  <c r="X166" i="2"/>
  <c r="V166" i="2"/>
  <c r="T166" i="2"/>
  <c r="Q166" i="2"/>
  <c r="O166" i="2"/>
  <c r="M166" i="2"/>
  <c r="F166" i="2"/>
  <c r="AS165" i="2"/>
  <c r="AK165" i="2"/>
  <c r="AI165" i="2"/>
  <c r="AF165" i="2"/>
  <c r="AD165" i="2"/>
  <c r="AB165" i="2"/>
  <c r="X165" i="2"/>
  <c r="V165" i="2"/>
  <c r="T165" i="2"/>
  <c r="Q165" i="2"/>
  <c r="O165" i="2"/>
  <c r="M165" i="2"/>
  <c r="F165" i="2"/>
  <c r="AS164" i="2"/>
  <c r="AN164" i="2"/>
  <c r="AK164" i="2"/>
  <c r="AI164" i="2"/>
  <c r="AF164" i="2"/>
  <c r="AD164" i="2"/>
  <c r="AB164" i="2"/>
  <c r="X164" i="2"/>
  <c r="V164" i="2"/>
  <c r="T164" i="2"/>
  <c r="Q164" i="2"/>
  <c r="O164" i="2"/>
  <c r="M164" i="2"/>
  <c r="F164" i="2"/>
  <c r="AS163" i="2"/>
  <c r="AN163" i="2"/>
  <c r="AK163" i="2"/>
  <c r="AI163" i="2"/>
  <c r="AF163" i="2"/>
  <c r="AD163" i="2"/>
  <c r="AB163" i="2"/>
  <c r="X163" i="2"/>
  <c r="V163" i="2"/>
  <c r="T163" i="2"/>
  <c r="Q163" i="2"/>
  <c r="O163" i="2"/>
  <c r="M163" i="2"/>
  <c r="F163" i="2"/>
  <c r="AS162" i="2"/>
  <c r="AN162" i="2"/>
  <c r="AK162" i="2"/>
  <c r="AI162" i="2"/>
  <c r="AF162" i="2"/>
  <c r="AD162" i="2"/>
  <c r="AB162" i="2"/>
  <c r="X162" i="2"/>
  <c r="V162" i="2"/>
  <c r="T162" i="2"/>
  <c r="Q162" i="2"/>
  <c r="O162" i="2"/>
  <c r="M162" i="2"/>
  <c r="F162" i="2"/>
  <c r="AS161" i="2"/>
  <c r="AN161" i="2"/>
  <c r="AK161" i="2"/>
  <c r="AI161" i="2"/>
  <c r="AF161" i="2"/>
  <c r="AD161" i="2"/>
  <c r="AB161" i="2"/>
  <c r="X161" i="2"/>
  <c r="V161" i="2"/>
  <c r="T161" i="2"/>
  <c r="Q161" i="2"/>
  <c r="O161" i="2"/>
  <c r="M161" i="2"/>
  <c r="F161" i="2"/>
  <c r="AS160" i="2"/>
  <c r="AN160" i="2"/>
  <c r="AK160" i="2"/>
  <c r="AI160" i="2"/>
  <c r="AF160" i="2"/>
  <c r="AD160" i="2"/>
  <c r="AB160" i="2"/>
  <c r="X160" i="2"/>
  <c r="V160" i="2"/>
  <c r="T160" i="2"/>
  <c r="Q160" i="2"/>
  <c r="O160" i="2"/>
  <c r="M160" i="2"/>
  <c r="F160" i="2"/>
  <c r="AS159" i="2"/>
  <c r="AN159" i="2"/>
  <c r="AK159" i="2"/>
  <c r="AI159" i="2"/>
  <c r="AF159" i="2"/>
  <c r="AD159" i="2"/>
  <c r="AB159" i="2"/>
  <c r="X159" i="2"/>
  <c r="V159" i="2"/>
  <c r="T159" i="2"/>
  <c r="Q159" i="2"/>
  <c r="O159" i="2"/>
  <c r="M159" i="2"/>
  <c r="F159" i="2"/>
  <c r="AS158" i="2"/>
  <c r="AK158" i="2"/>
  <c r="AI158" i="2"/>
  <c r="AF158" i="2"/>
  <c r="AD158" i="2"/>
  <c r="AB158" i="2"/>
  <c r="X158" i="2"/>
  <c r="V158" i="2"/>
  <c r="T158" i="2"/>
  <c r="Q158" i="2"/>
  <c r="O158" i="2"/>
  <c r="M158" i="2"/>
  <c r="F158" i="2"/>
  <c r="AS157" i="2"/>
  <c r="AN157" i="2"/>
  <c r="AK157" i="2"/>
  <c r="AI157" i="2"/>
  <c r="AF157" i="2"/>
  <c r="AD157" i="2"/>
  <c r="AB157" i="2"/>
  <c r="X157" i="2"/>
  <c r="V157" i="2"/>
  <c r="T157" i="2"/>
  <c r="Q157" i="2"/>
  <c r="O157" i="2"/>
  <c r="M157" i="2"/>
  <c r="F157" i="2"/>
  <c r="AS156" i="2"/>
  <c r="AN156" i="2"/>
  <c r="AK156" i="2"/>
  <c r="AI156" i="2"/>
  <c r="AF156" i="2"/>
  <c r="AD156" i="2"/>
  <c r="AB156" i="2"/>
  <c r="X156" i="2"/>
  <c r="V156" i="2"/>
  <c r="T156" i="2"/>
  <c r="Q156" i="2"/>
  <c r="O156" i="2"/>
  <c r="M156" i="2"/>
  <c r="F156" i="2"/>
  <c r="AS155" i="2"/>
  <c r="AK155" i="2"/>
  <c r="AI155" i="2"/>
  <c r="AF155" i="2"/>
  <c r="AD155" i="2"/>
  <c r="X155" i="2"/>
  <c r="V155" i="2"/>
  <c r="T155" i="2"/>
  <c r="Q155" i="2"/>
  <c r="O155" i="2"/>
  <c r="M155" i="2"/>
  <c r="F155" i="2"/>
  <c r="AS154" i="2"/>
  <c r="AK154" i="2"/>
  <c r="AI154" i="2"/>
  <c r="AF154" i="2"/>
  <c r="AD154" i="2"/>
  <c r="AB154" i="2"/>
  <c r="X154" i="2"/>
  <c r="V154" i="2"/>
  <c r="T154" i="2"/>
  <c r="Q154" i="2"/>
  <c r="O154" i="2"/>
  <c r="M154" i="2"/>
  <c r="F154" i="2"/>
  <c r="AS153" i="2"/>
  <c r="AN153" i="2"/>
  <c r="AK153" i="2"/>
  <c r="AI153" i="2"/>
  <c r="AF153" i="2"/>
  <c r="AD153" i="2"/>
  <c r="AB153" i="2"/>
  <c r="X153" i="2"/>
  <c r="V153" i="2"/>
  <c r="T153" i="2"/>
  <c r="Q153" i="2"/>
  <c r="O153" i="2"/>
  <c r="M153" i="2"/>
  <c r="F153" i="2"/>
  <c r="AS152" i="2"/>
  <c r="AN152" i="2"/>
  <c r="AK152" i="2"/>
  <c r="AI152" i="2"/>
  <c r="AF152" i="2"/>
  <c r="AD152" i="2"/>
  <c r="AB152" i="2"/>
  <c r="X152" i="2"/>
  <c r="V152" i="2"/>
  <c r="T152" i="2"/>
  <c r="Q152" i="2"/>
  <c r="O152" i="2"/>
  <c r="M152" i="2"/>
  <c r="F152" i="2"/>
  <c r="AS151" i="2"/>
  <c r="AN151" i="2"/>
  <c r="AK151" i="2"/>
  <c r="AI151" i="2"/>
  <c r="AF151" i="2"/>
  <c r="AD151" i="2"/>
  <c r="AB151" i="2"/>
  <c r="X151" i="2"/>
  <c r="V151" i="2"/>
  <c r="T151" i="2"/>
  <c r="Q151" i="2"/>
  <c r="O151" i="2"/>
  <c r="M151" i="2"/>
  <c r="F151" i="2"/>
  <c r="AS150" i="2"/>
  <c r="AN150" i="2"/>
  <c r="AK150" i="2"/>
  <c r="AI150" i="2"/>
  <c r="AF150" i="2"/>
  <c r="AD150" i="2"/>
  <c r="AB150" i="2"/>
  <c r="X150" i="2"/>
  <c r="V150" i="2"/>
  <c r="T150" i="2"/>
  <c r="Q150" i="2"/>
  <c r="O150" i="2"/>
  <c r="M150" i="2"/>
  <c r="F150" i="2"/>
  <c r="AS149" i="2"/>
  <c r="AN149" i="2"/>
  <c r="AK149" i="2"/>
  <c r="AI149" i="2"/>
  <c r="AF149" i="2"/>
  <c r="AD149" i="2"/>
  <c r="AB149" i="2"/>
  <c r="X149" i="2"/>
  <c r="V149" i="2"/>
  <c r="T149" i="2"/>
  <c r="Q149" i="2"/>
  <c r="O149" i="2"/>
  <c r="M149" i="2"/>
  <c r="F149" i="2"/>
  <c r="AS148" i="2"/>
  <c r="AN148" i="2"/>
  <c r="AK148" i="2"/>
  <c r="AI148" i="2"/>
  <c r="AF148" i="2"/>
  <c r="AD148" i="2"/>
  <c r="AB148" i="2"/>
  <c r="X148" i="2"/>
  <c r="V148" i="2"/>
  <c r="T148" i="2"/>
  <c r="Q148" i="2"/>
  <c r="O148" i="2"/>
  <c r="M148" i="2"/>
  <c r="F148" i="2"/>
  <c r="AS147" i="2"/>
  <c r="AN147" i="2"/>
  <c r="AK147" i="2"/>
  <c r="AI147" i="2"/>
  <c r="AF147" i="2"/>
  <c r="AD147" i="2"/>
  <c r="AB147" i="2"/>
  <c r="X147" i="2"/>
  <c r="V147" i="2"/>
  <c r="T147" i="2"/>
  <c r="Q147" i="2"/>
  <c r="O147" i="2"/>
  <c r="M147" i="2"/>
  <c r="F147" i="2"/>
  <c r="AS146" i="2"/>
  <c r="AN146" i="2"/>
  <c r="AK146" i="2"/>
  <c r="AI146" i="2"/>
  <c r="AF146" i="2"/>
  <c r="AD146" i="2"/>
  <c r="AB146" i="2"/>
  <c r="X146" i="2"/>
  <c r="V146" i="2"/>
  <c r="T146" i="2"/>
  <c r="Q146" i="2"/>
  <c r="O146" i="2"/>
  <c r="M146" i="2"/>
  <c r="F146" i="2"/>
  <c r="AS145" i="2"/>
  <c r="AN145" i="2"/>
  <c r="AK145" i="2"/>
  <c r="AI145" i="2"/>
  <c r="AF145" i="2"/>
  <c r="AD145" i="2"/>
  <c r="AB145" i="2"/>
  <c r="X145" i="2"/>
  <c r="V145" i="2"/>
  <c r="T145" i="2"/>
  <c r="Q145" i="2"/>
  <c r="O145" i="2"/>
  <c r="M145" i="2"/>
  <c r="F145" i="2"/>
  <c r="AS144" i="2"/>
  <c r="AN144" i="2"/>
  <c r="AK144" i="2"/>
  <c r="AI144" i="2"/>
  <c r="AF144" i="2"/>
  <c r="AD144" i="2"/>
  <c r="X144" i="2"/>
  <c r="V144" i="2"/>
  <c r="T144" i="2"/>
  <c r="Q144" i="2"/>
  <c r="O144" i="2"/>
  <c r="M144" i="2"/>
  <c r="F144" i="2"/>
  <c r="AS143" i="2"/>
  <c r="AN143" i="2"/>
  <c r="AK143" i="2"/>
  <c r="AI143" i="2"/>
  <c r="AF143" i="2"/>
  <c r="AD143" i="2"/>
  <c r="X143" i="2"/>
  <c r="V143" i="2"/>
  <c r="T143" i="2"/>
  <c r="Q143" i="2"/>
  <c r="O143" i="2"/>
  <c r="M143" i="2"/>
  <c r="F143" i="2"/>
  <c r="AS142" i="2"/>
  <c r="AN142" i="2"/>
  <c r="AK142" i="2"/>
  <c r="AI142" i="2"/>
  <c r="AF142" i="2"/>
  <c r="AD142" i="2"/>
  <c r="X142" i="2"/>
  <c r="V142" i="2"/>
  <c r="T142" i="2"/>
  <c r="Q142" i="2"/>
  <c r="O142" i="2"/>
  <c r="M142" i="2"/>
  <c r="F142" i="2"/>
  <c r="AS141" i="2"/>
  <c r="AN141" i="2"/>
  <c r="AK141" i="2"/>
  <c r="AI141" i="2"/>
  <c r="AF141" i="2"/>
  <c r="AD141" i="2"/>
  <c r="X141" i="2"/>
  <c r="V141" i="2"/>
  <c r="T141" i="2"/>
  <c r="Q141" i="2"/>
  <c r="O141" i="2"/>
  <c r="M141" i="2"/>
  <c r="F141" i="2"/>
  <c r="AS140" i="2"/>
  <c r="AN140" i="2"/>
  <c r="AK140" i="2"/>
  <c r="AI140" i="2"/>
  <c r="AF140" i="2"/>
  <c r="AD140" i="2"/>
  <c r="AB140" i="2"/>
  <c r="X140" i="2"/>
  <c r="V140" i="2"/>
  <c r="T140" i="2"/>
  <c r="Q140" i="2"/>
  <c r="O140" i="2"/>
  <c r="M140" i="2"/>
  <c r="F140" i="2"/>
  <c r="AS139" i="2"/>
  <c r="AN139" i="2"/>
  <c r="AK139" i="2"/>
  <c r="AI139" i="2"/>
  <c r="AF139" i="2"/>
  <c r="AD139" i="2"/>
  <c r="X139" i="2"/>
  <c r="V139" i="2"/>
  <c r="T139" i="2"/>
  <c r="Q139" i="2"/>
  <c r="O139" i="2"/>
  <c r="M139" i="2"/>
  <c r="F139" i="2"/>
  <c r="AS138" i="2"/>
  <c r="AN138" i="2"/>
  <c r="AK138" i="2"/>
  <c r="AI138" i="2"/>
  <c r="AF138" i="2"/>
  <c r="AD138" i="2"/>
  <c r="X138" i="2"/>
  <c r="V138" i="2"/>
  <c r="T138" i="2"/>
  <c r="Q138" i="2"/>
  <c r="O138" i="2"/>
  <c r="M138" i="2"/>
  <c r="F138" i="2"/>
  <c r="AS137" i="2"/>
  <c r="AN137" i="2"/>
  <c r="AK137" i="2"/>
  <c r="AI137" i="2"/>
  <c r="AF137" i="2"/>
  <c r="AD137" i="2"/>
  <c r="X137" i="2"/>
  <c r="V137" i="2"/>
  <c r="T137" i="2"/>
  <c r="Q137" i="2"/>
  <c r="O137" i="2"/>
  <c r="M137" i="2"/>
  <c r="F137" i="2"/>
  <c r="AS136" i="2"/>
  <c r="AN136" i="2"/>
  <c r="AK136" i="2"/>
  <c r="AI136" i="2"/>
  <c r="AF136" i="2"/>
  <c r="AD136" i="2"/>
  <c r="AB136" i="2"/>
  <c r="X136" i="2"/>
  <c r="V136" i="2"/>
  <c r="T136" i="2"/>
  <c r="Q136" i="2"/>
  <c r="O136" i="2"/>
  <c r="M136" i="2"/>
  <c r="F136" i="2"/>
  <c r="AS135" i="2"/>
  <c r="AN135" i="2"/>
  <c r="AK135" i="2"/>
  <c r="AI135" i="2"/>
  <c r="AF135" i="2"/>
  <c r="AD135" i="2"/>
  <c r="AB135" i="2"/>
  <c r="X135" i="2"/>
  <c r="V135" i="2"/>
  <c r="T135" i="2"/>
  <c r="Q135" i="2"/>
  <c r="O135" i="2"/>
  <c r="M135" i="2"/>
  <c r="F135" i="2"/>
  <c r="AS134" i="2"/>
  <c r="AN134" i="2"/>
  <c r="AK134" i="2"/>
  <c r="AI134" i="2"/>
  <c r="AF134" i="2"/>
  <c r="AD134" i="2"/>
  <c r="AB134" i="2"/>
  <c r="X134" i="2"/>
  <c r="V134" i="2"/>
  <c r="T134" i="2"/>
  <c r="Q134" i="2"/>
  <c r="O134" i="2"/>
  <c r="M134" i="2"/>
  <c r="F134" i="2"/>
  <c r="AS133" i="2"/>
  <c r="AK133" i="2"/>
  <c r="AI133" i="2"/>
  <c r="AF133" i="2"/>
  <c r="AD133" i="2"/>
  <c r="AB133" i="2"/>
  <c r="X133" i="2"/>
  <c r="V133" i="2"/>
  <c r="T133" i="2"/>
  <c r="Q133" i="2"/>
  <c r="O133" i="2"/>
  <c r="M133" i="2"/>
  <c r="F133" i="2"/>
  <c r="AS132" i="2"/>
  <c r="AK132" i="2"/>
  <c r="AI132" i="2"/>
  <c r="AF132" i="2"/>
  <c r="AD132" i="2"/>
  <c r="AB132" i="2"/>
  <c r="X132" i="2"/>
  <c r="V132" i="2"/>
  <c r="T132" i="2"/>
  <c r="Q132" i="2"/>
  <c r="O132" i="2"/>
  <c r="M132" i="2"/>
  <c r="F132" i="2"/>
  <c r="AS131" i="2"/>
  <c r="AN131" i="2"/>
  <c r="AK131" i="2"/>
  <c r="AI131" i="2"/>
  <c r="AF131" i="2"/>
  <c r="AD131" i="2"/>
  <c r="AB131" i="2"/>
  <c r="X131" i="2"/>
  <c r="V131" i="2"/>
  <c r="T131" i="2"/>
  <c r="Q131" i="2"/>
  <c r="O131" i="2"/>
  <c r="M131" i="2"/>
  <c r="F131" i="2"/>
  <c r="AS130" i="2"/>
  <c r="AN130" i="2"/>
  <c r="AK130" i="2"/>
  <c r="AI130" i="2"/>
  <c r="AF130" i="2"/>
  <c r="AD130" i="2"/>
  <c r="AB130" i="2"/>
  <c r="X130" i="2"/>
  <c r="V130" i="2"/>
  <c r="T130" i="2"/>
  <c r="Q130" i="2"/>
  <c r="O130" i="2"/>
  <c r="M130" i="2"/>
  <c r="F130" i="2"/>
  <c r="AS129" i="2"/>
  <c r="AN129" i="2"/>
  <c r="AK129" i="2"/>
  <c r="AI129" i="2"/>
  <c r="AF129" i="2"/>
  <c r="AD129" i="2"/>
  <c r="AB129" i="2"/>
  <c r="X129" i="2"/>
  <c r="V129" i="2"/>
  <c r="T129" i="2"/>
  <c r="Q129" i="2"/>
  <c r="O129" i="2"/>
  <c r="M129" i="2"/>
  <c r="F129" i="2"/>
  <c r="AS128" i="2"/>
  <c r="AN128" i="2"/>
  <c r="AK128" i="2"/>
  <c r="AI128" i="2"/>
  <c r="AF128" i="2"/>
  <c r="AD128" i="2"/>
  <c r="AB128" i="2"/>
  <c r="X128" i="2"/>
  <c r="V128" i="2"/>
  <c r="T128" i="2"/>
  <c r="Q128" i="2"/>
  <c r="O128" i="2"/>
  <c r="M128" i="2"/>
  <c r="F128" i="2"/>
  <c r="AS127" i="2"/>
  <c r="AN127" i="2"/>
  <c r="AK127" i="2"/>
  <c r="AI127" i="2"/>
  <c r="AF127" i="2"/>
  <c r="AD127" i="2"/>
  <c r="AB127" i="2"/>
  <c r="X127" i="2"/>
  <c r="V127" i="2"/>
  <c r="T127" i="2"/>
  <c r="Q127" i="2"/>
  <c r="O127" i="2"/>
  <c r="M127" i="2"/>
  <c r="F127" i="2"/>
  <c r="AS126" i="2"/>
  <c r="AN126" i="2"/>
  <c r="AK126" i="2"/>
  <c r="AI126" i="2"/>
  <c r="AF126" i="2"/>
  <c r="AD126" i="2"/>
  <c r="AB126" i="2"/>
  <c r="X126" i="2"/>
  <c r="V126" i="2"/>
  <c r="T126" i="2"/>
  <c r="Q126" i="2"/>
  <c r="O126" i="2"/>
  <c r="M126" i="2"/>
  <c r="F126" i="2"/>
  <c r="AS125" i="2"/>
  <c r="AN125" i="2"/>
  <c r="AK125" i="2"/>
  <c r="AI125" i="2"/>
  <c r="AF125" i="2"/>
  <c r="AD125" i="2"/>
  <c r="AB125" i="2"/>
  <c r="X125" i="2"/>
  <c r="V125" i="2"/>
  <c r="T125" i="2"/>
  <c r="Q125" i="2"/>
  <c r="O125" i="2"/>
  <c r="M125" i="2"/>
  <c r="F125" i="2"/>
  <c r="AS124" i="2"/>
  <c r="AN124" i="2"/>
  <c r="AK124" i="2"/>
  <c r="AI124" i="2"/>
  <c r="AF124" i="2"/>
  <c r="AD124" i="2"/>
  <c r="AB124" i="2"/>
  <c r="X124" i="2"/>
  <c r="V124" i="2"/>
  <c r="T124" i="2"/>
  <c r="Q124" i="2"/>
  <c r="O124" i="2"/>
  <c r="M124" i="2"/>
  <c r="F124" i="2"/>
  <c r="AS123" i="2"/>
  <c r="AN123" i="2"/>
  <c r="AK123" i="2"/>
  <c r="AI123" i="2"/>
  <c r="AF123" i="2"/>
  <c r="AD123" i="2"/>
  <c r="AB123" i="2"/>
  <c r="X123" i="2"/>
  <c r="V123" i="2"/>
  <c r="T123" i="2"/>
  <c r="Q123" i="2"/>
  <c r="O123" i="2"/>
  <c r="M123" i="2"/>
  <c r="F123" i="2"/>
  <c r="AS122" i="2"/>
  <c r="AK122" i="2"/>
  <c r="AI122" i="2"/>
  <c r="AF122" i="2"/>
  <c r="AD122" i="2"/>
  <c r="AB122" i="2"/>
  <c r="X122" i="2"/>
  <c r="V122" i="2"/>
  <c r="T122" i="2"/>
  <c r="Q122" i="2"/>
  <c r="O122" i="2"/>
  <c r="M122" i="2"/>
  <c r="F122" i="2"/>
  <c r="AS121" i="2"/>
  <c r="AK121" i="2"/>
  <c r="AI121" i="2"/>
  <c r="AF121" i="2"/>
  <c r="AD121" i="2"/>
  <c r="AB121" i="2"/>
  <c r="X121" i="2"/>
  <c r="V121" i="2"/>
  <c r="T121" i="2"/>
  <c r="Q121" i="2"/>
  <c r="O121" i="2"/>
  <c r="M121" i="2"/>
  <c r="F121" i="2"/>
  <c r="AS120" i="2"/>
  <c r="AN120" i="2"/>
  <c r="AK120" i="2"/>
  <c r="AI120" i="2"/>
  <c r="AF120" i="2"/>
  <c r="AD120" i="2"/>
  <c r="AB120" i="2"/>
  <c r="X120" i="2"/>
  <c r="V120" i="2"/>
  <c r="T120" i="2"/>
  <c r="Q120" i="2"/>
  <c r="O120" i="2"/>
  <c r="M120" i="2"/>
  <c r="F120" i="2"/>
  <c r="AS119" i="2"/>
  <c r="AN119" i="2"/>
  <c r="AK119" i="2"/>
  <c r="AI119" i="2"/>
  <c r="AF119" i="2"/>
  <c r="AD119" i="2"/>
  <c r="AB119" i="2"/>
  <c r="X119" i="2"/>
  <c r="V119" i="2"/>
  <c r="T119" i="2"/>
  <c r="Q119" i="2"/>
  <c r="O119" i="2"/>
  <c r="M119" i="2"/>
  <c r="F119" i="2"/>
  <c r="AS118" i="2"/>
  <c r="AN118" i="2"/>
  <c r="AK118" i="2"/>
  <c r="AI118" i="2"/>
  <c r="AF118" i="2"/>
  <c r="AD118" i="2"/>
  <c r="AB118" i="2"/>
  <c r="X118" i="2"/>
  <c r="V118" i="2"/>
  <c r="T118" i="2"/>
  <c r="Q118" i="2"/>
  <c r="O118" i="2"/>
  <c r="M118" i="2"/>
  <c r="F118" i="2"/>
  <c r="AS117" i="2"/>
  <c r="AN117" i="2"/>
  <c r="AK117" i="2"/>
  <c r="AI117" i="2"/>
  <c r="AF117" i="2"/>
  <c r="AD117" i="2"/>
  <c r="AB117" i="2"/>
  <c r="X117" i="2"/>
  <c r="V117" i="2"/>
  <c r="T117" i="2"/>
  <c r="Q117" i="2"/>
  <c r="O117" i="2"/>
  <c r="M117" i="2"/>
  <c r="F117" i="2"/>
  <c r="AS116" i="2"/>
  <c r="AN116" i="2"/>
  <c r="AK116" i="2"/>
  <c r="AI116" i="2"/>
  <c r="AF116" i="2"/>
  <c r="AD116" i="2"/>
  <c r="AB116" i="2"/>
  <c r="X116" i="2"/>
  <c r="V116" i="2"/>
  <c r="T116" i="2"/>
  <c r="Q116" i="2"/>
  <c r="O116" i="2"/>
  <c r="M116" i="2"/>
  <c r="F116" i="2"/>
  <c r="AS115" i="2"/>
  <c r="AN115" i="2"/>
  <c r="AK115" i="2"/>
  <c r="AI115" i="2"/>
  <c r="AF115" i="2"/>
  <c r="AD115" i="2"/>
  <c r="AB115" i="2"/>
  <c r="X115" i="2"/>
  <c r="V115" i="2"/>
  <c r="T115" i="2"/>
  <c r="Q115" i="2"/>
  <c r="O115" i="2"/>
  <c r="M115" i="2"/>
  <c r="F115" i="2"/>
  <c r="AS114" i="2"/>
  <c r="AN114" i="2"/>
  <c r="AK114" i="2"/>
  <c r="AI114" i="2"/>
  <c r="AF114" i="2"/>
  <c r="AD114" i="2"/>
  <c r="AB114" i="2"/>
  <c r="X114" i="2"/>
  <c r="V114" i="2"/>
  <c r="T114" i="2"/>
  <c r="Q114" i="2"/>
  <c r="O114" i="2"/>
  <c r="M114" i="2"/>
  <c r="F114" i="2"/>
  <c r="AS113" i="2"/>
  <c r="AN113" i="2"/>
  <c r="AI113" i="2"/>
  <c r="AF113" i="2"/>
  <c r="AD113" i="2"/>
  <c r="AB113" i="2"/>
  <c r="X113" i="2"/>
  <c r="V113" i="2"/>
  <c r="T113" i="2"/>
  <c r="Q113" i="2"/>
  <c r="O113" i="2"/>
  <c r="M113" i="2"/>
  <c r="F113" i="2"/>
  <c r="AS112" i="2"/>
  <c r="AN112" i="2"/>
  <c r="AK112" i="2"/>
  <c r="AI112" i="2"/>
  <c r="AF112" i="2"/>
  <c r="AD112" i="2"/>
  <c r="AB112" i="2"/>
  <c r="X112" i="2"/>
  <c r="V112" i="2"/>
  <c r="T112" i="2"/>
  <c r="Q112" i="2"/>
  <c r="O112" i="2"/>
  <c r="M112" i="2"/>
  <c r="F112" i="2"/>
  <c r="AS111" i="2"/>
  <c r="AK111" i="2"/>
  <c r="AI111" i="2"/>
  <c r="AF111" i="2"/>
  <c r="AD111" i="2"/>
  <c r="AB111" i="2"/>
  <c r="X111" i="2"/>
  <c r="V111" i="2"/>
  <c r="T111" i="2"/>
  <c r="Q111" i="2"/>
  <c r="O111" i="2"/>
  <c r="M111" i="2"/>
  <c r="F111" i="2"/>
  <c r="AS110" i="2"/>
  <c r="AK110" i="2"/>
  <c r="AI110" i="2"/>
  <c r="AF110" i="2"/>
  <c r="AD110" i="2"/>
  <c r="AB110" i="2"/>
  <c r="X110" i="2"/>
  <c r="V110" i="2"/>
  <c r="T110" i="2"/>
  <c r="Q110" i="2"/>
  <c r="O110" i="2"/>
  <c r="M110" i="2"/>
  <c r="F110" i="2"/>
  <c r="AS109" i="2"/>
  <c r="AN109" i="2"/>
  <c r="AK109" i="2"/>
  <c r="AI109" i="2"/>
  <c r="AF109" i="2"/>
  <c r="AD109" i="2"/>
  <c r="AB109" i="2"/>
  <c r="X109" i="2"/>
  <c r="V109" i="2"/>
  <c r="T109" i="2"/>
  <c r="Q109" i="2"/>
  <c r="O109" i="2"/>
  <c r="M109" i="2"/>
  <c r="F109" i="2"/>
  <c r="AS108" i="2"/>
  <c r="AN108" i="2"/>
  <c r="AI108" i="2"/>
  <c r="AF108" i="2"/>
  <c r="AD108" i="2"/>
  <c r="AB108" i="2"/>
  <c r="X108" i="2"/>
  <c r="V108" i="2"/>
  <c r="T108" i="2"/>
  <c r="Q108" i="2"/>
  <c r="O108" i="2"/>
  <c r="M108" i="2"/>
  <c r="F108" i="2"/>
  <c r="AS107" i="2"/>
  <c r="AN107" i="2"/>
  <c r="AK107" i="2"/>
  <c r="AI107" i="2"/>
  <c r="AF107" i="2"/>
  <c r="AD107" i="2"/>
  <c r="AB107" i="2"/>
  <c r="X107" i="2"/>
  <c r="V107" i="2"/>
  <c r="T107" i="2"/>
  <c r="Q107" i="2"/>
  <c r="O107" i="2"/>
  <c r="M107" i="2"/>
  <c r="F107" i="2"/>
  <c r="AS106" i="2"/>
  <c r="AN106" i="2"/>
  <c r="AK106" i="2"/>
  <c r="AI106" i="2"/>
  <c r="AF106" i="2"/>
  <c r="AD106" i="2"/>
  <c r="AB106" i="2"/>
  <c r="X106" i="2"/>
  <c r="V106" i="2"/>
  <c r="T106" i="2"/>
  <c r="Q106" i="2"/>
  <c r="O106" i="2"/>
  <c r="M106" i="2"/>
  <c r="F106" i="2"/>
  <c r="AS105" i="2"/>
  <c r="AN105" i="2"/>
  <c r="AK105" i="2"/>
  <c r="AI105" i="2"/>
  <c r="AF105" i="2"/>
  <c r="AD105" i="2"/>
  <c r="AB105" i="2"/>
  <c r="X105" i="2"/>
  <c r="V105" i="2"/>
  <c r="T105" i="2"/>
  <c r="Q105" i="2"/>
  <c r="O105" i="2"/>
  <c r="M105" i="2"/>
  <c r="F105" i="2"/>
  <c r="AS104" i="2"/>
  <c r="AN104" i="2"/>
  <c r="AK104" i="2"/>
  <c r="AI104" i="2"/>
  <c r="AF104" i="2"/>
  <c r="AD104" i="2"/>
  <c r="AB104" i="2"/>
  <c r="X104" i="2"/>
  <c r="V104" i="2"/>
  <c r="T104" i="2"/>
  <c r="Q104" i="2"/>
  <c r="O104" i="2"/>
  <c r="M104" i="2"/>
  <c r="F104" i="2"/>
  <c r="AS103" i="2"/>
  <c r="AN103" i="2"/>
  <c r="AK103" i="2"/>
  <c r="AI103" i="2"/>
  <c r="AF103" i="2"/>
  <c r="AD103" i="2"/>
  <c r="AB103" i="2"/>
  <c r="X103" i="2"/>
  <c r="V103" i="2"/>
  <c r="T103" i="2"/>
  <c r="Q103" i="2"/>
  <c r="O103" i="2"/>
  <c r="M103" i="2"/>
  <c r="F103" i="2"/>
  <c r="AS102" i="2"/>
  <c r="AN102" i="2"/>
  <c r="AK102" i="2"/>
  <c r="AI102" i="2"/>
  <c r="AF102" i="2"/>
  <c r="AD102" i="2"/>
  <c r="AB102" i="2"/>
  <c r="X102" i="2"/>
  <c r="V102" i="2"/>
  <c r="T102" i="2"/>
  <c r="Q102" i="2"/>
  <c r="O102" i="2"/>
  <c r="M102" i="2"/>
  <c r="F102" i="2"/>
  <c r="AS101" i="2"/>
  <c r="AN101" i="2"/>
  <c r="AK101" i="2"/>
  <c r="AI101" i="2"/>
  <c r="AF101" i="2"/>
  <c r="AD101" i="2"/>
  <c r="AB101" i="2"/>
  <c r="X101" i="2"/>
  <c r="V101" i="2"/>
  <c r="T101" i="2"/>
  <c r="Q101" i="2"/>
  <c r="O101" i="2"/>
  <c r="M101" i="2"/>
  <c r="F101" i="2"/>
  <c r="AS100" i="2"/>
  <c r="AK100" i="2"/>
  <c r="AI100" i="2"/>
  <c r="AF100" i="2"/>
  <c r="AD100" i="2"/>
  <c r="AB100" i="2"/>
  <c r="X100" i="2"/>
  <c r="V100" i="2"/>
  <c r="T100" i="2"/>
  <c r="Q100" i="2"/>
  <c r="O100" i="2"/>
  <c r="M100" i="2"/>
  <c r="F100" i="2"/>
  <c r="AS99" i="2"/>
  <c r="AK99" i="2"/>
  <c r="AI99" i="2"/>
  <c r="AF99" i="2"/>
  <c r="AD99" i="2"/>
  <c r="AB99" i="2"/>
  <c r="X99" i="2"/>
  <c r="V99" i="2"/>
  <c r="T99" i="2"/>
  <c r="Q99" i="2"/>
  <c r="O99" i="2"/>
  <c r="M99" i="2"/>
  <c r="F99" i="2"/>
  <c r="AS98" i="2"/>
  <c r="AN98" i="2"/>
  <c r="AK98" i="2"/>
  <c r="AI98" i="2"/>
  <c r="AF98" i="2"/>
  <c r="AD98" i="2"/>
  <c r="X98" i="2"/>
  <c r="V98" i="2"/>
  <c r="T98" i="2"/>
  <c r="Q98" i="2"/>
  <c r="O98" i="2"/>
  <c r="M98" i="2"/>
  <c r="F98" i="2"/>
  <c r="AS97" i="2"/>
  <c r="AN97" i="2"/>
  <c r="AK97" i="2"/>
  <c r="AI97" i="2"/>
  <c r="AF97" i="2"/>
  <c r="AD97" i="2"/>
  <c r="AB97" i="2"/>
  <c r="X97" i="2"/>
  <c r="V97" i="2"/>
  <c r="T97" i="2"/>
  <c r="Q97" i="2"/>
  <c r="O97" i="2"/>
  <c r="M97" i="2"/>
  <c r="F97" i="2"/>
  <c r="AS96" i="2"/>
  <c r="AN96" i="2"/>
  <c r="AK96" i="2"/>
  <c r="AI96" i="2"/>
  <c r="AF96" i="2"/>
  <c r="AD96" i="2"/>
  <c r="AB96" i="2"/>
  <c r="X96" i="2"/>
  <c r="V96" i="2"/>
  <c r="T96" i="2"/>
  <c r="Q96" i="2"/>
  <c r="O96" i="2"/>
  <c r="M96" i="2"/>
  <c r="F96" i="2"/>
  <c r="AS95" i="2"/>
  <c r="AN95" i="2"/>
  <c r="AK95" i="2"/>
  <c r="AI95" i="2"/>
  <c r="AF95" i="2"/>
  <c r="AD95" i="2"/>
  <c r="AB95" i="2"/>
  <c r="X95" i="2"/>
  <c r="V95" i="2"/>
  <c r="T95" i="2"/>
  <c r="Q95" i="2"/>
  <c r="O95" i="2"/>
  <c r="M95" i="2"/>
  <c r="F95" i="2"/>
  <c r="AS94" i="2"/>
  <c r="AN94" i="2"/>
  <c r="AK94" i="2"/>
  <c r="AI94" i="2"/>
  <c r="AF94" i="2"/>
  <c r="AD94" i="2"/>
  <c r="AB94" i="2"/>
  <c r="X94" i="2"/>
  <c r="V94" i="2"/>
  <c r="T94" i="2"/>
  <c r="Q94" i="2"/>
  <c r="O94" i="2"/>
  <c r="M94" i="2"/>
  <c r="F94" i="2"/>
  <c r="AS93" i="2"/>
  <c r="AN93" i="2"/>
  <c r="AK93" i="2"/>
  <c r="AI93" i="2"/>
  <c r="AF93" i="2"/>
  <c r="AD93" i="2"/>
  <c r="X93" i="2"/>
  <c r="V93" i="2"/>
  <c r="T93" i="2"/>
  <c r="Q93" i="2"/>
  <c r="O93" i="2"/>
  <c r="M93" i="2"/>
  <c r="F93" i="2"/>
  <c r="AS92" i="2"/>
  <c r="AN92" i="2"/>
  <c r="AK92" i="2"/>
  <c r="AI92" i="2"/>
  <c r="AF92" i="2"/>
  <c r="AD92" i="2"/>
  <c r="X92" i="2"/>
  <c r="V92" i="2"/>
  <c r="T92" i="2"/>
  <c r="Q92" i="2"/>
  <c r="O92" i="2"/>
  <c r="M92" i="2"/>
  <c r="F92" i="2"/>
  <c r="AS91" i="2"/>
  <c r="AN91" i="2"/>
  <c r="AK91" i="2"/>
  <c r="AI91" i="2"/>
  <c r="AF91" i="2"/>
  <c r="AD91" i="2"/>
  <c r="X91" i="2"/>
  <c r="V91" i="2"/>
  <c r="T91" i="2"/>
  <c r="Q91" i="2"/>
  <c r="O91" i="2"/>
  <c r="M91" i="2"/>
  <c r="F91" i="2"/>
  <c r="AS90" i="2"/>
  <c r="AN90" i="2"/>
  <c r="AK90" i="2"/>
  <c r="AI90" i="2"/>
  <c r="AF90" i="2"/>
  <c r="AD90" i="2"/>
  <c r="AB90" i="2"/>
  <c r="X90" i="2"/>
  <c r="V90" i="2"/>
  <c r="T90" i="2"/>
  <c r="Q90" i="2"/>
  <c r="O90" i="2"/>
  <c r="M90" i="2"/>
  <c r="F90" i="2"/>
  <c r="AS89" i="2"/>
  <c r="AK89" i="2"/>
  <c r="AI89" i="2"/>
  <c r="AF89" i="2"/>
  <c r="AD89" i="2"/>
  <c r="X89" i="2"/>
  <c r="V89" i="2"/>
  <c r="T89" i="2"/>
  <c r="Q89" i="2"/>
  <c r="O89" i="2"/>
  <c r="M89" i="2"/>
  <c r="F89" i="2"/>
  <c r="AS88" i="2"/>
  <c r="AK88" i="2"/>
  <c r="AI88" i="2"/>
  <c r="AF88" i="2"/>
  <c r="AD88" i="2"/>
  <c r="X88" i="2"/>
  <c r="V88" i="2"/>
  <c r="T88" i="2"/>
  <c r="Q88" i="2"/>
  <c r="O88" i="2"/>
  <c r="M88" i="2"/>
  <c r="F88" i="2"/>
  <c r="AS87" i="2"/>
  <c r="AN87" i="2"/>
  <c r="AK87" i="2"/>
  <c r="AI87" i="2"/>
  <c r="AF87" i="2"/>
  <c r="AD87" i="2"/>
  <c r="X87" i="2"/>
  <c r="V87" i="2"/>
  <c r="T87" i="2"/>
  <c r="Q87" i="2"/>
  <c r="O87" i="2"/>
  <c r="M87" i="2"/>
  <c r="F87" i="2"/>
  <c r="AS86" i="2"/>
  <c r="AN86" i="2"/>
  <c r="AK86" i="2"/>
  <c r="AI86" i="2"/>
  <c r="AF86" i="2"/>
  <c r="AD86" i="2"/>
  <c r="X86" i="2"/>
  <c r="V86" i="2"/>
  <c r="T86" i="2"/>
  <c r="Q86" i="2"/>
  <c r="O86" i="2"/>
  <c r="M86" i="2"/>
  <c r="F86" i="2"/>
  <c r="AS85" i="2"/>
  <c r="AN85" i="2"/>
  <c r="AK85" i="2"/>
  <c r="AI85" i="2"/>
  <c r="AF85" i="2"/>
  <c r="AD85" i="2"/>
  <c r="AB85" i="2"/>
  <c r="X85" i="2"/>
  <c r="V85" i="2"/>
  <c r="T85" i="2"/>
  <c r="Q85" i="2"/>
  <c r="O85" i="2"/>
  <c r="M85" i="2"/>
  <c r="F85" i="2"/>
  <c r="AS84" i="2"/>
  <c r="AN84" i="2"/>
  <c r="AK84" i="2"/>
  <c r="AI84" i="2"/>
  <c r="AF84" i="2"/>
  <c r="AD84" i="2"/>
  <c r="X84" i="2"/>
  <c r="V84" i="2"/>
  <c r="T84" i="2"/>
  <c r="Q84" i="2"/>
  <c r="O84" i="2"/>
  <c r="M84" i="2"/>
  <c r="F84" i="2"/>
  <c r="AS83" i="2"/>
  <c r="AN83" i="2"/>
  <c r="AK83" i="2"/>
  <c r="AI83" i="2"/>
  <c r="AF83" i="2"/>
  <c r="AD83" i="2"/>
  <c r="AB83" i="2"/>
  <c r="X83" i="2"/>
  <c r="V83" i="2"/>
  <c r="T83" i="2"/>
  <c r="Q83" i="2"/>
  <c r="O83" i="2"/>
  <c r="M83" i="2"/>
  <c r="F83" i="2"/>
  <c r="AS82" i="2"/>
  <c r="AN82" i="2"/>
  <c r="AK82" i="2"/>
  <c r="AI82" i="2"/>
  <c r="AF82" i="2"/>
  <c r="AD82" i="2"/>
  <c r="X82" i="2"/>
  <c r="V82" i="2"/>
  <c r="T82" i="2"/>
  <c r="Q82" i="2"/>
  <c r="O82" i="2"/>
  <c r="M82" i="2"/>
  <c r="F82" i="2"/>
  <c r="AS81" i="2"/>
  <c r="AN81" i="2"/>
  <c r="AK81" i="2"/>
  <c r="AI81" i="2"/>
  <c r="AF81" i="2"/>
  <c r="AD81" i="2"/>
  <c r="AB81" i="2"/>
  <c r="X81" i="2"/>
  <c r="V81" i="2"/>
  <c r="T81" i="2"/>
  <c r="Q81" i="2"/>
  <c r="O81" i="2"/>
  <c r="M81" i="2"/>
  <c r="F81" i="2"/>
  <c r="AS80" i="2"/>
  <c r="AN80" i="2"/>
  <c r="AK80" i="2"/>
  <c r="AI80" i="2"/>
  <c r="AF80" i="2"/>
  <c r="AD80" i="2"/>
  <c r="X80" i="2"/>
  <c r="V80" i="2"/>
  <c r="T80" i="2"/>
  <c r="Q80" i="2"/>
  <c r="O80" i="2"/>
  <c r="M80" i="2"/>
  <c r="F80" i="2"/>
  <c r="AS79" i="2"/>
  <c r="AN79" i="2"/>
  <c r="AK79" i="2"/>
  <c r="AI79" i="2"/>
  <c r="AF79" i="2"/>
  <c r="AD79" i="2"/>
  <c r="AB79" i="2"/>
  <c r="X79" i="2"/>
  <c r="V79" i="2"/>
  <c r="T79" i="2"/>
  <c r="Q79" i="2"/>
  <c r="O79" i="2"/>
  <c r="M79" i="2"/>
  <c r="F79" i="2"/>
  <c r="AS78" i="2"/>
  <c r="AK78" i="2"/>
  <c r="AI78" i="2"/>
  <c r="AF78" i="2"/>
  <c r="AD78" i="2"/>
  <c r="AB78" i="2"/>
  <c r="X78" i="2"/>
  <c r="V78" i="2"/>
  <c r="T78" i="2"/>
  <c r="Q78" i="2"/>
  <c r="O78" i="2"/>
  <c r="M78" i="2"/>
  <c r="F78" i="2"/>
  <c r="AS77" i="2"/>
  <c r="AK77" i="2"/>
  <c r="AI77" i="2"/>
  <c r="AF77" i="2"/>
  <c r="AD77" i="2"/>
  <c r="AB77" i="2"/>
  <c r="X77" i="2"/>
  <c r="V77" i="2"/>
  <c r="T77" i="2"/>
  <c r="Q77" i="2"/>
  <c r="O77" i="2"/>
  <c r="M77" i="2"/>
  <c r="F77" i="2"/>
  <c r="AS76" i="2"/>
  <c r="AN76" i="2"/>
  <c r="AK76" i="2"/>
  <c r="AI76" i="2"/>
  <c r="AF76" i="2"/>
  <c r="AD76" i="2"/>
  <c r="AB76" i="2"/>
  <c r="X76" i="2"/>
  <c r="V76" i="2"/>
  <c r="T76" i="2"/>
  <c r="Q76" i="2"/>
  <c r="O76" i="2"/>
  <c r="M76" i="2"/>
  <c r="F76" i="2"/>
  <c r="AS75" i="2"/>
  <c r="AN75" i="2"/>
  <c r="AK75" i="2"/>
  <c r="AI75" i="2"/>
  <c r="AF75" i="2"/>
  <c r="AD75" i="2"/>
  <c r="AB75" i="2"/>
  <c r="X75" i="2"/>
  <c r="V75" i="2"/>
  <c r="T75" i="2"/>
  <c r="Q75" i="2"/>
  <c r="O75" i="2"/>
  <c r="M75" i="2"/>
  <c r="F75" i="2"/>
  <c r="AS74" i="2"/>
  <c r="AN74" i="2"/>
  <c r="AK74" i="2"/>
  <c r="AI74" i="2"/>
  <c r="AF74" i="2"/>
  <c r="AD74" i="2"/>
  <c r="AB74" i="2"/>
  <c r="X74" i="2"/>
  <c r="V74" i="2"/>
  <c r="T74" i="2"/>
  <c r="Q74" i="2"/>
  <c r="O74" i="2"/>
  <c r="M74" i="2"/>
  <c r="F74" i="2"/>
  <c r="AS73" i="2"/>
  <c r="AN73" i="2"/>
  <c r="AK73" i="2"/>
  <c r="AI73" i="2"/>
  <c r="AF73" i="2"/>
  <c r="AD73" i="2"/>
  <c r="AB73" i="2"/>
  <c r="X73" i="2"/>
  <c r="V73" i="2"/>
  <c r="T73" i="2"/>
  <c r="Q73" i="2"/>
  <c r="O73" i="2"/>
  <c r="M73" i="2"/>
  <c r="F73" i="2"/>
  <c r="AS72" i="2"/>
  <c r="AN72" i="2"/>
  <c r="AK72" i="2"/>
  <c r="AI72" i="2"/>
  <c r="AF72" i="2"/>
  <c r="AD72" i="2"/>
  <c r="AB72" i="2"/>
  <c r="X72" i="2"/>
  <c r="V72" i="2"/>
  <c r="T72" i="2"/>
  <c r="Q72" i="2"/>
  <c r="O72" i="2"/>
  <c r="M72" i="2"/>
  <c r="F72" i="2"/>
  <c r="AS71" i="2"/>
  <c r="AN71" i="2"/>
  <c r="AK71" i="2"/>
  <c r="AI71" i="2"/>
  <c r="AF71" i="2"/>
  <c r="AD71" i="2"/>
  <c r="AB71" i="2"/>
  <c r="X71" i="2"/>
  <c r="V71" i="2"/>
  <c r="T71" i="2"/>
  <c r="Q71" i="2"/>
  <c r="O71" i="2"/>
  <c r="M71" i="2"/>
  <c r="F71" i="2"/>
  <c r="AS70" i="2"/>
  <c r="AN70" i="2"/>
  <c r="AK70" i="2"/>
  <c r="AI70" i="2"/>
  <c r="AF70" i="2"/>
  <c r="AD70" i="2"/>
  <c r="AB70" i="2"/>
  <c r="X70" i="2"/>
  <c r="V70" i="2"/>
  <c r="T70" i="2"/>
  <c r="Q70" i="2"/>
  <c r="O70" i="2"/>
  <c r="M70" i="2"/>
  <c r="F70" i="2"/>
  <c r="AS69" i="2"/>
  <c r="AN69" i="2"/>
  <c r="AK69" i="2"/>
  <c r="AI69" i="2"/>
  <c r="AF69" i="2"/>
  <c r="AD69" i="2"/>
  <c r="AB69" i="2"/>
  <c r="X69" i="2"/>
  <c r="V69" i="2"/>
  <c r="T69" i="2"/>
  <c r="Q69" i="2"/>
  <c r="O69" i="2"/>
  <c r="M69" i="2"/>
  <c r="F69" i="2"/>
  <c r="AS68" i="2"/>
  <c r="AN68" i="2"/>
  <c r="AK68" i="2"/>
  <c r="AI68" i="2"/>
  <c r="AF68" i="2"/>
  <c r="AD68" i="2"/>
  <c r="AB68" i="2"/>
  <c r="X68" i="2"/>
  <c r="V68" i="2"/>
  <c r="T68" i="2"/>
  <c r="Q68" i="2"/>
  <c r="O68" i="2"/>
  <c r="M68" i="2"/>
  <c r="F68" i="2"/>
  <c r="AS67" i="2"/>
  <c r="AN67" i="2"/>
  <c r="AK67" i="2"/>
  <c r="AI67" i="2"/>
  <c r="AF67" i="2"/>
  <c r="AD67" i="2"/>
  <c r="AB67" i="2"/>
  <c r="X67" i="2"/>
  <c r="V67" i="2"/>
  <c r="T67" i="2"/>
  <c r="Q67" i="2"/>
  <c r="O67" i="2"/>
  <c r="M67" i="2"/>
  <c r="F67" i="2"/>
  <c r="AS66" i="2"/>
  <c r="AN66" i="2"/>
  <c r="AK66" i="2"/>
  <c r="AI66" i="2"/>
  <c r="AF66" i="2"/>
  <c r="AD66" i="2"/>
  <c r="AB66" i="2"/>
  <c r="X66" i="2"/>
  <c r="V66" i="2"/>
  <c r="T66" i="2"/>
  <c r="Q66" i="2"/>
  <c r="O66" i="2"/>
  <c r="M66" i="2"/>
  <c r="F66" i="2"/>
  <c r="AS65" i="2"/>
  <c r="AN65" i="2"/>
  <c r="AK65" i="2"/>
  <c r="AI65" i="2"/>
  <c r="AF65" i="2"/>
  <c r="AD65" i="2"/>
  <c r="AB65" i="2"/>
  <c r="X65" i="2"/>
  <c r="V65" i="2"/>
  <c r="T65" i="2"/>
  <c r="Q65" i="2"/>
  <c r="O65" i="2"/>
  <c r="M65" i="2"/>
  <c r="F65" i="2"/>
  <c r="AS64" i="2"/>
  <c r="AN64" i="2"/>
  <c r="AK64" i="2"/>
  <c r="AI64" i="2"/>
  <c r="AF64" i="2"/>
  <c r="AD64" i="2"/>
  <c r="AB64" i="2"/>
  <c r="X64" i="2"/>
  <c r="V64" i="2"/>
  <c r="T64" i="2"/>
  <c r="Q64" i="2"/>
  <c r="O64" i="2"/>
  <c r="M64" i="2"/>
  <c r="F64" i="2"/>
  <c r="AS63" i="2"/>
  <c r="AN63" i="2"/>
  <c r="AK63" i="2"/>
  <c r="AI63" i="2"/>
  <c r="AF63" i="2"/>
  <c r="AD63" i="2"/>
  <c r="AB63" i="2"/>
  <c r="X63" i="2"/>
  <c r="V63" i="2"/>
  <c r="T63" i="2"/>
  <c r="Q63" i="2"/>
  <c r="O63" i="2"/>
  <c r="M63" i="2"/>
  <c r="F63" i="2"/>
  <c r="AS62" i="2"/>
  <c r="AN62" i="2"/>
  <c r="AK62" i="2"/>
  <c r="AI62" i="2"/>
  <c r="AF62" i="2"/>
  <c r="AD62" i="2"/>
  <c r="AB62" i="2"/>
  <c r="X62" i="2"/>
  <c r="V62" i="2"/>
  <c r="T62" i="2"/>
  <c r="Q62" i="2"/>
  <c r="O62" i="2"/>
  <c r="M62" i="2"/>
  <c r="F62" i="2"/>
  <c r="AS61" i="2"/>
  <c r="AN61" i="2"/>
  <c r="AK61" i="2"/>
  <c r="AI61" i="2"/>
  <c r="AF61" i="2"/>
  <c r="AD61" i="2"/>
  <c r="AB61" i="2"/>
  <c r="X61" i="2"/>
  <c r="V61" i="2"/>
  <c r="T61" i="2"/>
  <c r="Q61" i="2"/>
  <c r="O61" i="2"/>
  <c r="M61" i="2"/>
  <c r="F61" i="2"/>
  <c r="AS60" i="2"/>
  <c r="AN60" i="2"/>
  <c r="AK60" i="2"/>
  <c r="AI60" i="2"/>
  <c r="AF60" i="2"/>
  <c r="AD60" i="2"/>
  <c r="AB60" i="2"/>
  <c r="X60" i="2"/>
  <c r="V60" i="2"/>
  <c r="T60" i="2"/>
  <c r="Q60" i="2"/>
  <c r="O60" i="2"/>
  <c r="M60" i="2"/>
  <c r="F60" i="2"/>
  <c r="AS59" i="2"/>
  <c r="AN59" i="2"/>
  <c r="AK59" i="2"/>
  <c r="AI59" i="2"/>
  <c r="AF59" i="2"/>
  <c r="AD59" i="2"/>
  <c r="AB59" i="2"/>
  <c r="X59" i="2"/>
  <c r="V59" i="2"/>
  <c r="T59" i="2"/>
  <c r="Q59" i="2"/>
  <c r="O59" i="2"/>
  <c r="M59" i="2"/>
  <c r="F59" i="2"/>
  <c r="AS58" i="2"/>
  <c r="AN58" i="2"/>
  <c r="AK58" i="2"/>
  <c r="AF58" i="2"/>
  <c r="AD58" i="2"/>
  <c r="AB58" i="2"/>
  <c r="X58" i="2"/>
  <c r="V58" i="2"/>
  <c r="T58" i="2"/>
  <c r="Q58" i="2"/>
  <c r="O58" i="2"/>
  <c r="F58" i="2"/>
  <c r="AS57" i="2"/>
  <c r="AN57" i="2"/>
  <c r="AK57" i="2"/>
  <c r="AI57" i="2"/>
  <c r="AF57" i="2"/>
  <c r="AD57" i="2"/>
  <c r="AB57" i="2"/>
  <c r="X57" i="2"/>
  <c r="V57" i="2"/>
  <c r="T57" i="2"/>
  <c r="Q57" i="2"/>
  <c r="O57" i="2"/>
  <c r="M57" i="2"/>
  <c r="F57" i="2"/>
  <c r="AS56" i="2"/>
  <c r="AK56" i="2"/>
  <c r="AI56" i="2"/>
  <c r="AF56" i="2"/>
  <c r="AD56" i="2"/>
  <c r="AB56" i="2"/>
  <c r="X56" i="2"/>
  <c r="V56" i="2"/>
  <c r="T56" i="2"/>
  <c r="Q56" i="2"/>
  <c r="O56" i="2"/>
  <c r="M56" i="2"/>
  <c r="F56" i="2"/>
  <c r="AS55" i="2"/>
  <c r="AK55" i="2"/>
  <c r="AI55" i="2"/>
  <c r="AF55" i="2"/>
  <c r="AD55" i="2"/>
  <c r="AB55" i="2"/>
  <c r="X55" i="2"/>
  <c r="V55" i="2"/>
  <c r="T55" i="2"/>
  <c r="Q55" i="2"/>
  <c r="O55" i="2"/>
  <c r="M55" i="2"/>
  <c r="F55" i="2"/>
  <c r="AS54" i="2"/>
  <c r="AN54" i="2"/>
  <c r="AK54" i="2"/>
  <c r="AI54" i="2"/>
  <c r="AF54" i="2"/>
  <c r="AD54" i="2"/>
  <c r="AB54" i="2"/>
  <c r="X54" i="2"/>
  <c r="V54" i="2"/>
  <c r="T54" i="2"/>
  <c r="Q54" i="2"/>
  <c r="O54" i="2"/>
  <c r="M54" i="2"/>
  <c r="F54" i="2"/>
  <c r="AS53" i="2"/>
  <c r="AN53" i="2"/>
  <c r="AK53" i="2"/>
  <c r="AI53" i="2"/>
  <c r="AF53" i="2"/>
  <c r="AD53" i="2"/>
  <c r="AB53" i="2"/>
  <c r="X53" i="2"/>
  <c r="V53" i="2"/>
  <c r="T53" i="2"/>
  <c r="Q53" i="2"/>
  <c r="O53" i="2"/>
  <c r="M53" i="2"/>
  <c r="F53" i="2"/>
  <c r="AS52" i="2"/>
  <c r="AN52" i="2"/>
  <c r="AK52" i="2"/>
  <c r="AI52" i="2"/>
  <c r="AF52" i="2"/>
  <c r="AD52" i="2"/>
  <c r="AB52" i="2"/>
  <c r="X52" i="2"/>
  <c r="V52" i="2"/>
  <c r="T52" i="2"/>
  <c r="Q52" i="2"/>
  <c r="O52" i="2"/>
  <c r="M52" i="2"/>
  <c r="F52" i="2"/>
  <c r="AS51" i="2"/>
  <c r="AN51" i="2"/>
  <c r="AK51" i="2"/>
  <c r="AI51" i="2"/>
  <c r="AF51" i="2"/>
  <c r="AD51" i="2"/>
  <c r="AB51" i="2"/>
  <c r="X51" i="2"/>
  <c r="V51" i="2"/>
  <c r="T51" i="2"/>
  <c r="Q51" i="2"/>
  <c r="O51" i="2"/>
  <c r="M51" i="2"/>
  <c r="F51" i="2"/>
  <c r="AS50" i="2"/>
  <c r="AN50" i="2"/>
  <c r="AK50" i="2"/>
  <c r="AI50" i="2"/>
  <c r="AF50" i="2"/>
  <c r="AD50" i="2"/>
  <c r="AB50" i="2"/>
  <c r="X50" i="2"/>
  <c r="V50" i="2"/>
  <c r="T50" i="2"/>
  <c r="Q50" i="2"/>
  <c r="O50" i="2"/>
  <c r="M50" i="2"/>
  <c r="F50" i="2"/>
  <c r="AS49" i="2"/>
  <c r="AN49" i="2"/>
  <c r="AK49" i="2"/>
  <c r="AI49" i="2"/>
  <c r="AF49" i="2"/>
  <c r="AD49" i="2"/>
  <c r="AB49" i="2"/>
  <c r="X49" i="2"/>
  <c r="V49" i="2"/>
  <c r="T49" i="2"/>
  <c r="Q49" i="2"/>
  <c r="O49" i="2"/>
  <c r="M49" i="2"/>
  <c r="F49" i="2"/>
  <c r="AS48" i="2"/>
  <c r="AN48" i="2"/>
  <c r="AK48" i="2"/>
  <c r="AI48" i="2"/>
  <c r="AF48" i="2"/>
  <c r="AD48" i="2"/>
  <c r="AB48" i="2"/>
  <c r="X48" i="2"/>
  <c r="V48" i="2"/>
  <c r="T48" i="2"/>
  <c r="Q48" i="2"/>
  <c r="O48" i="2"/>
  <c r="M48" i="2"/>
  <c r="F48" i="2"/>
  <c r="AS47" i="2"/>
  <c r="AN47" i="2"/>
  <c r="AK47" i="2"/>
  <c r="AI47" i="2"/>
  <c r="AF47" i="2"/>
  <c r="AD47" i="2"/>
  <c r="AB47" i="2"/>
  <c r="X47" i="2"/>
  <c r="V47" i="2"/>
  <c r="T47" i="2"/>
  <c r="Q47" i="2"/>
  <c r="O47" i="2"/>
  <c r="M47" i="2"/>
  <c r="F47" i="2"/>
  <c r="AS46" i="2"/>
  <c r="AN46" i="2"/>
  <c r="AK46" i="2"/>
  <c r="AI46" i="2"/>
  <c r="AF46" i="2"/>
  <c r="AD46" i="2"/>
  <c r="AB46" i="2"/>
  <c r="X46" i="2"/>
  <c r="V46" i="2"/>
  <c r="T46" i="2"/>
  <c r="Q46" i="2"/>
  <c r="O46" i="2"/>
  <c r="M46" i="2"/>
  <c r="F46" i="2"/>
  <c r="AS45" i="2"/>
  <c r="AK45" i="2"/>
  <c r="AI45" i="2"/>
  <c r="AF45" i="2"/>
  <c r="AD45" i="2"/>
  <c r="X45" i="2"/>
  <c r="V45" i="2"/>
  <c r="T45" i="2"/>
  <c r="Q45" i="2"/>
  <c r="O45" i="2"/>
  <c r="M45" i="2"/>
  <c r="F45" i="2"/>
  <c r="AS44" i="2"/>
  <c r="AK44" i="2"/>
  <c r="AI44" i="2"/>
  <c r="AF44" i="2"/>
  <c r="AD44" i="2"/>
  <c r="X44" i="2"/>
  <c r="V44" i="2"/>
  <c r="T44" i="2"/>
  <c r="Q44" i="2"/>
  <c r="O44" i="2"/>
  <c r="M44" i="2"/>
  <c r="F44" i="2"/>
  <c r="AS43" i="2"/>
  <c r="AN43" i="2"/>
  <c r="AK43" i="2"/>
  <c r="AI43" i="2"/>
  <c r="AF43" i="2"/>
  <c r="AD43" i="2"/>
  <c r="X43" i="2"/>
  <c r="V43" i="2"/>
  <c r="T43" i="2"/>
  <c r="Q43" i="2"/>
  <c r="O43" i="2"/>
  <c r="M43" i="2"/>
  <c r="F43" i="2"/>
  <c r="AS42" i="2"/>
  <c r="AN42" i="2"/>
  <c r="AK42" i="2"/>
  <c r="AI42" i="2"/>
  <c r="AF42" i="2"/>
  <c r="AD42" i="2"/>
  <c r="X42" i="2"/>
  <c r="V42" i="2"/>
  <c r="T42" i="2"/>
  <c r="Q42" i="2"/>
  <c r="O42" i="2"/>
  <c r="M42" i="2"/>
  <c r="F42" i="2"/>
  <c r="AS41" i="2"/>
  <c r="AN41" i="2"/>
  <c r="AK41" i="2"/>
  <c r="AI41" i="2"/>
  <c r="AF41" i="2"/>
  <c r="AD41" i="2"/>
  <c r="X41" i="2"/>
  <c r="V41" i="2"/>
  <c r="T41" i="2"/>
  <c r="Q41" i="2"/>
  <c r="O41" i="2"/>
  <c r="M41" i="2"/>
  <c r="F41" i="2"/>
  <c r="AS40" i="2"/>
  <c r="AN40" i="2"/>
  <c r="AK40" i="2"/>
  <c r="AI40" i="2"/>
  <c r="AF40" i="2"/>
  <c r="AD40" i="2"/>
  <c r="AB40" i="2"/>
  <c r="X40" i="2"/>
  <c r="V40" i="2"/>
  <c r="T40" i="2"/>
  <c r="Q40" i="2"/>
  <c r="O40" i="2"/>
  <c r="M40" i="2"/>
  <c r="F40" i="2"/>
  <c r="AS39" i="2"/>
  <c r="AN39" i="2"/>
  <c r="AK39" i="2"/>
  <c r="AI39" i="2"/>
  <c r="AF39" i="2"/>
  <c r="AD39" i="2"/>
  <c r="X39" i="2"/>
  <c r="V39" i="2"/>
  <c r="T39" i="2"/>
  <c r="Q39" i="2"/>
  <c r="O39" i="2"/>
  <c r="M39" i="2"/>
  <c r="F39" i="2"/>
  <c r="AS38" i="2"/>
  <c r="AN38" i="2"/>
  <c r="AK38" i="2"/>
  <c r="AI38" i="2"/>
  <c r="AF38" i="2"/>
  <c r="AD38" i="2"/>
  <c r="X38" i="2"/>
  <c r="V38" i="2"/>
  <c r="T38" i="2"/>
  <c r="Q38" i="2"/>
  <c r="O38" i="2"/>
  <c r="M38" i="2"/>
  <c r="F38" i="2"/>
  <c r="AS37" i="2"/>
  <c r="AN37" i="2"/>
  <c r="AK37" i="2"/>
  <c r="AI37" i="2"/>
  <c r="AF37" i="2"/>
  <c r="AD37" i="2"/>
  <c r="V37" i="2"/>
  <c r="T37" i="2"/>
  <c r="Q37" i="2"/>
  <c r="O37" i="2"/>
  <c r="M37" i="2"/>
  <c r="F37" i="2"/>
  <c r="AS36" i="2"/>
  <c r="AN36" i="2"/>
  <c r="AK36" i="2"/>
  <c r="AI36" i="2"/>
  <c r="AF36" i="2"/>
  <c r="AD36" i="2"/>
  <c r="AB36" i="2"/>
  <c r="X36" i="2"/>
  <c r="V36" i="2"/>
  <c r="T36" i="2"/>
  <c r="Q36" i="2"/>
  <c r="O36" i="2"/>
  <c r="M36" i="2"/>
  <c r="F36" i="2"/>
  <c r="AS35" i="2"/>
  <c r="AN35" i="2"/>
  <c r="AK35" i="2"/>
  <c r="AI35" i="2"/>
  <c r="AF35" i="2"/>
  <c r="AD35" i="2"/>
  <c r="X35" i="2"/>
  <c r="V35" i="2"/>
  <c r="T35" i="2"/>
  <c r="Q35" i="2"/>
  <c r="O35" i="2"/>
  <c r="M35" i="2"/>
  <c r="F35" i="2"/>
  <c r="AS34" i="2"/>
  <c r="AK34" i="2"/>
  <c r="AF34" i="2"/>
  <c r="AD34" i="2"/>
  <c r="X34" i="2"/>
  <c r="V34" i="2"/>
  <c r="T34" i="2"/>
  <c r="Q34" i="2"/>
  <c r="O34" i="2"/>
  <c r="M34" i="2"/>
  <c r="F34" i="2"/>
  <c r="AS33" i="2"/>
  <c r="AK33" i="2"/>
  <c r="AI33" i="2"/>
  <c r="AF33" i="2"/>
  <c r="AD33" i="2"/>
  <c r="X33" i="2"/>
  <c r="V33" i="2"/>
  <c r="T33" i="2"/>
  <c r="Q33" i="2"/>
  <c r="O33" i="2"/>
  <c r="M33" i="2"/>
  <c r="F33" i="2"/>
  <c r="AS32" i="2"/>
  <c r="AN32" i="2"/>
  <c r="AK32" i="2"/>
  <c r="AI32" i="2"/>
  <c r="AF32" i="2"/>
  <c r="AD32" i="2"/>
  <c r="AB32" i="2"/>
  <c r="X32" i="2"/>
  <c r="V32" i="2"/>
  <c r="T32" i="2"/>
  <c r="Q32" i="2"/>
  <c r="O32" i="2"/>
  <c r="M32" i="2"/>
  <c r="F32" i="2"/>
  <c r="AS31" i="2"/>
  <c r="AN31" i="2"/>
  <c r="AK31" i="2"/>
  <c r="AI31" i="2"/>
  <c r="AF31" i="2"/>
  <c r="AD31" i="2"/>
  <c r="AB31" i="2"/>
  <c r="X31" i="2"/>
  <c r="V31" i="2"/>
  <c r="T31" i="2"/>
  <c r="Q31" i="2"/>
  <c r="O31" i="2"/>
  <c r="M31" i="2"/>
  <c r="F31" i="2"/>
  <c r="AS30" i="2"/>
  <c r="AN30" i="2"/>
  <c r="AK30" i="2"/>
  <c r="AI30" i="2"/>
  <c r="AF30" i="2"/>
  <c r="AD30" i="2"/>
  <c r="AB30" i="2"/>
  <c r="X30" i="2"/>
  <c r="V30" i="2"/>
  <c r="T30" i="2"/>
  <c r="Q30" i="2"/>
  <c r="O30" i="2"/>
  <c r="M30" i="2"/>
  <c r="F30" i="2"/>
  <c r="AS29" i="2"/>
  <c r="AN29" i="2"/>
  <c r="AK29" i="2"/>
  <c r="AI29" i="2"/>
  <c r="AF29" i="2"/>
  <c r="AD29" i="2"/>
  <c r="AB29" i="2"/>
  <c r="X29" i="2"/>
  <c r="V29" i="2"/>
  <c r="T29" i="2"/>
  <c r="Q29" i="2"/>
  <c r="O29" i="2"/>
  <c r="M29" i="2"/>
  <c r="F29" i="2"/>
  <c r="AS28" i="2"/>
  <c r="AN28" i="2"/>
  <c r="AK28" i="2"/>
  <c r="AI28" i="2"/>
  <c r="AF28" i="2"/>
  <c r="AD28" i="2"/>
  <c r="AB28" i="2"/>
  <c r="X28" i="2"/>
  <c r="V28" i="2"/>
  <c r="T28" i="2"/>
  <c r="Q28" i="2"/>
  <c r="O28" i="2"/>
  <c r="M28" i="2"/>
  <c r="F28" i="2"/>
  <c r="AS27" i="2"/>
  <c r="AN27" i="2"/>
  <c r="AK27" i="2"/>
  <c r="AI27" i="2"/>
  <c r="AF27" i="2"/>
  <c r="AD27" i="2"/>
  <c r="X27" i="2"/>
  <c r="V27" i="2"/>
  <c r="T27" i="2"/>
  <c r="Q27" i="2"/>
  <c r="O27" i="2"/>
  <c r="M27" i="2"/>
  <c r="F27" i="2"/>
  <c r="AS26" i="2"/>
  <c r="AN26" i="2"/>
  <c r="AK26" i="2"/>
  <c r="AI26" i="2"/>
  <c r="AF26" i="2"/>
  <c r="AD26" i="2"/>
  <c r="X26" i="2"/>
  <c r="V26" i="2"/>
  <c r="T26" i="2"/>
  <c r="Q26" i="2"/>
  <c r="O26" i="2"/>
  <c r="M26" i="2"/>
  <c r="F26" i="2"/>
  <c r="AS25" i="2"/>
  <c r="AN25" i="2"/>
  <c r="AK25" i="2"/>
  <c r="AI25" i="2"/>
  <c r="AF25" i="2"/>
  <c r="AD25" i="2"/>
  <c r="AB25" i="2"/>
  <c r="X25" i="2"/>
  <c r="V25" i="2"/>
  <c r="T25" i="2"/>
  <c r="Q25" i="2"/>
  <c r="O25" i="2"/>
  <c r="M25" i="2"/>
  <c r="F25" i="2"/>
  <c r="AS24" i="2"/>
  <c r="AN24" i="2"/>
  <c r="AK24" i="2"/>
  <c r="AI24" i="2"/>
  <c r="AF24" i="2"/>
  <c r="AD24" i="2"/>
  <c r="AB24" i="2"/>
  <c r="X24" i="2"/>
  <c r="V24" i="2"/>
  <c r="T24" i="2"/>
  <c r="Q24" i="2"/>
  <c r="O24" i="2"/>
  <c r="M24" i="2"/>
  <c r="F24" i="2"/>
  <c r="AS23" i="2"/>
  <c r="AK23" i="2"/>
  <c r="AI23" i="2"/>
  <c r="AF23" i="2"/>
  <c r="AD23" i="2"/>
  <c r="AB23" i="2"/>
  <c r="X23" i="2"/>
  <c r="V23" i="2"/>
  <c r="T23" i="2"/>
  <c r="Q23" i="2"/>
  <c r="O23" i="2"/>
  <c r="M23" i="2"/>
  <c r="F23" i="2"/>
  <c r="AS22" i="2"/>
  <c r="AK22" i="2"/>
  <c r="AI22" i="2"/>
  <c r="AF22" i="2"/>
  <c r="AD22" i="2"/>
  <c r="AB22" i="2"/>
  <c r="X22" i="2"/>
  <c r="V22" i="2"/>
  <c r="T22" i="2"/>
  <c r="Q22" i="2"/>
  <c r="O22" i="2"/>
  <c r="M22" i="2"/>
  <c r="F22" i="2"/>
  <c r="AS21" i="2"/>
  <c r="AN21" i="2"/>
  <c r="AK21" i="2"/>
  <c r="AI21" i="2"/>
  <c r="AF21" i="2"/>
  <c r="AD21" i="2"/>
  <c r="AB21" i="2"/>
  <c r="X21" i="2"/>
  <c r="V21" i="2"/>
  <c r="T21" i="2"/>
  <c r="Q21" i="2"/>
  <c r="O21" i="2"/>
  <c r="M21" i="2"/>
  <c r="F21" i="2"/>
  <c r="AS20" i="2"/>
  <c r="AN20" i="2"/>
  <c r="AK20" i="2"/>
  <c r="AI20" i="2"/>
  <c r="AF20" i="2"/>
  <c r="AD20" i="2"/>
  <c r="AB20" i="2"/>
  <c r="X20" i="2"/>
  <c r="V20" i="2"/>
  <c r="T20" i="2"/>
  <c r="Q20" i="2"/>
  <c r="O20" i="2"/>
  <c r="M20" i="2"/>
  <c r="F20" i="2"/>
  <c r="AS19" i="2"/>
  <c r="AN19" i="2"/>
  <c r="AK19" i="2"/>
  <c r="AI19" i="2"/>
  <c r="AF19" i="2"/>
  <c r="AD19" i="2"/>
  <c r="AB19" i="2"/>
  <c r="X19" i="2"/>
  <c r="V19" i="2"/>
  <c r="T19" i="2"/>
  <c r="Q19" i="2"/>
  <c r="O19" i="2"/>
  <c r="M19" i="2"/>
  <c r="F19" i="2"/>
  <c r="AS18" i="2"/>
  <c r="AN18" i="2"/>
  <c r="AK18" i="2"/>
  <c r="AI18" i="2"/>
  <c r="AF18" i="2"/>
  <c r="AD18" i="2"/>
  <c r="AB18" i="2"/>
  <c r="X18" i="2"/>
  <c r="V18" i="2"/>
  <c r="T18" i="2"/>
  <c r="Q18" i="2"/>
  <c r="O18" i="2"/>
  <c r="M18" i="2"/>
  <c r="F18" i="2"/>
  <c r="AS17" i="2"/>
  <c r="AN17" i="2"/>
  <c r="AK17" i="2"/>
  <c r="AI17" i="2"/>
  <c r="AF17" i="2"/>
  <c r="AD17" i="2"/>
  <c r="AB17" i="2"/>
  <c r="X17" i="2"/>
  <c r="V17" i="2"/>
  <c r="T17" i="2"/>
  <c r="Q17" i="2"/>
  <c r="O17" i="2"/>
  <c r="M17" i="2"/>
  <c r="F17" i="2"/>
  <c r="AS16" i="2"/>
  <c r="AN16" i="2"/>
  <c r="AK16" i="2"/>
  <c r="AI16" i="2"/>
  <c r="AF16" i="2"/>
  <c r="AD16" i="2"/>
  <c r="AB16" i="2"/>
  <c r="X16" i="2"/>
  <c r="V16" i="2"/>
  <c r="T16" i="2"/>
  <c r="Q16" i="2"/>
  <c r="O16" i="2"/>
  <c r="M16" i="2"/>
  <c r="F16" i="2"/>
  <c r="AS15" i="2"/>
  <c r="AN15" i="2"/>
  <c r="AK15" i="2"/>
  <c r="AI15" i="2"/>
  <c r="AF15" i="2"/>
  <c r="AD15" i="2"/>
  <c r="AB15" i="2"/>
  <c r="X15" i="2"/>
  <c r="V15" i="2"/>
  <c r="T15" i="2"/>
  <c r="Q15" i="2"/>
  <c r="O15" i="2"/>
  <c r="M15" i="2"/>
  <c r="F15" i="2"/>
  <c r="AS14" i="2"/>
  <c r="AN14" i="2"/>
  <c r="AK14" i="2"/>
  <c r="AI14" i="2"/>
  <c r="AF14" i="2"/>
  <c r="AD14" i="2"/>
  <c r="AB14" i="2"/>
  <c r="X14" i="2"/>
  <c r="V14" i="2"/>
  <c r="T14" i="2"/>
  <c r="Q14" i="2"/>
  <c r="O14" i="2"/>
  <c r="M14" i="2"/>
  <c r="F14" i="2"/>
  <c r="AS13" i="2"/>
  <c r="AN13" i="2"/>
  <c r="AK13" i="2"/>
  <c r="AI13" i="2"/>
  <c r="AF13" i="2"/>
  <c r="AD13" i="2"/>
  <c r="AB13" i="2"/>
  <c r="X13" i="2"/>
  <c r="V13" i="2"/>
  <c r="T13" i="2"/>
  <c r="Q13" i="2"/>
  <c r="O13" i="2"/>
  <c r="M13" i="2"/>
  <c r="F13" i="2"/>
  <c r="AS12" i="2"/>
  <c r="AK12" i="2"/>
  <c r="AI12" i="2"/>
  <c r="AF12" i="2"/>
  <c r="AD12" i="2"/>
  <c r="AB12" i="2"/>
  <c r="X12" i="2"/>
  <c r="V12" i="2"/>
  <c r="T12" i="2"/>
  <c r="Q12" i="2"/>
  <c r="O12" i="2"/>
  <c r="M12" i="2"/>
  <c r="F12" i="2"/>
  <c r="AS11" i="2"/>
  <c r="AK11" i="2"/>
  <c r="AI11" i="2"/>
  <c r="AF11" i="2"/>
  <c r="AD11" i="2"/>
  <c r="AB11" i="2"/>
  <c r="X11" i="2"/>
  <c r="V11" i="2"/>
  <c r="T11" i="2"/>
  <c r="Q11" i="2"/>
  <c r="O11" i="2"/>
  <c r="M11" i="2"/>
  <c r="F11" i="2"/>
  <c r="AS10" i="2"/>
  <c r="AN10" i="2"/>
  <c r="AK10" i="2"/>
  <c r="AI10" i="2"/>
  <c r="AF10" i="2"/>
  <c r="AD10" i="2"/>
  <c r="AB10" i="2"/>
  <c r="X10" i="2"/>
  <c r="V10" i="2"/>
  <c r="T10" i="2"/>
  <c r="Q10" i="2"/>
  <c r="O10" i="2"/>
  <c r="M10" i="2"/>
  <c r="F10" i="2"/>
  <c r="AS9" i="2"/>
  <c r="AN9" i="2"/>
  <c r="AK9" i="2"/>
  <c r="AI9" i="2"/>
  <c r="AF9" i="2"/>
  <c r="AD9" i="2"/>
  <c r="AB9" i="2"/>
  <c r="X9" i="2"/>
  <c r="V9" i="2"/>
  <c r="T9" i="2"/>
  <c r="Q9" i="2"/>
  <c r="O9" i="2"/>
  <c r="M9" i="2"/>
  <c r="F9" i="2"/>
  <c r="AS8" i="2"/>
  <c r="AN8" i="2"/>
  <c r="AK8" i="2"/>
  <c r="AI8" i="2"/>
  <c r="AF8" i="2"/>
  <c r="AD8" i="2"/>
  <c r="AB8" i="2"/>
  <c r="X8" i="2"/>
  <c r="V8" i="2"/>
  <c r="T8" i="2"/>
  <c r="Q8" i="2"/>
  <c r="O8" i="2"/>
  <c r="M8" i="2"/>
  <c r="F8" i="2"/>
  <c r="AS7" i="2"/>
  <c r="AN7" i="2"/>
  <c r="AK7" i="2"/>
  <c r="AI7" i="2"/>
  <c r="AF7" i="2"/>
  <c r="AD7" i="2"/>
  <c r="AB7" i="2"/>
  <c r="X7" i="2"/>
  <c r="V7" i="2"/>
  <c r="T7" i="2"/>
  <c r="Q7" i="2"/>
  <c r="O7" i="2"/>
  <c r="M7" i="2"/>
  <c r="F7" i="2"/>
  <c r="AS6" i="2"/>
  <c r="AN6" i="2"/>
  <c r="AK6" i="2"/>
  <c r="AI6" i="2"/>
  <c r="AF6" i="2"/>
  <c r="AD6" i="2"/>
  <c r="AB6" i="2"/>
  <c r="X6" i="2"/>
  <c r="V6" i="2"/>
  <c r="T6" i="2"/>
  <c r="Q6" i="2"/>
  <c r="O6" i="2"/>
  <c r="M6" i="2"/>
  <c r="F6" i="2"/>
  <c r="AS5" i="2"/>
  <c r="AN5" i="2"/>
  <c r="AK5" i="2"/>
  <c r="AI5" i="2"/>
  <c r="AF5" i="2"/>
  <c r="AD5" i="2"/>
  <c r="AB5" i="2"/>
  <c r="X5" i="2"/>
  <c r="V5" i="2"/>
  <c r="T5" i="2"/>
  <c r="Q5" i="2"/>
  <c r="O5" i="2"/>
  <c r="M5" i="2"/>
  <c r="F5" i="2"/>
  <c r="AS4" i="2"/>
  <c r="AN4" i="2"/>
  <c r="AK4" i="2"/>
  <c r="AI4" i="2"/>
  <c r="AF4" i="2"/>
  <c r="AD4" i="2"/>
  <c r="AB4" i="2"/>
  <c r="X4" i="2"/>
  <c r="V4" i="2"/>
  <c r="T4" i="2"/>
  <c r="Q4" i="2"/>
  <c r="O4" i="2"/>
  <c r="M4" i="2"/>
  <c r="F4" i="2"/>
  <c r="AS3" i="2"/>
  <c r="AN3" i="2"/>
  <c r="AK3" i="2"/>
  <c r="AI3" i="2"/>
  <c r="AF3" i="2"/>
  <c r="AD3" i="2"/>
  <c r="AB3" i="2"/>
  <c r="X3" i="2"/>
  <c r="V3" i="2"/>
  <c r="T3" i="2"/>
  <c r="Q3" i="2"/>
  <c r="O3" i="2"/>
  <c r="M3" i="2"/>
  <c r="F3" i="2"/>
  <c r="AS2" i="2"/>
  <c r="AN2" i="2"/>
  <c r="AK2" i="2"/>
  <c r="AI2" i="2"/>
  <c r="AF2" i="2"/>
  <c r="AD2" i="2"/>
  <c r="AB2" i="2"/>
  <c r="X2" i="2"/>
  <c r="V2" i="2"/>
  <c r="T2" i="2"/>
  <c r="Q2" i="2"/>
  <c r="O2" i="2"/>
  <c r="M2" i="2"/>
  <c r="F2" i="2"/>
  <c r="Y2" i="1" l="1"/>
  <c r="AA2" i="1"/>
  <c r="AD2" i="1"/>
  <c r="Y3" i="1"/>
  <c r="AA3" i="1"/>
  <c r="AD3" i="1"/>
  <c r="Y4" i="1"/>
  <c r="AA4" i="1"/>
  <c r="AD4" i="1"/>
  <c r="Y5" i="1"/>
  <c r="AA5" i="1"/>
  <c r="AD5" i="1"/>
  <c r="Y6" i="1"/>
  <c r="AA6" i="1"/>
  <c r="AD6" i="1"/>
  <c r="Y7" i="1"/>
  <c r="AA7" i="1"/>
  <c r="AD7" i="1"/>
  <c r="Y8" i="1"/>
  <c r="AA8" i="1"/>
  <c r="AD8" i="1"/>
  <c r="Y9" i="1"/>
  <c r="AA9" i="1"/>
  <c r="AD9" i="1"/>
  <c r="Y10" i="1"/>
  <c r="AA10" i="1"/>
  <c r="AD10" i="1"/>
  <c r="Y11" i="1"/>
  <c r="AA11" i="1"/>
  <c r="AD11" i="1"/>
  <c r="Y12" i="1"/>
  <c r="AA12" i="1"/>
  <c r="AD12" i="1"/>
  <c r="Y13" i="1"/>
  <c r="AA13" i="1"/>
  <c r="AD13" i="1"/>
  <c r="Y14" i="1"/>
  <c r="AA14" i="1"/>
  <c r="AD14" i="1"/>
  <c r="Y15" i="1"/>
  <c r="AA15" i="1"/>
  <c r="AD15" i="1"/>
  <c r="Y16" i="1"/>
  <c r="AA16" i="1"/>
  <c r="AD16" i="1"/>
  <c r="Y17" i="1"/>
  <c r="AA17" i="1"/>
  <c r="AD17" i="1"/>
  <c r="Y18" i="1"/>
  <c r="AA18" i="1"/>
  <c r="AD18" i="1"/>
  <c r="Y19" i="1"/>
  <c r="AA19" i="1"/>
  <c r="AD19" i="1"/>
  <c r="Y20" i="1"/>
  <c r="AA20" i="1"/>
  <c r="AD20" i="1"/>
  <c r="Y21" i="1"/>
  <c r="AA21" i="1"/>
  <c r="AD21" i="1"/>
  <c r="Y22" i="1"/>
  <c r="AA22" i="1"/>
  <c r="AD22" i="1"/>
  <c r="Y23" i="1"/>
  <c r="AA23" i="1"/>
  <c r="AD23" i="1"/>
  <c r="Y24" i="1"/>
  <c r="AA24" i="1"/>
  <c r="AD24" i="1"/>
  <c r="Y25" i="1"/>
  <c r="AA25" i="1"/>
  <c r="AD25" i="1"/>
  <c r="Y26" i="1"/>
  <c r="AA26" i="1"/>
  <c r="AD26" i="1"/>
  <c r="Y27" i="1"/>
  <c r="AA27" i="1"/>
  <c r="AD27" i="1"/>
  <c r="Y28" i="1"/>
  <c r="AA28" i="1"/>
  <c r="AD28" i="1"/>
  <c r="Y29" i="1"/>
  <c r="AA29" i="1"/>
  <c r="AD29" i="1"/>
  <c r="Y30" i="1"/>
  <c r="AA30" i="1"/>
  <c r="AD30" i="1"/>
  <c r="Y31" i="1"/>
  <c r="AA31" i="1"/>
  <c r="AD31" i="1"/>
  <c r="Y32" i="1"/>
  <c r="AA32" i="1"/>
  <c r="AD32" i="1"/>
  <c r="Y33" i="1"/>
  <c r="AA33" i="1"/>
  <c r="AD33" i="1"/>
  <c r="Y34" i="1"/>
  <c r="AA34" i="1"/>
  <c r="AD34" i="1"/>
  <c r="Y35" i="1"/>
  <c r="AA35" i="1"/>
  <c r="AD35" i="1"/>
  <c r="Y36" i="1"/>
  <c r="AA36" i="1"/>
  <c r="AD36" i="1"/>
  <c r="Y37" i="1"/>
  <c r="AA37" i="1"/>
  <c r="AD37" i="1"/>
  <c r="Y38" i="1"/>
  <c r="AA38" i="1"/>
  <c r="AD38" i="1"/>
  <c r="Y39" i="1"/>
  <c r="AA39" i="1"/>
  <c r="AD39" i="1"/>
  <c r="Y40" i="1"/>
  <c r="AA40" i="1"/>
  <c r="AD40" i="1"/>
  <c r="Y41" i="1"/>
  <c r="AA41" i="1"/>
  <c r="AD41" i="1"/>
  <c r="Y42" i="1"/>
  <c r="AA42" i="1"/>
  <c r="AD42" i="1"/>
  <c r="Y43" i="1"/>
  <c r="AA43" i="1"/>
  <c r="AD43" i="1"/>
  <c r="Y44" i="1"/>
  <c r="AA44" i="1"/>
  <c r="AD44" i="1"/>
  <c r="Y45" i="1"/>
  <c r="AA45" i="1"/>
  <c r="AD45" i="1"/>
  <c r="Y46" i="1"/>
  <c r="AA46" i="1"/>
  <c r="AD46" i="1"/>
  <c r="Y47" i="1"/>
  <c r="AA47" i="1"/>
  <c r="AD47" i="1"/>
  <c r="Y48" i="1"/>
  <c r="AA48" i="1"/>
  <c r="AD48" i="1"/>
  <c r="Y49" i="1"/>
  <c r="AA49" i="1"/>
  <c r="AD49" i="1"/>
  <c r="Y50" i="1"/>
  <c r="AA50" i="1"/>
  <c r="AD50" i="1"/>
  <c r="Y51" i="1"/>
  <c r="AA51" i="1"/>
  <c r="AD51" i="1"/>
  <c r="Y52" i="1"/>
  <c r="AA52" i="1"/>
  <c r="AD52" i="1"/>
  <c r="Y53" i="1"/>
  <c r="AA53" i="1"/>
  <c r="AD53" i="1"/>
  <c r="Y54" i="1"/>
  <c r="AA54" i="1"/>
  <c r="AD54" i="1"/>
  <c r="Y55" i="1"/>
  <c r="AA55" i="1"/>
  <c r="AD55" i="1"/>
  <c r="Y56" i="1"/>
  <c r="AA56" i="1"/>
  <c r="AD56" i="1"/>
  <c r="Y57" i="1"/>
  <c r="AA57" i="1"/>
  <c r="AD57" i="1"/>
  <c r="Y58" i="1"/>
  <c r="AA58" i="1"/>
  <c r="AD58" i="1"/>
  <c r="Y59" i="1"/>
  <c r="AA59" i="1"/>
  <c r="AD59" i="1"/>
  <c r="Y60" i="1"/>
  <c r="AA60" i="1"/>
  <c r="AD60" i="1"/>
  <c r="Y61" i="1"/>
  <c r="AA61" i="1"/>
  <c r="AD61" i="1"/>
  <c r="Y62" i="1"/>
  <c r="AA62" i="1"/>
  <c r="AD62" i="1"/>
  <c r="Y63" i="1"/>
  <c r="AA63" i="1"/>
  <c r="AD63" i="1"/>
  <c r="Y64" i="1"/>
  <c r="AA64" i="1"/>
  <c r="AD64" i="1"/>
  <c r="Y65" i="1"/>
  <c r="AA65" i="1"/>
  <c r="AD65" i="1"/>
  <c r="Y66" i="1"/>
  <c r="AA66" i="1"/>
  <c r="AD66" i="1"/>
  <c r="Y67" i="1"/>
  <c r="AA67" i="1"/>
  <c r="AD67" i="1"/>
  <c r="Y68" i="1"/>
  <c r="AA68" i="1"/>
  <c r="AD68" i="1"/>
  <c r="Y69" i="1"/>
  <c r="AA69" i="1"/>
  <c r="AD69" i="1"/>
  <c r="Y70" i="1"/>
  <c r="AA70" i="1"/>
  <c r="AD70" i="1"/>
  <c r="Y71" i="1"/>
  <c r="AA71" i="1"/>
  <c r="AD71" i="1"/>
  <c r="Y72" i="1"/>
  <c r="AA72" i="1"/>
  <c r="AD72" i="1"/>
  <c r="Y73" i="1"/>
  <c r="AA73" i="1"/>
  <c r="AD73" i="1"/>
  <c r="Y74" i="1"/>
  <c r="AA74" i="1"/>
  <c r="AD74" i="1"/>
  <c r="Y75" i="1"/>
  <c r="AA75" i="1"/>
  <c r="AD75" i="1"/>
  <c r="Y76" i="1"/>
  <c r="AA76" i="1"/>
  <c r="AD76" i="1"/>
  <c r="Y77" i="1"/>
  <c r="AA77" i="1"/>
  <c r="AD77" i="1"/>
  <c r="Y78" i="1"/>
  <c r="AA78" i="1"/>
  <c r="AD78" i="1"/>
  <c r="Y79" i="1"/>
  <c r="AA79" i="1"/>
  <c r="AD79" i="1"/>
  <c r="Y80" i="1"/>
  <c r="AA80" i="1"/>
  <c r="AD80" i="1"/>
  <c r="Y81" i="1"/>
  <c r="AA81" i="1"/>
  <c r="AD81" i="1"/>
  <c r="Y82" i="1"/>
  <c r="AA82" i="1"/>
  <c r="AD82" i="1"/>
  <c r="Y83" i="1"/>
  <c r="AA83" i="1"/>
  <c r="AD83" i="1"/>
  <c r="Y84" i="1"/>
  <c r="AA84" i="1"/>
  <c r="AD84" i="1"/>
  <c r="Y85" i="1"/>
  <c r="AA85" i="1"/>
  <c r="AD85" i="1"/>
  <c r="Y86" i="1"/>
  <c r="AA86" i="1"/>
  <c r="AD86" i="1"/>
  <c r="Y87" i="1"/>
  <c r="AA87" i="1"/>
  <c r="AD87" i="1"/>
  <c r="Y88" i="1"/>
  <c r="AA88" i="1"/>
  <c r="AD88" i="1"/>
  <c r="Y89" i="1"/>
  <c r="AA89" i="1"/>
  <c r="AD89" i="1"/>
  <c r="Y90" i="1"/>
  <c r="AA90" i="1"/>
  <c r="AD90" i="1"/>
  <c r="Y91" i="1"/>
  <c r="AA91" i="1"/>
  <c r="AD91" i="1"/>
  <c r="Y92" i="1"/>
  <c r="AA92" i="1"/>
  <c r="AD92" i="1"/>
  <c r="Y93" i="1"/>
  <c r="AA93" i="1"/>
  <c r="AD93" i="1"/>
  <c r="Y94" i="1"/>
  <c r="AA94" i="1"/>
  <c r="AD94" i="1"/>
  <c r="Y95" i="1"/>
  <c r="AA95" i="1"/>
  <c r="AD95" i="1"/>
  <c r="Y96" i="1"/>
  <c r="AA96" i="1"/>
  <c r="AD96" i="1"/>
  <c r="Y97" i="1"/>
  <c r="AA97" i="1"/>
  <c r="AD97" i="1"/>
  <c r="Y98" i="1"/>
  <c r="AA98" i="1"/>
  <c r="AD98" i="1"/>
  <c r="Y99" i="1"/>
  <c r="AA99" i="1"/>
  <c r="AD99" i="1"/>
  <c r="Y100" i="1"/>
  <c r="AA100" i="1"/>
  <c r="AD100" i="1"/>
  <c r="Y101" i="1"/>
  <c r="AA101" i="1"/>
  <c r="AD101" i="1"/>
  <c r="Y102" i="1"/>
  <c r="AA102" i="1"/>
  <c r="AD102" i="1"/>
  <c r="Y103" i="1"/>
  <c r="AA103" i="1"/>
  <c r="AD103" i="1"/>
  <c r="Y104" i="1"/>
  <c r="AA104" i="1"/>
  <c r="AD104" i="1"/>
  <c r="Y105" i="1"/>
  <c r="AA105" i="1"/>
  <c r="AD105" i="1"/>
  <c r="Y106" i="1"/>
  <c r="AA106" i="1"/>
  <c r="AD106" i="1"/>
  <c r="Y107" i="1"/>
  <c r="AA107" i="1"/>
  <c r="AD107" i="1"/>
  <c r="Y108" i="1"/>
  <c r="AA108" i="1"/>
  <c r="AD108" i="1"/>
  <c r="Y109" i="1"/>
  <c r="AA109" i="1"/>
  <c r="AD109" i="1"/>
  <c r="Y110" i="1"/>
  <c r="AA110" i="1"/>
  <c r="AD110" i="1"/>
  <c r="Y111" i="1"/>
  <c r="AA111" i="1"/>
  <c r="AD111" i="1"/>
  <c r="Y112" i="1"/>
  <c r="AA112" i="1"/>
  <c r="AD112" i="1"/>
  <c r="Y113" i="1"/>
  <c r="AA113" i="1"/>
  <c r="AD113" i="1"/>
  <c r="Y114" i="1"/>
  <c r="AA114" i="1"/>
  <c r="AD114" i="1"/>
  <c r="Y115" i="1"/>
  <c r="AA115" i="1"/>
  <c r="AD115" i="1"/>
  <c r="Y116" i="1"/>
  <c r="AA116" i="1"/>
  <c r="AD116" i="1"/>
  <c r="Y117" i="1"/>
  <c r="AA117" i="1"/>
  <c r="AD117" i="1"/>
  <c r="Y118" i="1"/>
  <c r="AA118" i="1"/>
  <c r="AD118" i="1"/>
  <c r="Y119" i="1"/>
  <c r="AA119" i="1"/>
  <c r="AD119" i="1"/>
  <c r="Y120" i="1"/>
  <c r="AA120" i="1"/>
  <c r="AD120" i="1"/>
  <c r="Y121" i="1"/>
  <c r="AA121" i="1"/>
  <c r="AD121" i="1"/>
  <c r="Y122" i="1"/>
  <c r="AA122" i="1"/>
  <c r="AD122" i="1"/>
  <c r="Y123" i="1"/>
  <c r="AA123" i="1"/>
  <c r="AD123" i="1"/>
  <c r="Y124" i="1"/>
  <c r="AA124" i="1"/>
  <c r="AD124" i="1"/>
  <c r="Y125" i="1"/>
  <c r="AA125" i="1"/>
  <c r="AD125" i="1"/>
  <c r="Y126" i="1"/>
  <c r="AA126" i="1"/>
  <c r="AD126" i="1"/>
  <c r="Y127" i="1"/>
  <c r="AA127" i="1"/>
  <c r="AD127" i="1"/>
  <c r="Y128" i="1"/>
  <c r="AA128" i="1"/>
  <c r="AD128" i="1"/>
  <c r="Y129" i="1"/>
  <c r="AA129" i="1"/>
  <c r="AD129" i="1"/>
  <c r="Y130" i="1"/>
  <c r="AA130" i="1"/>
  <c r="AD130" i="1"/>
  <c r="Y131" i="1"/>
  <c r="AA131" i="1"/>
  <c r="AD131" i="1"/>
  <c r="Y132" i="1"/>
  <c r="AA132" i="1"/>
  <c r="AD132" i="1"/>
  <c r="Y133" i="1"/>
  <c r="AA133" i="1"/>
  <c r="AD133" i="1"/>
  <c r="Y134" i="1"/>
  <c r="AA134" i="1"/>
  <c r="AD134" i="1"/>
  <c r="Y135" i="1"/>
  <c r="AA135" i="1"/>
  <c r="AD135" i="1"/>
  <c r="Y136" i="1"/>
  <c r="AA136" i="1"/>
  <c r="AD136" i="1"/>
  <c r="Y137" i="1"/>
  <c r="AA137" i="1"/>
  <c r="AD137" i="1"/>
  <c r="Y138" i="1"/>
  <c r="AA138" i="1"/>
  <c r="AD138" i="1"/>
  <c r="Y139" i="1"/>
  <c r="AA139" i="1"/>
  <c r="AD139" i="1"/>
  <c r="Y140" i="1"/>
  <c r="AA140" i="1"/>
  <c r="AD140" i="1"/>
  <c r="Y141" i="1"/>
  <c r="AA141" i="1"/>
  <c r="AD141" i="1"/>
  <c r="Y142" i="1"/>
  <c r="AA142" i="1"/>
  <c r="AD142" i="1"/>
  <c r="Y143" i="1"/>
  <c r="AA143" i="1"/>
  <c r="AD143" i="1"/>
  <c r="Y144" i="1"/>
  <c r="AA144" i="1"/>
  <c r="AD144" i="1"/>
  <c r="Y145" i="1"/>
  <c r="AA145" i="1"/>
  <c r="AD145" i="1"/>
  <c r="Y146" i="1"/>
  <c r="AA146" i="1"/>
  <c r="AD146" i="1"/>
  <c r="Y147" i="1"/>
  <c r="AA147" i="1"/>
  <c r="AD147" i="1"/>
  <c r="Y148" i="1"/>
  <c r="AA148" i="1"/>
  <c r="AD148" i="1"/>
  <c r="Y149" i="1"/>
  <c r="AA149" i="1"/>
  <c r="AD149" i="1"/>
  <c r="Y150" i="1"/>
  <c r="AA150" i="1"/>
  <c r="AD150" i="1"/>
  <c r="Y151" i="1"/>
  <c r="AA151" i="1"/>
  <c r="AD151" i="1"/>
  <c r="Y152" i="1"/>
  <c r="AA152" i="1"/>
  <c r="AD152" i="1"/>
  <c r="Y153" i="1"/>
  <c r="AA153" i="1"/>
  <c r="AD153" i="1"/>
  <c r="Y154" i="1"/>
  <c r="AA154" i="1"/>
  <c r="AD154" i="1"/>
  <c r="Y155" i="1"/>
  <c r="AA155" i="1"/>
  <c r="AD155" i="1"/>
  <c r="Y156" i="1"/>
  <c r="AA156" i="1"/>
  <c r="AD156" i="1"/>
  <c r="Y157" i="1"/>
  <c r="AA157" i="1"/>
  <c r="AD157" i="1"/>
  <c r="Y158" i="1"/>
  <c r="AA158" i="1"/>
  <c r="AD158" i="1"/>
  <c r="Y159" i="1"/>
  <c r="AA159" i="1"/>
  <c r="AD159" i="1"/>
  <c r="Y160" i="1"/>
  <c r="AA160" i="1"/>
  <c r="AD160" i="1"/>
  <c r="Y161" i="1"/>
  <c r="AA161" i="1"/>
  <c r="AD161" i="1"/>
  <c r="Y162" i="1"/>
  <c r="AA162" i="1"/>
  <c r="AD162" i="1"/>
  <c r="Y163" i="1"/>
  <c r="AA163" i="1"/>
  <c r="AD163" i="1"/>
  <c r="Y164" i="1"/>
  <c r="AA164" i="1"/>
  <c r="AD164" i="1"/>
  <c r="Y165" i="1"/>
  <c r="AA165" i="1"/>
  <c r="AD165" i="1"/>
  <c r="Y166" i="1"/>
  <c r="AA166" i="1"/>
  <c r="AD166" i="1"/>
  <c r="Y167" i="1"/>
  <c r="AA167" i="1"/>
  <c r="AD167" i="1"/>
  <c r="Y168" i="1"/>
  <c r="AA168" i="1"/>
  <c r="AD168" i="1"/>
  <c r="Y169" i="1"/>
  <c r="AA169" i="1"/>
  <c r="AD169" i="1"/>
  <c r="Y170" i="1"/>
  <c r="AA170" i="1"/>
  <c r="AD170" i="1"/>
  <c r="Y171" i="1"/>
  <c r="AA171" i="1"/>
  <c r="AD171" i="1"/>
  <c r="Y172" i="1"/>
  <c r="AA172" i="1"/>
  <c r="AD172" i="1"/>
  <c r="Y173" i="1"/>
  <c r="AA173" i="1"/>
  <c r="AD173" i="1"/>
  <c r="Y174" i="1"/>
  <c r="AA174" i="1"/>
  <c r="AD174" i="1"/>
  <c r="Y175" i="1"/>
  <c r="AA175" i="1"/>
  <c r="AD175" i="1"/>
  <c r="Y176" i="1"/>
  <c r="AA176" i="1"/>
  <c r="AD176" i="1"/>
  <c r="Y177" i="1"/>
  <c r="AA177" i="1"/>
  <c r="AD177" i="1"/>
  <c r="Y178" i="1"/>
  <c r="AA178" i="1"/>
  <c r="AD178" i="1"/>
  <c r="Y179" i="1"/>
  <c r="AA179" i="1"/>
  <c r="AD179" i="1"/>
  <c r="Y180" i="1"/>
  <c r="AA180" i="1"/>
  <c r="AD180" i="1"/>
  <c r="Y181" i="1"/>
  <c r="AA181" i="1"/>
  <c r="AD181" i="1"/>
  <c r="Y182" i="1"/>
  <c r="AA182" i="1"/>
  <c r="AD182" i="1"/>
  <c r="Y183" i="1"/>
  <c r="AA183" i="1"/>
  <c r="AD183" i="1"/>
  <c r="Y184" i="1"/>
  <c r="AA184" i="1"/>
  <c r="AD184" i="1"/>
  <c r="Y185" i="1"/>
  <c r="AA185" i="1"/>
  <c r="AD185" i="1"/>
  <c r="Y186" i="1"/>
  <c r="AA186" i="1"/>
  <c r="AD186" i="1"/>
  <c r="Y187" i="1"/>
  <c r="AA187" i="1"/>
  <c r="AD187" i="1"/>
  <c r="Y188" i="1"/>
  <c r="AA188" i="1"/>
  <c r="AD188" i="1"/>
  <c r="Y189" i="1"/>
  <c r="AA189" i="1"/>
  <c r="AD189" i="1"/>
  <c r="Y190" i="1"/>
  <c r="AA190" i="1"/>
  <c r="AD190" i="1"/>
  <c r="Y191" i="1"/>
  <c r="AA191" i="1"/>
  <c r="AD191" i="1"/>
  <c r="Y192" i="1"/>
  <c r="AA192" i="1"/>
  <c r="AD192" i="1"/>
  <c r="Y193" i="1"/>
  <c r="AA193" i="1"/>
  <c r="AD193" i="1"/>
  <c r="Y194" i="1"/>
  <c r="AA194" i="1"/>
  <c r="AD194" i="1"/>
  <c r="Y195" i="1"/>
  <c r="AA195" i="1"/>
  <c r="AD195" i="1"/>
  <c r="Y196" i="1"/>
  <c r="AA196" i="1"/>
  <c r="AD196" i="1"/>
  <c r="Y197" i="1"/>
  <c r="AA197" i="1"/>
  <c r="AD197" i="1"/>
  <c r="Y198" i="1"/>
  <c r="AA198" i="1"/>
  <c r="AD198" i="1"/>
  <c r="Y199" i="1"/>
  <c r="AA199" i="1"/>
  <c r="AD199" i="1"/>
  <c r="Y200" i="1"/>
  <c r="AA200" i="1"/>
  <c r="AD200" i="1"/>
  <c r="Y201" i="1"/>
  <c r="AA201" i="1"/>
  <c r="AD201" i="1"/>
  <c r="Y202" i="1"/>
  <c r="AA202" i="1"/>
  <c r="AD202" i="1"/>
  <c r="Y203" i="1"/>
  <c r="AA203" i="1"/>
  <c r="AD203" i="1"/>
  <c r="Y204" i="1"/>
  <c r="AA204" i="1"/>
  <c r="AD204" i="1"/>
  <c r="Y205" i="1"/>
  <c r="AA205" i="1"/>
  <c r="AD205" i="1"/>
  <c r="Y206" i="1"/>
  <c r="AA206" i="1"/>
  <c r="AD206" i="1"/>
  <c r="Y207" i="1"/>
  <c r="AA207" i="1"/>
  <c r="AD207" i="1"/>
  <c r="Y208" i="1"/>
  <c r="AA208" i="1"/>
  <c r="AD208" i="1"/>
  <c r="Y209" i="1"/>
  <c r="AA209" i="1"/>
  <c r="AD209" i="1"/>
  <c r="Y210" i="1"/>
  <c r="AA210" i="1"/>
  <c r="AD210" i="1"/>
  <c r="Y211" i="1"/>
  <c r="AA211" i="1"/>
  <c r="AD211" i="1"/>
  <c r="Y212" i="1"/>
  <c r="AA212" i="1"/>
  <c r="AD212" i="1"/>
  <c r="Y213" i="1"/>
  <c r="AA213" i="1"/>
  <c r="AD213" i="1"/>
  <c r="Y214" i="1"/>
  <c r="AA214" i="1"/>
  <c r="AD214" i="1"/>
  <c r="Y215" i="1"/>
  <c r="AA215" i="1"/>
  <c r="AD215" i="1"/>
  <c r="Y216" i="1"/>
  <c r="AA216" i="1"/>
  <c r="AD216" i="1"/>
  <c r="Y217" i="1"/>
  <c r="AA217" i="1"/>
  <c r="AD217" i="1"/>
  <c r="Y218" i="1"/>
  <c r="AA218" i="1"/>
  <c r="AD218" i="1"/>
  <c r="Y219" i="1"/>
  <c r="AA219" i="1"/>
  <c r="AD219" i="1"/>
  <c r="Y220" i="1"/>
  <c r="AA220" i="1"/>
  <c r="AD220" i="1"/>
  <c r="Y221" i="1"/>
  <c r="AA221" i="1"/>
  <c r="AD221" i="1"/>
  <c r="Y222" i="1"/>
  <c r="AA222" i="1"/>
  <c r="AD222" i="1"/>
  <c r="Y223" i="1"/>
  <c r="AA223" i="1"/>
  <c r="AD223" i="1"/>
  <c r="Y224" i="1"/>
  <c r="AA224" i="1"/>
  <c r="AD224" i="1"/>
  <c r="Y225" i="1"/>
  <c r="AA225" i="1"/>
  <c r="AD225" i="1"/>
  <c r="Y226" i="1"/>
  <c r="AA226" i="1"/>
  <c r="AD226" i="1"/>
  <c r="Y227" i="1"/>
  <c r="AA227" i="1"/>
  <c r="AD227" i="1"/>
  <c r="Y228" i="1"/>
  <c r="AA228" i="1"/>
  <c r="AD228" i="1"/>
  <c r="Y229" i="1"/>
  <c r="AA229" i="1"/>
  <c r="AD229" i="1"/>
  <c r="Y230" i="1"/>
  <c r="AA230" i="1"/>
  <c r="AD230" i="1"/>
  <c r="Y231" i="1"/>
  <c r="AA231" i="1"/>
  <c r="AD231" i="1"/>
  <c r="Y232" i="1"/>
  <c r="AA232" i="1"/>
  <c r="AD232" i="1"/>
  <c r="Y233" i="1"/>
  <c r="AA233" i="1"/>
  <c r="AD233" i="1"/>
  <c r="Y234" i="1"/>
  <c r="AA234" i="1"/>
  <c r="AD234" i="1"/>
  <c r="Y235" i="1"/>
  <c r="AA235" i="1"/>
  <c r="AD235" i="1"/>
  <c r="Y236" i="1"/>
  <c r="AA236" i="1"/>
  <c r="AD236" i="1"/>
  <c r="Y237" i="1"/>
  <c r="AA237" i="1"/>
  <c r="AD237" i="1"/>
  <c r="Y238" i="1"/>
  <c r="AA238" i="1"/>
  <c r="AD238" i="1"/>
  <c r="Y239" i="1"/>
  <c r="AA239" i="1"/>
  <c r="AD239" i="1"/>
  <c r="Y240" i="1"/>
  <c r="AA240" i="1"/>
  <c r="AD240" i="1"/>
  <c r="Y241" i="1"/>
  <c r="AA241" i="1"/>
  <c r="AD241" i="1"/>
  <c r="Y242" i="1"/>
  <c r="AA242" i="1"/>
  <c r="AD242" i="1"/>
  <c r="Y243" i="1"/>
  <c r="AA243" i="1"/>
  <c r="AD243" i="1"/>
  <c r="Y244" i="1"/>
  <c r="AA244" i="1"/>
  <c r="AD244" i="1"/>
  <c r="Y245" i="1"/>
  <c r="AA245" i="1"/>
  <c r="AD245" i="1"/>
  <c r="Y246" i="1"/>
  <c r="AA246" i="1"/>
  <c r="AD246" i="1"/>
  <c r="Y247" i="1"/>
  <c r="AA247" i="1"/>
  <c r="AD247" i="1"/>
  <c r="Y248" i="1"/>
  <c r="AA248" i="1"/>
  <c r="AD248" i="1"/>
  <c r="Y249" i="1"/>
  <c r="AA249" i="1"/>
  <c r="AD249" i="1"/>
  <c r="Y250" i="1"/>
  <c r="AA250" i="1"/>
  <c r="AD250" i="1"/>
  <c r="Y251" i="1"/>
  <c r="AA251" i="1"/>
  <c r="AD251" i="1"/>
  <c r="Y252" i="1"/>
  <c r="AA252" i="1"/>
  <c r="AD252" i="1"/>
  <c r="Y253" i="1"/>
  <c r="AA253" i="1"/>
  <c r="AD253" i="1"/>
  <c r="Y254" i="1"/>
  <c r="AA254" i="1"/>
  <c r="AD254" i="1"/>
  <c r="Y255" i="1"/>
  <c r="AA255" i="1"/>
  <c r="AD255" i="1"/>
  <c r="Y256" i="1"/>
  <c r="AA256" i="1"/>
  <c r="AD256" i="1"/>
  <c r="Y257" i="1"/>
  <c r="AA257" i="1"/>
  <c r="AD257" i="1"/>
  <c r="Y258" i="1"/>
  <c r="AA258" i="1"/>
  <c r="AD258" i="1"/>
  <c r="Y259" i="1"/>
  <c r="AA259" i="1"/>
  <c r="AD259" i="1"/>
  <c r="Y260" i="1"/>
  <c r="AA260" i="1"/>
  <c r="AD260" i="1"/>
  <c r="Y261" i="1"/>
  <c r="AA261" i="1"/>
  <c r="AD261" i="1"/>
  <c r="Y262" i="1"/>
  <c r="AA262" i="1"/>
  <c r="AD262" i="1"/>
  <c r="Y263" i="1"/>
  <c r="AA263" i="1"/>
  <c r="AD263" i="1"/>
  <c r="Y264" i="1"/>
  <c r="AA264" i="1"/>
  <c r="AD264" i="1"/>
  <c r="Y265" i="1"/>
  <c r="AA265" i="1"/>
  <c r="AD265" i="1"/>
  <c r="Y266" i="1"/>
  <c r="AA266" i="1"/>
  <c r="AD266" i="1"/>
  <c r="Y267" i="1"/>
  <c r="AA267" i="1"/>
  <c r="AD267" i="1"/>
  <c r="Y268" i="1"/>
  <c r="AA268" i="1"/>
  <c r="AD268" i="1"/>
  <c r="Y269" i="1"/>
  <c r="AA269" i="1"/>
  <c r="AD269" i="1"/>
  <c r="Y270" i="1"/>
  <c r="AA270" i="1"/>
  <c r="AD270" i="1"/>
  <c r="Y271" i="1"/>
  <c r="AA271" i="1"/>
  <c r="AD271" i="1"/>
  <c r="Y272" i="1"/>
  <c r="AA272" i="1"/>
  <c r="AD272" i="1"/>
  <c r="Y273" i="1"/>
  <c r="AA273" i="1"/>
  <c r="AD273" i="1"/>
  <c r="Y274" i="1"/>
  <c r="AA274" i="1"/>
  <c r="AD274" i="1"/>
  <c r="Y275" i="1"/>
  <c r="AA275" i="1"/>
  <c r="AD275" i="1"/>
  <c r="Y276" i="1"/>
  <c r="AA276" i="1"/>
  <c r="AD276" i="1"/>
  <c r="Y277" i="1"/>
  <c r="AA277" i="1"/>
  <c r="AD277" i="1"/>
  <c r="Y278" i="1"/>
  <c r="AA278" i="1"/>
  <c r="AD278" i="1"/>
  <c r="Y279" i="1"/>
  <c r="AA279" i="1"/>
  <c r="AD279" i="1"/>
  <c r="Y280" i="1"/>
  <c r="AA280" i="1"/>
  <c r="AD280" i="1"/>
  <c r="Y281" i="1"/>
  <c r="AA281" i="1"/>
  <c r="AD281" i="1"/>
  <c r="Y282" i="1"/>
  <c r="AA282" i="1"/>
  <c r="AD282" i="1"/>
  <c r="Y283" i="1"/>
  <c r="AA283" i="1"/>
  <c r="AD283" i="1"/>
  <c r="Y284" i="1"/>
  <c r="AA284" i="1"/>
  <c r="AD284" i="1"/>
  <c r="Y285" i="1"/>
  <c r="AA285" i="1"/>
  <c r="AD285" i="1"/>
  <c r="Y286" i="1"/>
  <c r="AA286" i="1"/>
  <c r="AD286" i="1"/>
  <c r="Y287" i="1"/>
  <c r="AA287" i="1"/>
  <c r="AD287" i="1"/>
  <c r="Y288" i="1"/>
  <c r="AA288" i="1"/>
  <c r="AD288" i="1"/>
  <c r="Y289" i="1"/>
  <c r="AA289" i="1"/>
  <c r="AD289" i="1"/>
  <c r="Y290" i="1"/>
  <c r="AA290" i="1"/>
  <c r="AD290" i="1"/>
  <c r="Y291" i="1"/>
  <c r="AA291" i="1"/>
  <c r="AD291" i="1"/>
  <c r="Y292" i="1"/>
  <c r="AA292" i="1"/>
  <c r="AD292" i="1"/>
  <c r="Y293" i="1"/>
  <c r="AA293" i="1"/>
  <c r="AD293" i="1"/>
  <c r="Y294" i="1"/>
  <c r="AA294" i="1"/>
  <c r="AD294" i="1"/>
  <c r="Y295" i="1"/>
  <c r="AA295" i="1"/>
  <c r="AD295" i="1"/>
  <c r="Y296" i="1"/>
  <c r="AA296" i="1"/>
  <c r="AD296" i="1"/>
  <c r="Y297" i="1"/>
  <c r="AA297" i="1"/>
  <c r="AD297" i="1"/>
  <c r="Y298" i="1"/>
  <c r="AA298" i="1"/>
  <c r="AD298" i="1"/>
</calcChain>
</file>

<file path=xl/sharedStrings.xml><?xml version="1.0" encoding="utf-8"?>
<sst xmlns="http://schemas.openxmlformats.org/spreadsheetml/2006/main" count="4124" uniqueCount="491">
  <si>
    <t>K</t>
  </si>
  <si>
    <t>lovak Republic</t>
  </si>
  <si>
    <t>I</t>
  </si>
  <si>
    <t>lovenia</t>
  </si>
  <si>
    <t>E</t>
  </si>
  <si>
    <t>weden</t>
  </si>
  <si>
    <t>RO</t>
  </si>
  <si>
    <t>Romania</t>
  </si>
  <si>
    <t>PT</t>
  </si>
  <si>
    <t>Portugal</t>
  </si>
  <si>
    <t>PL</t>
  </si>
  <si>
    <t>Poland</t>
  </si>
  <si>
    <t>NL</t>
  </si>
  <si>
    <t>Netherland</t>
  </si>
  <si>
    <t>MT</t>
  </si>
  <si>
    <t>Malta</t>
  </si>
  <si>
    <t>LV</t>
  </si>
  <si>
    <t>Latvia</t>
  </si>
  <si>
    <t>LU</t>
  </si>
  <si>
    <t>Luxembourg</t>
  </si>
  <si>
    <t>LT</t>
  </si>
  <si>
    <t>Lithuania</t>
  </si>
  <si>
    <t>IT</t>
  </si>
  <si>
    <t>Italy</t>
  </si>
  <si>
    <t>IE</t>
  </si>
  <si>
    <t>Ireland</t>
  </si>
  <si>
    <t>HU</t>
  </si>
  <si>
    <t>Hungary</t>
  </si>
  <si>
    <t>HR</t>
  </si>
  <si>
    <t>Croatia</t>
  </si>
  <si>
    <t>FR</t>
  </si>
  <si>
    <t>France</t>
  </si>
  <si>
    <t>FI</t>
  </si>
  <si>
    <t>Finland</t>
  </si>
  <si>
    <t>pain</t>
  </si>
  <si>
    <t>EL</t>
  </si>
  <si>
    <t>Greece</t>
  </si>
  <si>
    <t>EE</t>
  </si>
  <si>
    <t>E tonia</t>
  </si>
  <si>
    <t>DN</t>
  </si>
  <si>
    <t>Denmark</t>
  </si>
  <si>
    <t>DE</t>
  </si>
  <si>
    <t>Germany</t>
  </si>
  <si>
    <t>CZ</t>
  </si>
  <si>
    <t>Czechia</t>
  </si>
  <si>
    <t>CY</t>
  </si>
  <si>
    <t>Cypru</t>
  </si>
  <si>
    <t>BG</t>
  </si>
  <si>
    <t>Bulgaria</t>
  </si>
  <si>
    <t>BE</t>
  </si>
  <si>
    <t>Belgium</t>
  </si>
  <si>
    <t>AT</t>
  </si>
  <si>
    <t>Austria</t>
  </si>
  <si>
    <t>URB</t>
  </si>
  <si>
    <t>lnREC</t>
  </si>
  <si>
    <t>REC</t>
  </si>
  <si>
    <t>lnPDS</t>
  </si>
  <si>
    <t>PDS</t>
  </si>
  <si>
    <t>lnCE_GG</t>
  </si>
  <si>
    <t>CE_GG</t>
  </si>
  <si>
    <t>CE_MR</t>
  </si>
  <si>
    <t>lnCE_MG</t>
  </si>
  <si>
    <t>CE_MG</t>
  </si>
  <si>
    <t>lnCE_MF</t>
  </si>
  <si>
    <t>CE_MF</t>
  </si>
  <si>
    <t>CE_MD</t>
  </si>
  <si>
    <t>lnCE_CF</t>
  </si>
  <si>
    <t>CE_CF</t>
  </si>
  <si>
    <t>lnCE_PA</t>
  </si>
  <si>
    <t>CE_PA</t>
  </si>
  <si>
    <t>CE_PE</t>
  </si>
  <si>
    <t>CE_PI</t>
  </si>
  <si>
    <t>lnCE_TR</t>
  </si>
  <si>
    <t>CE_TR</t>
  </si>
  <si>
    <t>lnCE_CR</t>
  </si>
  <si>
    <t>CE_CR</t>
  </si>
  <si>
    <t>lnCE_ER</t>
  </si>
  <si>
    <t>CE_ER</t>
  </si>
  <si>
    <t>lnCE_RP</t>
  </si>
  <si>
    <t>CE_RP</t>
  </si>
  <si>
    <t>FD</t>
  </si>
  <si>
    <t>lnGDP</t>
  </si>
  <si>
    <t>GDP</t>
  </si>
  <si>
    <t>fdinf</t>
  </si>
  <si>
    <t>fdinfn</t>
  </si>
  <si>
    <t>lnWEEE</t>
  </si>
  <si>
    <t>WEEE</t>
  </si>
  <si>
    <t>year</t>
  </si>
  <si>
    <t>CC</t>
  </si>
  <si>
    <t>CN</t>
  </si>
  <si>
    <t>ID</t>
  </si>
  <si>
    <t>id</t>
  </si>
  <si>
    <t>cn</t>
  </si>
  <si>
    <t>cc</t>
  </si>
  <si>
    <t>fd</t>
  </si>
  <si>
    <t>mt</t>
  </si>
  <si>
    <t>urb</t>
  </si>
  <si>
    <t>CEMF</t>
  </si>
  <si>
    <t>CERP</t>
  </si>
  <si>
    <t>CEMG</t>
  </si>
  <si>
    <t>CEER</t>
  </si>
  <si>
    <t>CECR</t>
  </si>
  <si>
    <t>CETR</t>
  </si>
  <si>
    <t>CECF</t>
  </si>
  <si>
    <t>CEGG</t>
  </si>
  <si>
    <t>CE_GV</t>
  </si>
  <si>
    <t>CEMR</t>
  </si>
  <si>
    <t>CEPE</t>
  </si>
  <si>
    <t>CEMD</t>
  </si>
  <si>
    <t>CEPAI</t>
  </si>
  <si>
    <t>CEPII</t>
  </si>
  <si>
    <t>CEGV</t>
  </si>
  <si>
    <t>Spain</t>
  </si>
  <si>
    <t>ES</t>
  </si>
  <si>
    <t>Sweden</t>
  </si>
  <si>
    <t>SE</t>
  </si>
  <si>
    <t>Slovenia</t>
  </si>
  <si>
    <t>SI</t>
  </si>
  <si>
    <t>Slovak Republic</t>
  </si>
  <si>
    <t>SK</t>
  </si>
  <si>
    <t>WEEE_raw</t>
  </si>
  <si>
    <t>GDP_raw</t>
  </si>
  <si>
    <t>FD_raw</t>
  </si>
  <si>
    <t>REC_raw</t>
  </si>
  <si>
    <t>URB_raw</t>
  </si>
  <si>
    <t>PDS_raw</t>
  </si>
  <si>
    <t>CEI_B</t>
  </si>
  <si>
    <t>z_ce_mf</t>
  </si>
  <si>
    <t>z_ce_rp</t>
  </si>
  <si>
    <t>z_ce_mg</t>
  </si>
  <si>
    <t>z_ce_mr</t>
  </si>
  <si>
    <t>z_ce_er</t>
  </si>
  <si>
    <t>z_ce_cr</t>
  </si>
  <si>
    <t>z_ce_tr</t>
  </si>
  <si>
    <t>z_ce_pi</t>
  </si>
  <si>
    <t>z_ce_gv</t>
  </si>
  <si>
    <t>z_ce_pe</t>
  </si>
  <si>
    <t>z_ce_cf</t>
  </si>
  <si>
    <t>z_ce_gg</t>
  </si>
  <si>
    <t>z_ce_md</t>
  </si>
  <si>
    <t>z_ce_pa</t>
  </si>
  <si>
    <t>CEI_C</t>
  </si>
  <si>
    <t>lnCE_PE</t>
  </si>
  <si>
    <t>TO</t>
  </si>
  <si>
    <t>FDINFN</t>
  </si>
  <si>
    <t>FDINF</t>
  </si>
  <si>
    <t>LNCEPA</t>
  </si>
  <si>
    <t>_est_gls2</t>
  </si>
  <si>
    <t>_est_gls4</t>
  </si>
  <si>
    <t>_est_gls5</t>
  </si>
  <si>
    <t>_est_gls7</t>
  </si>
  <si>
    <t>_est_gls8</t>
  </si>
  <si>
    <t>_est_gls9</t>
  </si>
  <si>
    <t>_est_gls11</t>
  </si>
  <si>
    <t>_est_gls13</t>
  </si>
  <si>
    <t>_est_gls14</t>
  </si>
  <si>
    <t>_est_gls1</t>
  </si>
  <si>
    <t>_est_gls3</t>
  </si>
  <si>
    <t>_est_gls10</t>
  </si>
  <si>
    <t>_est_gls12</t>
  </si>
  <si>
    <t>_est_pcse1</t>
  </si>
  <si>
    <t>_est_pcse2</t>
  </si>
  <si>
    <t>_est_pcse3</t>
  </si>
  <si>
    <t>_est_pcse4</t>
  </si>
  <si>
    <t>_est_pcse7</t>
  </si>
  <si>
    <t>_est_pcse8</t>
  </si>
  <si>
    <t>_est_pcse9</t>
  </si>
  <si>
    <t>_est_pcse13</t>
  </si>
  <si>
    <t>_est_pcse14</t>
  </si>
  <si>
    <t>_est_pcse10</t>
  </si>
  <si>
    <t>CE_PAi</t>
  </si>
  <si>
    <t>_est_pcse11</t>
  </si>
  <si>
    <t>_est_pcse12</t>
  </si>
  <si>
    <t>_est_pcse6</t>
  </si>
  <si>
    <t>_est_pcse5</t>
  </si>
  <si>
    <t>_est_gls6</t>
  </si>
  <si>
    <t>prop_CE_MR</t>
  </si>
  <si>
    <t>CEI_AA</t>
  </si>
  <si>
    <t>CEI_A</t>
  </si>
  <si>
    <t>_est_glsaa1</t>
  </si>
  <si>
    <t>_est_glsaa2</t>
  </si>
  <si>
    <t>_est_glsaa3</t>
  </si>
  <si>
    <t>_est_glsaa4</t>
  </si>
  <si>
    <t>_est_glsaa5</t>
  </si>
  <si>
    <t>_est_glsaa6</t>
  </si>
  <si>
    <t>_est_glsaa7</t>
  </si>
  <si>
    <t>_est_glsaa8</t>
  </si>
  <si>
    <t>_est_glsaa9</t>
  </si>
  <si>
    <t>_est_glsaa10</t>
  </si>
  <si>
    <t>_est_glsaa11</t>
  </si>
  <si>
    <t>_est_glsaa12</t>
  </si>
  <si>
    <t>CEI_CC</t>
  </si>
  <si>
    <t>_est_glscc1</t>
  </si>
  <si>
    <t>_est_glscc2</t>
  </si>
  <si>
    <t>_est_glscc3</t>
  </si>
  <si>
    <t>_est_glscc4</t>
  </si>
  <si>
    <t>_est_glscc5</t>
  </si>
  <si>
    <t>_est_glscc6</t>
  </si>
  <si>
    <t>_est_glscc7</t>
  </si>
  <si>
    <t>_est_glscc8</t>
  </si>
  <si>
    <t>_est_glscc9</t>
  </si>
  <si>
    <t>_est_glscc10</t>
  </si>
  <si>
    <t>_est_glscc11</t>
  </si>
  <si>
    <t>_est_glscc12</t>
  </si>
  <si>
    <t>CEI_AAii</t>
  </si>
  <si>
    <t>CEI_CCii</t>
  </si>
  <si>
    <t>_est_glscci1</t>
  </si>
  <si>
    <t>_est_glscci2</t>
  </si>
  <si>
    <t>_est_glscci3</t>
  </si>
  <si>
    <t>_est_glscci4</t>
  </si>
  <si>
    <t>_est_glscci5</t>
  </si>
  <si>
    <t>_est_glscci6</t>
  </si>
  <si>
    <t>_est_glscci7</t>
  </si>
  <si>
    <t>_est_glscci8</t>
  </si>
  <si>
    <t>_est_glscci9</t>
  </si>
  <si>
    <t>_est_glscci10</t>
  </si>
  <si>
    <t>_est_glscci11</t>
  </si>
  <si>
    <t>_est_glscci12</t>
  </si>
  <si>
    <t>CEI_AA_FD</t>
  </si>
  <si>
    <t>CEI_CC_FD</t>
  </si>
  <si>
    <t>_est_glsaa_fd1</t>
  </si>
  <si>
    <t>_est_glsaa_fd2</t>
  </si>
  <si>
    <t>_est_glsaa_fd3</t>
  </si>
  <si>
    <t>_est_glsaa_fd4</t>
  </si>
  <si>
    <t>_est_glsaa_fd5</t>
  </si>
  <si>
    <t>_est_glsaa_fd6</t>
  </si>
  <si>
    <t>_est_glsaa_fd7</t>
  </si>
  <si>
    <t>_est_glsaa_fd8</t>
  </si>
  <si>
    <t>_est_glsaa_fd9</t>
  </si>
  <si>
    <t>_est_glsaa_fd10</t>
  </si>
  <si>
    <t>_est_glsaa_fd11</t>
  </si>
  <si>
    <t>_est_glsaa_fd12</t>
  </si>
  <si>
    <t>_est_glscc_fd1</t>
  </si>
  <si>
    <t>_est_glscc_fd2</t>
  </si>
  <si>
    <t>_est_glscc_fd3</t>
  </si>
  <si>
    <t>_est_glscc_fd4</t>
  </si>
  <si>
    <t>_est_glscc_fd5</t>
  </si>
  <si>
    <t>_est_glscc_fd6</t>
  </si>
  <si>
    <t>_est_glscc_fd7</t>
  </si>
  <si>
    <t>_est_glscc_fd8</t>
  </si>
  <si>
    <t>_est_glscc_fd9</t>
  </si>
  <si>
    <t>_est_glscc_fd10</t>
  </si>
  <si>
    <t>_est_glscc_fd11</t>
  </si>
  <si>
    <t>_est_glscc_fd12</t>
  </si>
  <si>
    <t>total_divergencee</t>
  </si>
  <si>
    <t>weightt_CE_MF</t>
  </si>
  <si>
    <t>weightt_CE_RP</t>
  </si>
  <si>
    <t>weightt_CE_MG</t>
  </si>
  <si>
    <t>weightt_CE_MR</t>
  </si>
  <si>
    <t>weightt_CE_ER</t>
  </si>
  <si>
    <t>weightt_CE_CR</t>
  </si>
  <si>
    <t>weightt_CE_TR</t>
  </si>
  <si>
    <t>weightt_CE_PI</t>
  </si>
  <si>
    <t>weightt_CE_GV</t>
  </si>
  <si>
    <t>weightt_CE_PE</t>
  </si>
  <si>
    <t>weightt_CE_PA</t>
  </si>
  <si>
    <t>weightt_CE_CF</t>
  </si>
  <si>
    <t>weightt_CE_GG</t>
  </si>
  <si>
    <t>weightt_CE_MD</t>
  </si>
  <si>
    <t>CEI_AAA</t>
  </si>
  <si>
    <t>CEI_AAAii</t>
  </si>
  <si>
    <t>_est_glsaaii1</t>
  </si>
  <si>
    <t>_est_glsaaii2</t>
  </si>
  <si>
    <t>_est_glsaaii3</t>
  </si>
  <si>
    <t>_est_glsaaii4</t>
  </si>
  <si>
    <t>_est_glsaaii5</t>
  </si>
  <si>
    <t>_est_glsaaii6</t>
  </si>
  <si>
    <t>_est_glsaaii7</t>
  </si>
  <si>
    <t>_est_glsaaii8</t>
  </si>
  <si>
    <t>_est_glsaaii9</t>
  </si>
  <si>
    <t>_est_glsaaii10</t>
  </si>
  <si>
    <t>_est_glsaaii11</t>
  </si>
  <si>
    <t>_est_glsaaii12</t>
  </si>
  <si>
    <t>z_CE_MF</t>
  </si>
  <si>
    <t>z_CE_RP</t>
  </si>
  <si>
    <t>z_CE_MG</t>
  </si>
  <si>
    <t>z_CE_ER</t>
  </si>
  <si>
    <t>z_CE_TR</t>
  </si>
  <si>
    <t>z_CE_PE</t>
  </si>
  <si>
    <t>z_CE_PA</t>
  </si>
  <si>
    <t>z_CE_CF</t>
  </si>
  <si>
    <t>z_CE_GG</t>
  </si>
  <si>
    <t>CEI_CCC</t>
  </si>
  <si>
    <t>CEI_CCCii</t>
  </si>
  <si>
    <t>_est_glsccii1</t>
  </si>
  <si>
    <t>_est_glsccii2</t>
  </si>
  <si>
    <t>_est_glsccii3</t>
  </si>
  <si>
    <t>_est_glsccii4</t>
  </si>
  <si>
    <t>_est_glsccii5</t>
  </si>
  <si>
    <t>_est_glsccii6</t>
  </si>
  <si>
    <t>_est_glsccii7</t>
  </si>
  <si>
    <t>_est_glsccii8</t>
  </si>
  <si>
    <t>_est_glsccii9</t>
  </si>
  <si>
    <t>_est_glsccii10</t>
  </si>
  <si>
    <t>_est_glsccii11</t>
  </si>
  <si>
    <t>_est_glsccii12</t>
  </si>
  <si>
    <t>CEI_AAA_FD</t>
  </si>
  <si>
    <t>_est_glsaaa_fd1</t>
  </si>
  <si>
    <t>_est_glsaaa_fd2</t>
  </si>
  <si>
    <t>_est_glsaaa_fd3</t>
  </si>
  <si>
    <t>_est_glsaaa_fd4</t>
  </si>
  <si>
    <t>_est_glsaaa_fd5</t>
  </si>
  <si>
    <t>_est_glsaaa_fd6</t>
  </si>
  <si>
    <t>_est_glsaaa_fd7</t>
  </si>
  <si>
    <t>_est_glsaaa_fd8</t>
  </si>
  <si>
    <t>_est_glsaaa_fd9</t>
  </si>
  <si>
    <t>_est_glsaaa_fd10</t>
  </si>
  <si>
    <t>_est_glsaaa_fd11</t>
  </si>
  <si>
    <t>_est_glsaaa_fd12</t>
  </si>
  <si>
    <t>CEI_CCC_FD</t>
  </si>
  <si>
    <t>_est_glsccc_fd1</t>
  </si>
  <si>
    <t>_est_glsccc_fd2</t>
  </si>
  <si>
    <t>_est_glsccc_fd3</t>
  </si>
  <si>
    <t>_est_glsccc_fd4</t>
  </si>
  <si>
    <t>_est_glsccc_fd5</t>
  </si>
  <si>
    <t>_est_glsccc_fd6</t>
  </si>
  <si>
    <t>_est_glsccc_fd7</t>
  </si>
  <si>
    <t>_est_glsccc_fd8</t>
  </si>
  <si>
    <t>_est_glsccc_fd9</t>
  </si>
  <si>
    <t>_est_glsccc_fd10</t>
  </si>
  <si>
    <t>_est_glsccc_fd11</t>
  </si>
  <si>
    <t>_est_glsccc_fd12</t>
  </si>
  <si>
    <t>_est_glsaaa1</t>
  </si>
  <si>
    <t>_est_glsaaa2</t>
  </si>
  <si>
    <t>_est_glsaaa3</t>
  </si>
  <si>
    <t>_est_glsaaa4</t>
  </si>
  <si>
    <t>_est_glsaaa5</t>
  </si>
  <si>
    <t>_est_glsaaa6</t>
  </si>
  <si>
    <t>_est_glsaaa7</t>
  </si>
  <si>
    <t>_est_glsaaa8</t>
  </si>
  <si>
    <t>_est_glsaaa9</t>
  </si>
  <si>
    <t>_est_glsaaa10</t>
  </si>
  <si>
    <t>_est_glsaaa11</t>
  </si>
  <si>
    <t>_est_glsaaa12</t>
  </si>
  <si>
    <t>_est_glsccc1</t>
  </si>
  <si>
    <t>_est_glsccc2</t>
  </si>
  <si>
    <t>_est_glsccc3</t>
  </si>
  <si>
    <t>_est_glsccc4</t>
  </si>
  <si>
    <t>_est_glsccc5</t>
  </si>
  <si>
    <t>_est_glsccc6</t>
  </si>
  <si>
    <t>_est_glsccc7</t>
  </si>
  <si>
    <t>_est_glsccc8</t>
  </si>
  <si>
    <t>_est_glsccc9</t>
  </si>
  <si>
    <t>_est_glsccc10</t>
  </si>
  <si>
    <t>_est_glsccc11</t>
  </si>
  <si>
    <t>_est_glsccc12</t>
  </si>
  <si>
    <t>_est_pcse_base_robust</t>
  </si>
  <si>
    <t>_est_pcse_ar1_robust</t>
  </si>
  <si>
    <t>_est_pcse_ar1_nmk_robust</t>
  </si>
  <si>
    <t>_est_pcse_psar1_robust</t>
  </si>
  <si>
    <t>_est_pcse_psar1_nmk_robust</t>
  </si>
  <si>
    <t>_est_pcse_independent_robust</t>
  </si>
  <si>
    <t>_est_pcse_independent_nmk_robust</t>
  </si>
  <si>
    <t>_est_pcse_psar1_tscorr_robust</t>
  </si>
  <si>
    <t>_est_pcse_ar1_dw_robust</t>
  </si>
  <si>
    <t>_est_pcse_ar1_np1_robust</t>
  </si>
  <si>
    <t>_est_pcse_hetonly_robust</t>
  </si>
  <si>
    <t>_est_pcse_hetonly_ppr</t>
  </si>
  <si>
    <t>_est_pcse_het_ar1_robust</t>
  </si>
  <si>
    <t>_est_pcse_het_psar1_robust</t>
  </si>
  <si>
    <t>_est_pcse_het_ptr</t>
  </si>
  <si>
    <t>_est_pcse_het_independent_robust</t>
  </si>
  <si>
    <t>_est_pcse_het_itr</t>
  </si>
  <si>
    <t>_est_pcse_casewise_robust</t>
  </si>
  <si>
    <t>_est_pcse_pairwise_robust</t>
  </si>
  <si>
    <t>_est_pcse_nmk_robust</t>
  </si>
  <si>
    <t>_est_pcse_detail_robust</t>
  </si>
  <si>
    <t>_est_pcse_base_ccc</t>
  </si>
  <si>
    <t>_est_pcse_ar1_ccc</t>
  </si>
  <si>
    <t>_est_pcse_ar1_nmk_ccc</t>
  </si>
  <si>
    <t>_est_pcse_psar1_ccc</t>
  </si>
  <si>
    <t>_est_pcse_psar1_nmk_ccc</t>
  </si>
  <si>
    <t>_est_pcse_independent_ccc</t>
  </si>
  <si>
    <t>_est_pcse_independent_nmk_ccc</t>
  </si>
  <si>
    <t>_est_pcse_psar1_tscorr_ccc</t>
  </si>
  <si>
    <t>_est_pcse_ar1_dw_ccc</t>
  </si>
  <si>
    <t>_est_pcse_ar1_np1_ccc</t>
  </si>
  <si>
    <t>_est_pcse_hetonly_ccc</t>
  </si>
  <si>
    <t>_est_pcse_hetonly_ppr_ccc</t>
  </si>
  <si>
    <t>_est_pcse_het_ar1_ccc</t>
  </si>
  <si>
    <t>_est_pcse_het_psar1_ccc</t>
  </si>
  <si>
    <t>_est_pcse_het_ptr_ccc</t>
  </si>
  <si>
    <t>_est_pcse_het_independent_ccc</t>
  </si>
  <si>
    <t>_est_pcse_het_itr_ccc</t>
  </si>
  <si>
    <t>_est_pcse_casewise_ccc</t>
  </si>
  <si>
    <t>_est_pcse_pairwise_ccc</t>
  </si>
  <si>
    <t>_est_pcse_nmk_ccc</t>
  </si>
  <si>
    <t>_est_pcse_detail_ccc</t>
  </si>
  <si>
    <t>_est_pcse_base_aaa_ii</t>
  </si>
  <si>
    <t>_est_pcse_ar1_aaa_ii</t>
  </si>
  <si>
    <t>_est_pcse_ar1_nmk_aaa_ii</t>
  </si>
  <si>
    <t>_est_pcse_psar1_aaa_ii</t>
  </si>
  <si>
    <t>_est_pcse_psar1_nmk_aaa_ii</t>
  </si>
  <si>
    <t>_est_pcse_independent_aaa_ii</t>
  </si>
  <si>
    <t>_est_pcse_independent_nmk_aaa_ii</t>
  </si>
  <si>
    <t>_est_pcse_psar1_tscorr_aaa_ii</t>
  </si>
  <si>
    <t>_est_pcse_ar1_dw_aaa_ii</t>
  </si>
  <si>
    <t>_est_pcse_ar1_np1_aaa_ii</t>
  </si>
  <si>
    <t>_est_pcse_hetonly_aaa_ii</t>
  </si>
  <si>
    <t>_est_pcse_hetonly_ppr_aaa_ii</t>
  </si>
  <si>
    <t>_est_pcse_het_ar1_aaa_ii</t>
  </si>
  <si>
    <t>_est_pcse_het_psar1_aaa_ii</t>
  </si>
  <si>
    <t>_est_pcse_het_ptr_aaa_ii</t>
  </si>
  <si>
    <t>_est_pcse_het_independent_aaa_ii</t>
  </si>
  <si>
    <t>_est_pcse_het_itr_aaa_ii</t>
  </si>
  <si>
    <t>_est_pcse_casewise_aaa_ii</t>
  </si>
  <si>
    <t>_est_pcse_pairwise_aaa_ii</t>
  </si>
  <si>
    <t>_est_pcse_nmk_aaa_ii</t>
  </si>
  <si>
    <t>_est_pcse_detail_aaa_ii</t>
  </si>
  <si>
    <t>_est_pcse_base_ccc_ii</t>
  </si>
  <si>
    <t>_est_pcse_ar1_ccc_ii</t>
  </si>
  <si>
    <t>_est_pcse_ar1_nmk_ccc_ii</t>
  </si>
  <si>
    <t>_est_pcse_psar1_ccc_ii</t>
  </si>
  <si>
    <t>_est_pcse_psar1_nmk_ccc_ii</t>
  </si>
  <si>
    <t>_est_pcse_independent_ccc_ii</t>
  </si>
  <si>
    <t>_est_pcse_independent_nmk_ccc_ii</t>
  </si>
  <si>
    <t>_est_pcse_psar1_tscorr_ccc_ii</t>
  </si>
  <si>
    <t>_est_pcse_ar1_dw_ccc_ii</t>
  </si>
  <si>
    <t>_est_pcse_ar1_np1_ccc_ii</t>
  </si>
  <si>
    <t>_est_pcse_hetonly_ccc_ii</t>
  </si>
  <si>
    <t>_est_pcse_hetonly_ppr_ccc_ii</t>
  </si>
  <si>
    <t>_est_pcse_het_ar1_ccc_ii</t>
  </si>
  <si>
    <t>_est_pcse_het_psar1_ccc_ii</t>
  </si>
  <si>
    <t>_est_pcse_het_ptr_ccc_ii</t>
  </si>
  <si>
    <t>_est_pcse_het_independent_ccc_ii</t>
  </si>
  <si>
    <t>_est_pcse_het_itr_ccc_ii</t>
  </si>
  <si>
    <t>_est_pcse_casewise_ccc_ii</t>
  </si>
  <si>
    <t>_est_pcse_pairwise_ccc_ii</t>
  </si>
  <si>
    <t>_est_pcse_nmk_ccc_ii</t>
  </si>
  <si>
    <t>_est_pcse_detail_ccc_ii</t>
  </si>
  <si>
    <t>_est_pcse_base_aaa_fd</t>
  </si>
  <si>
    <t>_est_pcse_ar1_aaa_fd</t>
  </si>
  <si>
    <t>_est_pcse_ar1_nmk_aaa_fd</t>
  </si>
  <si>
    <t>_est_pcse_psar1_aaa_fd</t>
  </si>
  <si>
    <t>_est_pcse_psar1_nmk_aaa_fd</t>
  </si>
  <si>
    <t>_est_pcse_independent_aaa_fd</t>
  </si>
  <si>
    <t>_est_pcse_independent_nmk_aaa_fd</t>
  </si>
  <si>
    <t>_est_pcse_psar1_tscorr_aaa_fd</t>
  </si>
  <si>
    <t>_est_pcse_ar1_dw_aaa_fd</t>
  </si>
  <si>
    <t>_est_pcse_ar1_np1_aaa_fd</t>
  </si>
  <si>
    <t>_est_pcse_hetonly_aaa_fd</t>
  </si>
  <si>
    <t>_est_pcse_hpadf</t>
  </si>
  <si>
    <t>_est_pcse_haafd</t>
  </si>
  <si>
    <t>_est_pcse_hpafd</t>
  </si>
  <si>
    <t>_est_pcse_hppafd</t>
  </si>
  <si>
    <t>_est_pcse_het_independent_aaa_fd</t>
  </si>
  <si>
    <t>_est_pcse_het_itr_aaa_fd</t>
  </si>
  <si>
    <t>_est_pcse_casewise_aaa_fd</t>
  </si>
  <si>
    <t>_est_pcse_pairwise_aaa_fd</t>
  </si>
  <si>
    <t>_est_pcse_nmk_aaa_fd</t>
  </si>
  <si>
    <t>_est_pcse_detail_aaa_fd</t>
  </si>
  <si>
    <t>_est_pcse_base_ccc_fd</t>
  </si>
  <si>
    <t>_est_pcse_ar1_ccc_fd</t>
  </si>
  <si>
    <t>_est_pcse_ar1_nmk_ccc_fd</t>
  </si>
  <si>
    <t>_est_pcse_psar1_ccc_fd</t>
  </si>
  <si>
    <t>_est_pcse_psar1_nmk_ccc_fd</t>
  </si>
  <si>
    <t>_est_pcse_independent_ccc_fd</t>
  </si>
  <si>
    <t>_est_pcse_independent_nmk_ccc_fd</t>
  </si>
  <si>
    <t>_est_pcse_psar1_tscorr_ccc_fd</t>
  </si>
  <si>
    <t>_est_pcse_ar1_dw_ccc_fd</t>
  </si>
  <si>
    <t>_est_pcse_ar1_np1_ccc_fd</t>
  </si>
  <si>
    <t>_est_pcse_hetonly_ccc_fd</t>
  </si>
  <si>
    <t>_est_pcse_hpadf_ccc_fd</t>
  </si>
  <si>
    <t>_est_pcse_haafd_ccc_fd</t>
  </si>
  <si>
    <t>_est_pcse_hpafd_ccc_fd</t>
  </si>
  <si>
    <t>_est_pcse_hppafd_ccc_fd</t>
  </si>
  <si>
    <t>_est_pcse_het_independent_ccc_fd</t>
  </si>
  <si>
    <t>_est_pcse_het_itr_ccc_fd</t>
  </si>
  <si>
    <t>_est_pcse_casewise_ccc_fd</t>
  </si>
  <si>
    <t>_est_pcse_pairwise_ccc_fd</t>
  </si>
  <si>
    <t>_est_pcse_nmk_ccc_fd</t>
  </si>
  <si>
    <t>_est_pcse_detail_ccc_fd</t>
  </si>
  <si>
    <t>GDPii</t>
  </si>
  <si>
    <t>_est_ekc1</t>
  </si>
  <si>
    <t>_est_ekc2</t>
  </si>
  <si>
    <t>_est_ekc3</t>
  </si>
  <si>
    <t>_est_ekc4</t>
  </si>
  <si>
    <t>_est_ekc5</t>
  </si>
  <si>
    <t>_est_ekc6</t>
  </si>
  <si>
    <t>_est_ekc9</t>
  </si>
  <si>
    <t>_est_ekc10</t>
  </si>
  <si>
    <t>_est_ekc11</t>
  </si>
  <si>
    <t>_est_ekc12</t>
  </si>
  <si>
    <t>_est_ekc7</t>
  </si>
  <si>
    <t>_est_ekc8</t>
  </si>
  <si>
    <t>weee_raw</t>
  </si>
  <si>
    <t>gdp_raw</t>
  </si>
  <si>
    <t>ce_pa</t>
  </si>
  <si>
    <t>pds_raw</t>
  </si>
  <si>
    <t>rec_raw</t>
  </si>
  <si>
    <t>urb_raw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</si>
</sst>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4D923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5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1F3864"/>
      <name val="Calibri"/>
      <family val="2"/>
    </font>
    <font>
      <sz val="11"/>
      <color rgb="FF4D9232"/>
      <name val="Calibri"/>
      <family val="2"/>
    </font>
    <font>
      <sz val="11"/>
      <color rgb="FF70AD47"/>
      <name val="Calibri"/>
      <family val="2"/>
    </font>
    <font>
      <sz val="11"/>
      <color theme="5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AEABAB"/>
        <bgColor rgb="FFAEABAB"/>
      </patternFill>
    </fill>
    <fill>
      <patternFill patternType="solid">
        <fgColor theme="5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9" xfId="0" applyFont="1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3" fillId="0" borderId="0" xfId="0" applyFont="1"/>
    <xf numFmtId="0" fontId="4" fillId="0" borderId="7" xfId="0" applyFont="1" applyBorder="1"/>
    <xf numFmtId="0" fontId="4" fillId="0" borderId="8" xfId="0" applyFont="1" applyBorder="1"/>
    <xf numFmtId="11" fontId="0" fillId="0" borderId="0" xfId="0" applyNumberFormat="1"/>
    <xf numFmtId="0" fontId="0" fillId="0" borderId="11" xfId="0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6" xfId="0" applyFont="1" applyBorder="1"/>
    <xf numFmtId="0" fontId="0" fillId="0" borderId="13" xfId="0" applyBorder="1"/>
    <xf numFmtId="0" fontId="0" fillId="0" borderId="14" xfId="0" applyBorder="1"/>
    <xf numFmtId="0" fontId="3" fillId="0" borderId="14" xfId="0" applyFont="1" applyBorder="1"/>
    <xf numFmtId="0" fontId="4" fillId="0" borderId="14" xfId="0" applyFont="1" applyBorder="1"/>
    <xf numFmtId="0" fontId="4" fillId="0" borderId="15" xfId="0" applyFont="1" applyBorder="1"/>
    <xf numFmtId="0" fontId="0" fillId="0" borderId="19" xfId="0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3" fillId="0" borderId="23" xfId="0" applyFont="1" applyBorder="1"/>
    <xf numFmtId="0" fontId="0" fillId="0" borderId="20" xfId="0" applyBorder="1"/>
    <xf numFmtId="0" fontId="0" fillId="0" borderId="21" xfId="0" applyBorder="1"/>
    <xf numFmtId="0" fontId="3" fillId="0" borderId="21" xfId="0" applyFont="1" applyBorder="1"/>
    <xf numFmtId="0" fontId="4" fillId="0" borderId="21" xfId="0" applyFont="1" applyBorder="1"/>
    <xf numFmtId="0" fontId="4" fillId="0" borderId="22" xfId="0" applyFont="1" applyBorder="1"/>
    <xf numFmtId="0" fontId="0" fillId="0" borderId="24" xfId="0" applyBorder="1"/>
    <xf numFmtId="0" fontId="5" fillId="4" borderId="26" xfId="0" applyFont="1" applyFill="1" applyBorder="1" applyAlignment="1">
      <alignment horizontal="center" vertical="top"/>
    </xf>
    <xf numFmtId="0" fontId="5" fillId="4" borderId="27" xfId="0" applyFont="1" applyFill="1" applyBorder="1" applyAlignment="1">
      <alignment horizontal="center" vertical="top"/>
    </xf>
    <xf numFmtId="0" fontId="5" fillId="5" borderId="25" xfId="0" applyFont="1" applyFill="1" applyBorder="1" applyAlignment="1">
      <alignment horizontal="center" vertical="top"/>
    </xf>
    <xf numFmtId="0" fontId="6" fillId="6" borderId="28" xfId="0" applyFont="1" applyFill="1" applyBorder="1" applyAlignment="1">
      <alignment wrapText="1"/>
    </xf>
    <xf numFmtId="0" fontId="6" fillId="6" borderId="27" xfId="0" applyFont="1" applyFill="1" applyBorder="1" applyAlignment="1">
      <alignment wrapText="1"/>
    </xf>
    <xf numFmtId="0" fontId="7" fillId="5" borderId="29" xfId="0" applyFont="1" applyFill="1" applyBorder="1"/>
    <xf numFmtId="0" fontId="8" fillId="7" borderId="29" xfId="0" applyFont="1" applyFill="1" applyBorder="1"/>
    <xf numFmtId="0" fontId="8" fillId="7" borderId="28" xfId="0" applyFont="1" applyFill="1" applyBorder="1"/>
    <xf numFmtId="0" fontId="8" fillId="7" borderId="27" xfId="0" applyFont="1" applyFill="1" applyBorder="1"/>
    <xf numFmtId="0" fontId="6" fillId="6" borderId="25" xfId="0" applyFont="1" applyFill="1" applyBorder="1" applyAlignment="1">
      <alignment wrapText="1"/>
    </xf>
    <xf numFmtId="0" fontId="6" fillId="6" borderId="27" xfId="0" applyFont="1" applyFill="1" applyBorder="1"/>
    <xf numFmtId="2" fontId="6" fillId="8" borderId="29" xfId="0" applyNumberFormat="1" applyFont="1" applyFill="1" applyBorder="1"/>
    <xf numFmtId="0" fontId="6" fillId="5" borderId="27" xfId="0" applyFont="1" applyFill="1" applyBorder="1"/>
    <xf numFmtId="0" fontId="8" fillId="7" borderId="25" xfId="0" applyFont="1" applyFill="1" applyBorder="1"/>
    <xf numFmtId="0" fontId="6" fillId="7" borderId="27" xfId="0" applyFont="1" applyFill="1" applyBorder="1" applyAlignment="1">
      <alignment wrapText="1"/>
    </xf>
    <xf numFmtId="0" fontId="9" fillId="9" borderId="25" xfId="0" applyFont="1" applyFill="1" applyBorder="1" applyAlignment="1">
      <alignment horizontal="center" vertical="top"/>
    </xf>
    <xf numFmtId="0" fontId="6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7" xfId="0" applyNumberFormat="1" applyFont="1" applyBorder="1" applyAlignment="1">
      <alignment horizontal="center"/>
    </xf>
    <xf numFmtId="0" fontId="6" fillId="0" borderId="30" xfId="0" applyNumberFormat="1" applyFont="1" applyBorder="1" applyAlignment="1">
      <alignment horizontal="center"/>
    </xf>
    <xf numFmtId="0" fontId="6" fillId="0" borderId="28" xfId="0" applyNumberFormat="1" applyFont="1" applyBorder="1" applyAlignment="1">
      <alignment horizontal="center"/>
    </xf>
    <xf numFmtId="0" fontId="5" fillId="11" borderId="27" xfId="0" applyNumberFormat="1" applyFont="1" applyFill="1" applyBorder="1" applyAlignment="1">
      <alignment horizontal="center" vertical="top"/>
    </xf>
    <xf numFmtId="0" fontId="5" fillId="11" borderId="28" xfId="0" applyNumberFormat="1" applyFont="1" applyFill="1" applyBorder="1" applyAlignment="1">
      <alignment horizontal="center" vertical="top"/>
    </xf>
    <xf numFmtId="0" fontId="6" fillId="0" borderId="29" xfId="0" applyNumberFormat="1" applyFont="1" applyBorder="1" applyAlignment="1">
      <alignment horizontal="center"/>
    </xf>
    <xf numFmtId="0" fontId="5" fillId="10" borderId="27" xfId="0" applyNumberFormat="1" applyFont="1" applyFill="1" applyBorder="1" applyAlignment="1">
      <alignment horizontal="center" vertical="top"/>
    </xf>
    <xf numFmtId="0" fontId="5" fillId="10" borderId="26" xfId="0" applyNumberFormat="1" applyFont="1" applyFill="1" applyBorder="1" applyAlignment="1">
      <alignment horizontal="center" vertical="top"/>
    </xf>
    <xf numFmtId="0" fontId="9" fillId="9" borderId="25" xfId="0" applyNumberFormat="1" applyFont="1" applyFill="1" applyBorder="1" applyAlignment="1">
      <alignment horizontal="center" vertical="top"/>
    </xf>
    <xf numFmtId="0" fontId="8" fillId="7" borderId="27" xfId="0" applyNumberFormat="1" applyFont="1" applyFill="1" applyBorder="1"/>
    <xf numFmtId="0" fontId="8" fillId="7" borderId="28" xfId="0" applyNumberFormat="1" applyFont="1" applyFill="1" applyBorder="1"/>
    <xf numFmtId="0" fontId="6" fillId="7" borderId="27" xfId="0" applyNumberFormat="1" applyFont="1" applyFill="1" applyBorder="1" applyAlignment="1">
      <alignment wrapText="1"/>
    </xf>
    <xf numFmtId="0" fontId="6" fillId="7" borderId="28" xfId="0" applyNumberFormat="1" applyFont="1" applyFill="1" applyBorder="1" applyAlignment="1">
      <alignment wrapText="1"/>
    </xf>
    <xf numFmtId="0" fontId="7" fillId="5" borderId="29" xfId="0" applyNumberFormat="1" applyFont="1" applyFill="1" applyBorder="1"/>
    <xf numFmtId="0" fontId="8" fillId="7" borderId="29" xfId="0" applyNumberFormat="1" applyFont="1" applyFill="1" applyBorder="1"/>
    <xf numFmtId="0" fontId="8" fillId="7" borderId="25" xfId="0" applyNumberFormat="1" applyFont="1" applyFill="1" applyBorder="1"/>
    <xf numFmtId="0" fontId="6" fillId="5" borderId="27" xfId="0" applyNumberFormat="1" applyFont="1" applyFill="1" applyBorder="1"/>
    <xf numFmtId="0" fontId="6" fillId="5" borderId="26" xfId="0" applyNumberFormat="1" applyFont="1" applyFill="1" applyBorder="1"/>
    <xf numFmtId="0" fontId="7" fillId="5" borderId="26" xfId="0" applyNumberFormat="1" applyFont="1" applyFill="1" applyBorder="1"/>
    <xf numFmtId="0" fontId="6" fillId="8" borderId="29" xfId="0" applyNumberFormat="1" applyFont="1" applyFill="1" applyBorder="1"/>
    <xf numFmtId="0" fontId="6" fillId="6" borderId="27" xfId="0" applyNumberFormat="1" applyFont="1" applyFill="1" applyBorder="1"/>
    <xf numFmtId="0" fontId="6" fillId="6" borderId="28" xfId="0" applyNumberFormat="1" applyFont="1" applyFill="1" applyBorder="1"/>
    <xf numFmtId="0" fontId="6" fillId="6" borderId="27" xfId="0" applyNumberFormat="1" applyFont="1" applyFill="1" applyBorder="1" applyAlignment="1">
      <alignment wrapText="1"/>
    </xf>
    <xf numFmtId="0" fontId="6" fillId="6" borderId="28" xfId="0" applyNumberFormat="1" applyFont="1" applyFill="1" applyBorder="1" applyAlignment="1">
      <alignment wrapText="1"/>
    </xf>
    <xf numFmtId="0" fontId="6" fillId="6" borderId="25" xfId="0" applyNumberFormat="1" applyFont="1" applyFill="1" applyBorder="1" applyAlignment="1">
      <alignment wrapText="1"/>
    </xf>
    <xf numFmtId="0" fontId="5" fillId="5" borderId="25" xfId="0" applyNumberFormat="1" applyFont="1" applyFill="1" applyBorder="1" applyAlignment="1">
      <alignment horizontal="center" vertical="top"/>
    </xf>
    <xf numFmtId="0" fontId="5" fillId="4" borderId="27" xfId="0" applyNumberFormat="1" applyFont="1" applyFill="1" applyBorder="1" applyAlignment="1">
      <alignment horizontal="center" vertical="top"/>
    </xf>
    <xf numFmtId="0" fontId="5" fillId="4" borderId="26" xfId="0" applyNumberFormat="1" applyFont="1" applyFill="1" applyBorder="1" applyAlignment="1">
      <alignment horizontal="center" vertical="top"/>
    </xf>
    <xf numFmtId="0" fontId="5" fillId="3" borderId="27" xfId="0" applyNumberFormat="1" applyFont="1" applyFill="1" applyBorder="1" applyAlignment="1">
      <alignment horizontal="center" vertical="top"/>
    </xf>
    <xf numFmtId="0" fontId="5" fillId="3" borderId="26" xfId="0" applyNumberFormat="1" applyFont="1" applyFill="1" applyBorder="1" applyAlignment="1">
      <alignment horizontal="center" vertical="top"/>
    </xf>
    <xf numFmtId="0" fontId="5" fillId="2" borderId="25" xfId="0" applyNumberFormat="1" applyFont="1" applyFill="1" applyBorder="1" applyAlignment="1">
      <alignment horizontal="center" vertical="top"/>
    </xf>
    <xf numFmtId="0" fontId="0" fillId="0" borderId="21" xfId="0" applyNumberFormat="1" applyBorder="1"/>
    <xf numFmtId="0" fontId="0" fillId="0" borderId="24" xfId="0" applyNumberFormat="1" applyBorder="1"/>
    <xf numFmtId="0" fontId="0" fillId="0" borderId="20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4" fillId="0" borderId="21" xfId="0" applyNumberFormat="1" applyFont="1" applyBorder="1"/>
    <xf numFmtId="0" fontId="4" fillId="0" borderId="20" xfId="0" applyNumberFormat="1" applyFont="1" applyBorder="1"/>
    <xf numFmtId="0" fontId="4" fillId="0" borderId="22" xfId="0" applyNumberFormat="1" applyFont="1" applyBorder="1"/>
    <xf numFmtId="0" fontId="3" fillId="0" borderId="21" xfId="0" applyNumberFormat="1" applyFont="1" applyBorder="1"/>
    <xf numFmtId="0" fontId="3" fillId="0" borderId="18" xfId="0" applyNumberFormat="1" applyFont="1" applyBorder="1"/>
    <xf numFmtId="0" fontId="3" fillId="0" borderId="0" xfId="0" applyNumberFormat="1" applyFont="1"/>
    <xf numFmtId="0" fontId="3" fillId="0" borderId="20" xfId="0" applyNumberFormat="1" applyFont="1" applyBorder="1"/>
    <xf numFmtId="0" fontId="3" fillId="0" borderId="23" xfId="0" applyNumberFormat="1" applyFont="1" applyBorder="1"/>
    <xf numFmtId="0" fontId="1" fillId="0" borderId="21" xfId="0" applyNumberFormat="1" applyFont="1" applyBorder="1"/>
    <xf numFmtId="0" fontId="1" fillId="0" borderId="20" xfId="0" applyNumberFormat="1" applyFont="1" applyBorder="1"/>
    <xf numFmtId="0" fontId="1" fillId="0" borderId="22" xfId="0" applyNumberFormat="1" applyFont="1" applyBorder="1"/>
    <xf numFmtId="0" fontId="1" fillId="0" borderId="0" xfId="0" applyNumberFormat="1" applyFont="1"/>
    <xf numFmtId="0" fontId="0" fillId="0" borderId="14" xfId="0" applyNumberFormat="1" applyBorder="1"/>
    <xf numFmtId="0" fontId="0" fillId="0" borderId="19" xfId="0" applyNumberFormat="1" applyBorder="1"/>
    <xf numFmtId="0" fontId="0" fillId="0" borderId="13" xfId="0" applyNumberFormat="1" applyBorder="1"/>
    <xf numFmtId="0" fontId="4" fillId="0" borderId="14" xfId="0" applyNumberFormat="1" applyFont="1" applyBorder="1"/>
    <xf numFmtId="0" fontId="4" fillId="0" borderId="13" xfId="0" applyNumberFormat="1" applyFont="1" applyBorder="1"/>
    <xf numFmtId="0" fontId="4" fillId="0" borderId="15" xfId="0" applyNumberFormat="1" applyFont="1" applyBorder="1"/>
    <xf numFmtId="0" fontId="3" fillId="0" borderId="14" xfId="0" applyNumberFormat="1" applyFont="1" applyBorder="1"/>
    <xf numFmtId="0" fontId="3" fillId="0" borderId="17" xfId="0" applyNumberFormat="1" applyFont="1" applyBorder="1"/>
    <xf numFmtId="0" fontId="3" fillId="0" borderId="13" xfId="0" applyNumberFormat="1" applyFont="1" applyBorder="1"/>
    <xf numFmtId="0" fontId="3" fillId="0" borderId="16" xfId="0" applyNumberFormat="1" applyFont="1" applyBorder="1"/>
    <xf numFmtId="0" fontId="1" fillId="0" borderId="14" xfId="0" applyNumberFormat="1" applyFont="1" applyBorder="1"/>
    <xf numFmtId="0" fontId="1" fillId="0" borderId="13" xfId="0" applyNumberFormat="1" applyFont="1" applyBorder="1"/>
    <xf numFmtId="0" fontId="1" fillId="0" borderId="15" xfId="0" applyNumberFormat="1" applyFont="1" applyBorder="1"/>
    <xf numFmtId="0" fontId="0" fillId="0" borderId="7" xfId="0" applyNumberFormat="1" applyBorder="1"/>
    <xf numFmtId="0" fontId="0" fillId="0" borderId="1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4" fillId="0" borderId="7" xfId="0" applyNumberFormat="1" applyFont="1" applyBorder="1"/>
    <xf numFmtId="0" fontId="4" fillId="0" borderId="6" xfId="0" applyNumberFormat="1" applyFont="1" applyBorder="1"/>
    <xf numFmtId="0" fontId="4" fillId="0" borderId="8" xfId="0" applyNumberFormat="1" applyFont="1" applyBorder="1"/>
    <xf numFmtId="0" fontId="3" fillId="0" borderId="7" xfId="0" applyNumberFormat="1" applyFont="1" applyBorder="1"/>
    <xf numFmtId="0" fontId="3" fillId="0" borderId="3" xfId="0" applyNumberFormat="1" applyFont="1" applyBorder="1"/>
    <xf numFmtId="0" fontId="3" fillId="0" borderId="10" xfId="0" applyNumberFormat="1" applyFont="1" applyBorder="1"/>
    <xf numFmtId="0" fontId="3" fillId="0" borderId="6" xfId="0" applyNumberFormat="1" applyFont="1" applyBorder="1"/>
    <xf numFmtId="0" fontId="3" fillId="0" borderId="9" xfId="0" applyNumberFormat="1" applyFont="1" applyBorder="1"/>
    <xf numFmtId="0" fontId="1" fillId="0" borderId="7" xfId="0" applyNumberFormat="1" applyFont="1" applyBorder="1"/>
    <xf numFmtId="0" fontId="1" fillId="0" borderId="6" xfId="0" applyNumberFormat="1" applyFont="1" applyBorder="1"/>
    <xf numFmtId="0" fontId="1" fillId="0" borderId="8" xfId="0" applyNumberFormat="1" applyFont="1" applyBorder="1"/>
    <xf numFmtId="0" fontId="6" fillId="0" borderId="27" xfId="0" applyNumberFormat="1" applyFont="1" applyFill="1" applyBorder="1" applyAlignment="1">
      <alignment horizontal="center"/>
    </xf>
    <xf numFmtId="0" fontId="6" fillId="0" borderId="30" xfId="0" applyNumberFormat="1" applyFont="1" applyFill="1" applyBorder="1" applyAlignment="1">
      <alignment horizontal="center"/>
    </xf>
    <xf numFmtId="0" fontId="6" fillId="0" borderId="28" xfId="0" applyNumberFormat="1" applyFont="1" applyFill="1" applyBorder="1" applyAlignment="1">
      <alignment horizontal="center"/>
    </xf>
    <xf numFmtId="0" fontId="6" fillId="0" borderId="29" xfId="0" applyNumberFormat="1" applyFont="1" applyFill="1" applyBorder="1" applyAlignment="1">
      <alignment horizontal="center"/>
    </xf>
    <xf numFmtId="0" fontId="8" fillId="0" borderId="27" xfId="0" applyNumberFormat="1" applyFont="1" applyFill="1" applyBorder="1"/>
    <xf numFmtId="0" fontId="6" fillId="0" borderId="27" xfId="0" applyNumberFormat="1" applyFont="1" applyFill="1" applyBorder="1" applyAlignment="1">
      <alignment wrapText="1"/>
    </xf>
    <xf numFmtId="0" fontId="7" fillId="0" borderId="29" xfId="0" applyNumberFormat="1" applyFont="1" applyFill="1" applyBorder="1"/>
    <xf numFmtId="0" fontId="8" fillId="0" borderId="29" xfId="0" applyNumberFormat="1" applyFont="1" applyFill="1" applyBorder="1"/>
    <xf numFmtId="0" fontId="7" fillId="0" borderId="26" xfId="0" applyNumberFormat="1" applyFont="1" applyFill="1" applyBorder="1"/>
    <xf numFmtId="0" fontId="6" fillId="0" borderId="29" xfId="0" applyNumberFormat="1" applyFont="1" applyFill="1" applyBorder="1"/>
    <xf numFmtId="0" fontId="6" fillId="0" borderId="25" xfId="0" applyNumberFormat="1" applyFont="1" applyFill="1" applyBorder="1" applyAlignment="1">
      <alignment wrapText="1"/>
    </xf>
    <xf numFmtId="0" fontId="5" fillId="0" borderId="25" xfId="0" applyNumberFormat="1" applyFont="1" applyFill="1" applyBorder="1" applyAlignment="1">
      <alignment horizontal="center" vertical="top"/>
    </xf>
    <xf numFmtId="0" fontId="0" fillId="0" borderId="0" xfId="0" applyFill="1"/>
    <xf numFmtId="0" fontId="7" fillId="0" borderId="25" xfId="0" applyNumberFormat="1" applyFont="1" applyFill="1" applyBorder="1" applyAlignment="1">
      <alignment horizontal="center" vertical="top"/>
    </xf>
    <xf numFmtId="0" fontId="10" fillId="0" borderId="27" xfId="0" applyNumberFormat="1" applyFont="1" applyFill="1" applyBorder="1" applyAlignment="1">
      <alignment horizontal="center" vertical="top"/>
    </xf>
    <xf numFmtId="0" fontId="10" fillId="0" borderId="27" xfId="0" applyNumberFormat="1" applyFont="1" applyFill="1" applyBorder="1"/>
    <xf numFmtId="0" fontId="11" fillId="0" borderId="27" xfId="0" applyNumberFormat="1" applyFont="1" applyFill="1" applyBorder="1" applyAlignment="1">
      <alignment wrapText="1"/>
    </xf>
    <xf numFmtId="0" fontId="10" fillId="0" borderId="29" xfId="0" applyNumberFormat="1" applyFont="1" applyFill="1" applyBorder="1"/>
    <xf numFmtId="0" fontId="10" fillId="0" borderId="25" xfId="0" applyNumberFormat="1" applyFont="1" applyFill="1" applyBorder="1"/>
    <xf numFmtId="0" fontId="11" fillId="0" borderId="27" xfId="0" applyNumberFormat="1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11" fontId="14" fillId="0" borderId="0" xfId="0" applyNumberFormat="1" applyFont="1"/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8" fillId="13" borderId="31" xfId="0" applyFont="1" applyFill="1" applyBorder="1"/>
    <xf numFmtId="0" fontId="7" fillId="13" borderId="31" xfId="0" applyFont="1" applyFill="1" applyBorder="1" applyAlignment="1">
      <alignment wrapText="1"/>
    </xf>
    <xf numFmtId="0" fontId="7" fillId="13" borderId="34" xfId="0" applyFont="1" applyFill="1" applyBorder="1"/>
    <xf numFmtId="0" fontId="8" fillId="13" borderId="34" xfId="0" applyFont="1" applyFill="1" applyBorder="1"/>
    <xf numFmtId="0" fontId="8" fillId="13" borderId="35" xfId="0" applyFont="1" applyFill="1" applyBorder="1"/>
    <xf numFmtId="0" fontId="7" fillId="13" borderId="31" xfId="0" applyFont="1" applyFill="1" applyBorder="1"/>
    <xf numFmtId="0" fontId="7" fillId="13" borderId="36" xfId="0" applyFont="1" applyFill="1" applyBorder="1"/>
    <xf numFmtId="2" fontId="7" fillId="13" borderId="34" xfId="0" applyNumberFormat="1" applyFont="1" applyFill="1" applyBorder="1"/>
    <xf numFmtId="0" fontId="6" fillId="12" borderId="0" xfId="0" applyFont="1" applyFill="1"/>
    <xf numFmtId="0" fontId="7" fillId="13" borderId="35" xfId="0" applyFont="1" applyFill="1" applyBorder="1" applyAlignment="1">
      <alignment wrapText="1"/>
    </xf>
    <xf numFmtId="0" fontId="8" fillId="14" borderId="31" xfId="0" applyFont="1" applyFill="1" applyBorder="1"/>
    <xf numFmtId="0" fontId="8" fillId="14" borderId="33" xfId="0" applyFont="1" applyFill="1" applyBorder="1"/>
    <xf numFmtId="0" fontId="8" fillId="14" borderId="34" xfId="0" applyFont="1" applyFill="1" applyBorder="1"/>
    <xf numFmtId="0" fontId="7" fillId="15" borderId="34" xfId="0" applyFont="1" applyFill="1" applyBorder="1"/>
    <xf numFmtId="0" fontId="7" fillId="16" borderId="31" xfId="0" applyFont="1" applyFill="1" applyBorder="1" applyAlignment="1">
      <alignment wrapText="1"/>
    </xf>
    <xf numFmtId="0" fontId="7" fillId="16" borderId="33" xfId="0" applyFont="1" applyFill="1" applyBorder="1" applyAlignment="1">
      <alignment wrapText="1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13" borderId="37" xfId="0" applyFont="1" applyFill="1" applyBorder="1"/>
    <xf numFmtId="0" fontId="17" fillId="13" borderId="37" xfId="0" applyFont="1" applyFill="1" applyBorder="1"/>
    <xf numFmtId="0" fontId="15" fillId="13" borderId="0" xfId="0" applyFont="1" applyFill="1"/>
    <xf numFmtId="0" fontId="17" fillId="13" borderId="40" xfId="0" applyFont="1" applyFill="1" applyBorder="1"/>
    <xf numFmtId="0" fontId="18" fillId="13" borderId="37" xfId="0" applyFont="1" applyFill="1" applyBorder="1"/>
    <xf numFmtId="0" fontId="18" fillId="13" borderId="41" xfId="0" applyFont="1" applyFill="1" applyBorder="1"/>
    <xf numFmtId="0" fontId="19" fillId="13" borderId="0" xfId="0" applyFont="1" applyFill="1" applyAlignment="1">
      <alignment horizontal="right"/>
    </xf>
    <xf numFmtId="0" fontId="18" fillId="13" borderId="0" xfId="0" applyFont="1" applyFill="1"/>
    <xf numFmtId="0" fontId="3" fillId="12" borderId="0" xfId="0" applyFont="1" applyFill="1"/>
    <xf numFmtId="0" fontId="18" fillId="13" borderId="42" xfId="0" applyFont="1" applyFill="1" applyBorder="1"/>
    <xf numFmtId="0" fontId="20" fillId="0" borderId="37" xfId="0" applyFont="1" applyBorder="1"/>
    <xf numFmtId="0" fontId="20" fillId="0" borderId="39" xfId="0" applyFont="1" applyBorder="1"/>
    <xf numFmtId="0" fontId="20" fillId="0" borderId="40" xfId="0" applyFont="1" applyBorder="1"/>
    <xf numFmtId="0" fontId="20" fillId="0" borderId="0" xfId="0" applyFont="1"/>
    <xf numFmtId="0" fontId="16" fillId="0" borderId="43" xfId="0" applyFont="1" applyBorder="1"/>
    <xf numFmtId="0" fontId="16" fillId="0" borderId="44" xfId="0" applyFont="1" applyBorder="1"/>
    <xf numFmtId="0" fontId="16" fillId="0" borderId="45" xfId="0" applyFont="1" applyBorder="1"/>
    <xf numFmtId="0" fontId="16" fillId="13" borderId="43" xfId="0" applyFont="1" applyFill="1" applyBorder="1"/>
    <xf numFmtId="0" fontId="17" fillId="13" borderId="43" xfId="0" applyFont="1" applyFill="1" applyBorder="1"/>
    <xf numFmtId="0" fontId="17" fillId="13" borderId="46" xfId="0" applyFont="1" applyFill="1" applyBorder="1"/>
    <xf numFmtId="0" fontId="18" fillId="13" borderId="43" xfId="0" applyFont="1" applyFill="1" applyBorder="1"/>
    <xf numFmtId="0" fontId="18" fillId="13" borderId="47" xfId="0" applyFont="1" applyFill="1" applyBorder="1"/>
    <xf numFmtId="0" fontId="18" fillId="13" borderId="48" xfId="0" applyFont="1" applyFill="1" applyBorder="1"/>
    <xf numFmtId="0" fontId="20" fillId="0" borderId="43" xfId="0" applyFont="1" applyBorder="1"/>
    <xf numFmtId="0" fontId="20" fillId="0" borderId="45" xfId="0" applyFont="1" applyBorder="1"/>
    <xf numFmtId="0" fontId="20" fillId="0" borderId="46" xfId="0" applyFont="1" applyBorder="1"/>
    <xf numFmtId="0" fontId="16" fillId="0" borderId="49" xfId="0" applyFont="1" applyBorder="1"/>
    <xf numFmtId="0" fontId="16" fillId="0" borderId="50" xfId="0" applyFont="1" applyBorder="1"/>
    <xf numFmtId="0" fontId="16" fillId="13" borderId="49" xfId="0" applyFont="1" applyFill="1" applyBorder="1"/>
    <xf numFmtId="0" fontId="17" fillId="13" borderId="49" xfId="0" applyFont="1" applyFill="1" applyBorder="1"/>
    <xf numFmtId="0" fontId="17" fillId="13" borderId="51" xfId="0" applyFont="1" applyFill="1" applyBorder="1"/>
    <xf numFmtId="0" fontId="18" fillId="13" borderId="49" xfId="0" applyFont="1" applyFill="1" applyBorder="1"/>
    <xf numFmtId="0" fontId="18" fillId="13" borderId="52" xfId="0" applyFont="1" applyFill="1" applyBorder="1"/>
    <xf numFmtId="0" fontId="18" fillId="13" borderId="53" xfId="0" applyFont="1" applyFill="1" applyBorder="1"/>
    <xf numFmtId="0" fontId="20" fillId="0" borderId="49" xfId="0" applyFont="1" applyBorder="1"/>
    <xf numFmtId="0" fontId="20" fillId="0" borderId="50" xfId="0" applyFont="1" applyBorder="1"/>
    <xf numFmtId="0" fontId="20" fillId="0" borderId="51" xfId="0" applyFont="1" applyBorder="1"/>
    <xf numFmtId="2" fontId="6" fillId="7" borderId="29" xfId="0" applyNumberFormat="1" applyFont="1" applyFill="1" applyBorder="1"/>
    <xf numFmtId="0" fontId="3" fillId="7" borderId="21" xfId="0" applyFont="1" applyFill="1" applyBorder="1"/>
    <xf numFmtId="0" fontId="3" fillId="7" borderId="14" xfId="0" applyFont="1" applyFill="1" applyBorder="1"/>
    <xf numFmtId="0" fontId="3" fillId="7" borderId="7" xfId="0" applyFont="1" applyFill="1" applyBorder="1"/>
    <xf numFmtId="0" fontId="2" fillId="7" borderId="0" xfId="0" applyFont="1" applyFill="1"/>
    <xf numFmtId="0" fontId="13" fillId="7" borderId="0" xfId="0" applyFont="1" applyFill="1"/>
    <xf numFmtId="0" fontId="11" fillId="7" borderId="29" xfId="0" applyNumberFormat="1" applyFont="1" applyFill="1" applyBorder="1"/>
    <xf numFmtId="0" fontId="3" fillId="7" borderId="21" xfId="0" applyNumberFormat="1" applyFont="1" applyFill="1" applyBorder="1"/>
    <xf numFmtId="0" fontId="3" fillId="7" borderId="14" xfId="0" applyNumberFormat="1" applyFont="1" applyFill="1" applyBorder="1"/>
    <xf numFmtId="0" fontId="3" fillId="7" borderId="7" xfId="0" applyNumberFormat="1" applyFont="1" applyFill="1" applyBorder="1"/>
    <xf numFmtId="0" fontId="0" fillId="7" borderId="0" xfId="0" applyFill="1"/>
    <xf numFmtId="0" fontId="6" fillId="17" borderId="29" xfId="0" applyNumberFormat="1" applyFont="1" applyFill="1" applyBorder="1"/>
    <xf numFmtId="0" fontId="3" fillId="17" borderId="21" xfId="0" applyNumberFormat="1" applyFont="1" applyFill="1" applyBorder="1"/>
    <xf numFmtId="0" fontId="3" fillId="17" borderId="14" xfId="0" applyNumberFormat="1" applyFont="1" applyFill="1" applyBorder="1"/>
    <xf numFmtId="0" fontId="3" fillId="17" borderId="7" xfId="0" applyNumberFormat="1" applyFont="1" applyFill="1" applyBorder="1"/>
    <xf numFmtId="0" fontId="0" fillId="17" borderId="0" xfId="0" applyFill="1"/>
    <xf numFmtId="0" fontId="0" fillId="4" borderId="21" xfId="0" applyFill="1" applyBorder="1"/>
    <xf numFmtId="0" fontId="0" fillId="4" borderId="14" xfId="0" applyFill="1" applyBorder="1"/>
    <xf numFmtId="0" fontId="0" fillId="4" borderId="7" xfId="0" applyFill="1" applyBorder="1"/>
    <xf numFmtId="0" fontId="0" fillId="4" borderId="0" xfId="0" applyFill="1"/>
    <xf numFmtId="0" fontId="0" fillId="4" borderId="12" xfId="0" applyFill="1" applyBorder="1"/>
    <xf numFmtId="0" fontId="0" fillId="4" borderId="4" xfId="0" applyFill="1" applyBorder="1"/>
    <xf numFmtId="0" fontId="5" fillId="4" borderId="25" xfId="0" applyFont="1" applyFill="1" applyBorder="1" applyAlignment="1">
      <alignment horizontal="center" vertical="top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ADC8-81CA-4C66-B0EA-B4AC18C36241}">
  <dimension ref="A1:AI298"/>
  <sheetViews>
    <sheetView zoomScale="87" workbookViewId="0">
      <selection activeCell="AM7" sqref="AM7"/>
    </sheetView>
  </sheetViews>
  <sheetFormatPr baseColWidth="10" defaultColWidth="11.5" defaultRowHeight="15"/>
  <cols>
    <col min="1" max="1" width="8.5" customWidth="1"/>
    <col min="4" max="4" width="5.1640625" bestFit="1" customWidth="1"/>
    <col min="5" max="5" width="12.33203125" style="241" customWidth="1"/>
    <col min="8" max="8" width="11.5" style="241"/>
    <col min="11" max="11" width="11.5" style="3"/>
    <col min="14" max="16" width="11.5" style="3"/>
    <col min="17" max="18" width="8.83203125"/>
    <col min="19" max="19" width="11.5" style="3"/>
    <col min="20" max="20" width="11.5" style="226"/>
    <col min="21" max="21" width="11.5" style="3"/>
    <col min="23" max="23" width="11.5" style="3"/>
    <col min="24" max="30" width="0" style="2" hidden="1" customWidth="1"/>
    <col min="33" max="35" width="11.5" style="241"/>
  </cols>
  <sheetData>
    <row r="1" spans="1:35" ht="16">
      <c r="A1" s="58" t="s">
        <v>90</v>
      </c>
      <c r="B1" s="57" t="s">
        <v>89</v>
      </c>
      <c r="C1" s="57" t="s">
        <v>88</v>
      </c>
      <c r="D1" s="56" t="s">
        <v>87</v>
      </c>
      <c r="E1" s="40" t="s">
        <v>120</v>
      </c>
      <c r="F1" s="55" t="s">
        <v>84</v>
      </c>
      <c r="G1" s="55" t="s">
        <v>83</v>
      </c>
      <c r="H1" s="40" t="s">
        <v>121</v>
      </c>
      <c r="I1" s="54" t="s">
        <v>122</v>
      </c>
      <c r="J1" s="47" t="s">
        <v>64</v>
      </c>
      <c r="K1" s="53" t="s">
        <v>79</v>
      </c>
      <c r="L1" s="47" t="s">
        <v>62</v>
      </c>
      <c r="M1" s="44" t="s">
        <v>60</v>
      </c>
      <c r="N1" s="45" t="s">
        <v>77</v>
      </c>
      <c r="O1" s="52" t="s">
        <v>75</v>
      </c>
      <c r="P1" s="51" t="s">
        <v>73</v>
      </c>
      <c r="Q1" s="159" t="s">
        <v>71</v>
      </c>
      <c r="R1" s="159" t="s">
        <v>105</v>
      </c>
      <c r="S1" s="50" t="s">
        <v>70</v>
      </c>
      <c r="T1" s="222" t="s">
        <v>69</v>
      </c>
      <c r="U1" s="49" t="s">
        <v>67</v>
      </c>
      <c r="V1" s="43" t="s">
        <v>59</v>
      </c>
      <c r="W1" s="48" t="s">
        <v>65</v>
      </c>
      <c r="X1" s="47" t="s">
        <v>64</v>
      </c>
      <c r="Y1" s="46" t="s">
        <v>63</v>
      </c>
      <c r="Z1" s="45" t="s">
        <v>62</v>
      </c>
      <c r="AA1" s="45" t="s">
        <v>61</v>
      </c>
      <c r="AB1" s="44" t="s">
        <v>60</v>
      </c>
      <c r="AC1" s="43" t="s">
        <v>59</v>
      </c>
      <c r="AD1" s="42" t="s">
        <v>58</v>
      </c>
      <c r="AE1" s="41" t="s">
        <v>14</v>
      </c>
      <c r="AF1" s="39" t="s">
        <v>56</v>
      </c>
      <c r="AG1" s="40" t="s">
        <v>125</v>
      </c>
      <c r="AH1" s="40" t="s">
        <v>123</v>
      </c>
      <c r="AI1" s="244" t="s">
        <v>124</v>
      </c>
    </row>
    <row r="2" spans="1:35">
      <c r="A2" s="34">
        <v>1</v>
      </c>
      <c r="B2" s="38" t="s">
        <v>52</v>
      </c>
      <c r="C2" s="38" t="s">
        <v>51</v>
      </c>
      <c r="D2" s="33">
        <v>2010</v>
      </c>
      <c r="E2" s="238">
        <v>29.5</v>
      </c>
      <c r="F2">
        <v>-5.6454000000000004</v>
      </c>
      <c r="G2" s="17">
        <v>-22000000000</v>
      </c>
      <c r="H2" s="242">
        <v>43035.4</v>
      </c>
      <c r="I2" s="4">
        <v>0.66</v>
      </c>
      <c r="J2" s="34">
        <v>24.445999</v>
      </c>
      <c r="K2" s="36">
        <v>2.0954000000000002</v>
      </c>
      <c r="L2" s="34">
        <v>562</v>
      </c>
      <c r="M2">
        <v>59.400002000000001</v>
      </c>
      <c r="N2" s="37">
        <v>79.900000000000006</v>
      </c>
      <c r="O2" s="36">
        <v>6.8</v>
      </c>
      <c r="P2" s="35">
        <v>1323.8</v>
      </c>
      <c r="S2" s="14">
        <v>47157</v>
      </c>
      <c r="T2" s="223">
        <v>1.23</v>
      </c>
      <c r="U2" s="35">
        <v>100</v>
      </c>
      <c r="V2" s="34">
        <v>7711.0054</v>
      </c>
      <c r="W2" s="32">
        <v>41.5</v>
      </c>
      <c r="X2" s="30">
        <v>24.446000000000002</v>
      </c>
      <c r="Y2" s="29">
        <f t="shared" ref="Y2:Y65" si="0">LN(X2)</f>
        <v>3.1964666033550713</v>
      </c>
      <c r="Z2" s="31">
        <v>562</v>
      </c>
      <c r="AA2" s="29">
        <f t="shared" ref="AA2:AA65" si="1">LN(Z2)</f>
        <v>6.3315018498936908</v>
      </c>
      <c r="AB2" s="2">
        <v>59.4</v>
      </c>
      <c r="AC2" s="30">
        <v>7711.01</v>
      </c>
      <c r="AD2" s="29">
        <f t="shared" ref="AD2:AD65" si="2">LN(AC2)</f>
        <v>8.9504044566807774</v>
      </c>
      <c r="AE2" s="4">
        <v>79.924800000000005</v>
      </c>
      <c r="AF2" s="1">
        <v>4.6185799999999997</v>
      </c>
      <c r="AG2" s="242">
        <v>101.35</v>
      </c>
      <c r="AH2" s="242">
        <v>31.1</v>
      </c>
      <c r="AI2" s="245">
        <v>57.399000000000001</v>
      </c>
    </row>
    <row r="3" spans="1:35">
      <c r="A3" s="24">
        <v>1</v>
      </c>
      <c r="B3" s="28" t="s">
        <v>52</v>
      </c>
      <c r="C3" s="28" t="s">
        <v>51</v>
      </c>
      <c r="D3" s="23">
        <v>2011</v>
      </c>
      <c r="E3" s="239">
        <v>30.5</v>
      </c>
      <c r="F3">
        <v>5.3581300000000001</v>
      </c>
      <c r="G3" s="17">
        <v>23000000000</v>
      </c>
      <c r="H3" s="242">
        <v>44146.2</v>
      </c>
      <c r="I3" s="4">
        <v>0.66</v>
      </c>
      <c r="J3" s="24">
        <v>25.948999000000001</v>
      </c>
      <c r="K3" s="26">
        <v>2.0348999999999999</v>
      </c>
      <c r="L3" s="24">
        <v>573</v>
      </c>
      <c r="M3">
        <v>56.700001</v>
      </c>
      <c r="N3" s="27">
        <v>81.5</v>
      </c>
      <c r="O3" s="26">
        <v>6.9</v>
      </c>
      <c r="P3" s="25">
        <v>1953.5</v>
      </c>
      <c r="S3" s="14">
        <v>47178</v>
      </c>
      <c r="T3" s="224">
        <v>1.9</v>
      </c>
      <c r="U3" s="25">
        <v>101</v>
      </c>
      <c r="V3" s="24">
        <v>7491.8657000000003</v>
      </c>
      <c r="W3" s="22">
        <v>41.3</v>
      </c>
      <c r="X3" s="20">
        <v>25.949000000000002</v>
      </c>
      <c r="Y3" s="19">
        <f t="shared" si="0"/>
        <v>3.2561330732239084</v>
      </c>
      <c r="Z3" s="21">
        <v>573</v>
      </c>
      <c r="AA3" s="19">
        <f t="shared" si="1"/>
        <v>6.3508857167147399</v>
      </c>
      <c r="AB3" s="2">
        <v>56.7</v>
      </c>
      <c r="AC3" s="20">
        <v>7491.87</v>
      </c>
      <c r="AD3" s="19">
        <f t="shared" si="2"/>
        <v>8.9215737115714688</v>
      </c>
      <c r="AE3" s="4">
        <v>85.986900000000006</v>
      </c>
      <c r="AF3" s="1">
        <v>4.62195</v>
      </c>
      <c r="AG3" s="242">
        <v>101.69199999999999</v>
      </c>
      <c r="AH3" s="242">
        <v>31.6</v>
      </c>
      <c r="AI3" s="245">
        <v>57.115000000000002</v>
      </c>
    </row>
    <row r="4" spans="1:35">
      <c r="A4" s="24">
        <v>1</v>
      </c>
      <c r="B4" s="28" t="s">
        <v>52</v>
      </c>
      <c r="C4" s="28" t="s">
        <v>51</v>
      </c>
      <c r="D4" s="23">
        <v>2012</v>
      </c>
      <c r="E4" s="239">
        <v>31.5</v>
      </c>
      <c r="F4">
        <v>1.2829999999999999</v>
      </c>
      <c r="G4" s="17">
        <v>5200000000</v>
      </c>
      <c r="H4" s="242">
        <v>44221.5</v>
      </c>
      <c r="I4" s="4">
        <v>0.62</v>
      </c>
      <c r="J4" s="24">
        <v>24.556999000000001</v>
      </c>
      <c r="K4" s="26">
        <v>2.1585000000000001</v>
      </c>
      <c r="L4" s="24">
        <v>579</v>
      </c>
      <c r="M4">
        <v>57.700001</v>
      </c>
      <c r="N4" s="27">
        <v>80</v>
      </c>
      <c r="O4" s="26">
        <v>7.9</v>
      </c>
      <c r="P4" s="25">
        <v>2036</v>
      </c>
      <c r="Q4">
        <v>1.6</v>
      </c>
      <c r="R4">
        <v>2.1</v>
      </c>
      <c r="S4" s="14">
        <v>47954</v>
      </c>
      <c r="T4" s="224">
        <v>1.36</v>
      </c>
      <c r="U4" s="25">
        <v>97</v>
      </c>
      <c r="V4" s="24">
        <v>7107.8100999999997</v>
      </c>
      <c r="W4" s="22">
        <v>42.9</v>
      </c>
      <c r="X4" s="20">
        <v>24.556999999999999</v>
      </c>
      <c r="Y4" s="19">
        <f t="shared" si="0"/>
        <v>3.2009969459809091</v>
      </c>
      <c r="Z4" s="21">
        <v>579</v>
      </c>
      <c r="AA4" s="19">
        <f t="shared" si="1"/>
        <v>6.3613024775729956</v>
      </c>
      <c r="AB4" s="2">
        <v>57.7</v>
      </c>
      <c r="AC4" s="20">
        <v>7107.81</v>
      </c>
      <c r="AD4" s="19">
        <f t="shared" si="2"/>
        <v>8.8689494584727075</v>
      </c>
      <c r="AE4" s="4">
        <v>84.849100000000007</v>
      </c>
      <c r="AF4" s="1">
        <v>4.6265099999999997</v>
      </c>
      <c r="AG4" s="242">
        <v>102.157</v>
      </c>
      <c r="AH4" s="242">
        <v>34.4</v>
      </c>
      <c r="AI4" s="245">
        <v>57.146999999999998</v>
      </c>
    </row>
    <row r="5" spans="1:35">
      <c r="A5" s="24">
        <v>1</v>
      </c>
      <c r="B5" s="28" t="s">
        <v>52</v>
      </c>
      <c r="C5" s="28" t="s">
        <v>51</v>
      </c>
      <c r="D5" s="23">
        <v>2013</v>
      </c>
      <c r="E5" s="239">
        <v>32.5</v>
      </c>
      <c r="F5">
        <v>-0.30263299999999999</v>
      </c>
      <c r="G5" s="17">
        <v>-1300000000</v>
      </c>
      <c r="H5" s="242">
        <v>43851.4</v>
      </c>
      <c r="I5" s="4">
        <v>0.62</v>
      </c>
      <c r="J5" s="24">
        <v>23.832001000000002</v>
      </c>
      <c r="K5" s="26">
        <v>2.2054999999999998</v>
      </c>
      <c r="L5" s="24">
        <v>578</v>
      </c>
      <c r="M5">
        <v>57.700001</v>
      </c>
      <c r="N5" s="27">
        <v>79</v>
      </c>
      <c r="O5" s="26">
        <v>9.1</v>
      </c>
      <c r="P5" s="25">
        <v>2149.6999999999998</v>
      </c>
      <c r="Q5">
        <v>1.6</v>
      </c>
      <c r="R5">
        <v>2.1</v>
      </c>
      <c r="S5" s="14">
        <v>48925</v>
      </c>
      <c r="T5" s="224">
        <v>1.23</v>
      </c>
      <c r="U5" s="25">
        <v>99</v>
      </c>
      <c r="V5" s="24">
        <v>6895.5370999999996</v>
      </c>
      <c r="W5" s="22">
        <v>42.7</v>
      </c>
      <c r="X5" s="20">
        <v>23.832000000000001</v>
      </c>
      <c r="Y5" s="19">
        <f t="shared" si="0"/>
        <v>3.1710292154109814</v>
      </c>
      <c r="Z5" s="21">
        <v>578</v>
      </c>
      <c r="AA5" s="19">
        <f t="shared" si="1"/>
        <v>6.3595738686723777</v>
      </c>
      <c r="AB5" s="2">
        <v>57.7</v>
      </c>
      <c r="AC5" s="20">
        <v>6895.54</v>
      </c>
      <c r="AD5" s="19">
        <f t="shared" si="2"/>
        <v>8.8386301047822027</v>
      </c>
      <c r="AE5" s="4">
        <v>84.024699999999996</v>
      </c>
      <c r="AF5" s="1">
        <v>4.6323999999999996</v>
      </c>
      <c r="AG5" s="242">
        <v>102.761</v>
      </c>
      <c r="AH5" s="242">
        <v>34.6</v>
      </c>
      <c r="AI5" s="245">
        <v>57.335999999999999</v>
      </c>
    </row>
    <row r="6" spans="1:35">
      <c r="A6" s="24">
        <v>1</v>
      </c>
      <c r="B6" s="28" t="s">
        <v>52</v>
      </c>
      <c r="C6" s="28" t="s">
        <v>51</v>
      </c>
      <c r="D6" s="23">
        <v>2014</v>
      </c>
      <c r="E6" s="239">
        <v>30.8</v>
      </c>
      <c r="F6">
        <v>0.38955699999999999</v>
      </c>
      <c r="G6" s="17">
        <v>1700000000</v>
      </c>
      <c r="H6" s="242">
        <v>43838.8</v>
      </c>
      <c r="I6" s="4">
        <v>0.6</v>
      </c>
      <c r="J6" s="24">
        <v>24.295000000000002</v>
      </c>
      <c r="K6" s="26">
        <v>2.1665999999999999</v>
      </c>
      <c r="L6" s="24">
        <v>565</v>
      </c>
      <c r="M6">
        <v>56.299999</v>
      </c>
      <c r="N6" s="27">
        <v>79.599999999999994</v>
      </c>
      <c r="O6" s="26">
        <v>9.9</v>
      </c>
      <c r="P6" s="25">
        <v>2229.8000000000002</v>
      </c>
      <c r="Q6">
        <v>1.6</v>
      </c>
      <c r="R6">
        <v>2.1</v>
      </c>
      <c r="S6" s="14">
        <v>48172</v>
      </c>
      <c r="T6" s="224">
        <v>1.21</v>
      </c>
      <c r="U6" s="25">
        <v>100</v>
      </c>
      <c r="V6" s="24">
        <v>6565.6890000000003</v>
      </c>
      <c r="W6" s="22">
        <v>40.6</v>
      </c>
      <c r="X6" s="20">
        <v>24.295000000000002</v>
      </c>
      <c r="Y6" s="19">
        <f t="shared" si="0"/>
        <v>3.1902705678578664</v>
      </c>
      <c r="Z6" s="21">
        <v>565</v>
      </c>
      <c r="AA6" s="19">
        <f t="shared" si="1"/>
        <v>6.3368257311464413</v>
      </c>
      <c r="AB6" s="2">
        <v>56.3</v>
      </c>
      <c r="AC6" s="20">
        <v>6565.69</v>
      </c>
      <c r="AD6" s="19">
        <f t="shared" si="2"/>
        <v>8.789612884031957</v>
      </c>
      <c r="AE6" s="4">
        <v>82.155799999999999</v>
      </c>
      <c r="AF6" s="1">
        <v>4.6402200000000002</v>
      </c>
      <c r="AG6" s="242">
        <v>103.56699999999999</v>
      </c>
      <c r="AH6" s="242">
        <v>35.700000000000003</v>
      </c>
      <c r="AI6" s="245">
        <v>57.526000000000003</v>
      </c>
    </row>
    <row r="7" spans="1:35">
      <c r="A7" s="24">
        <v>1</v>
      </c>
      <c r="B7" s="28" t="s">
        <v>52</v>
      </c>
      <c r="C7" s="28" t="s">
        <v>51</v>
      </c>
      <c r="D7" s="23">
        <v>2015</v>
      </c>
      <c r="E7" s="239">
        <v>32</v>
      </c>
      <c r="F7">
        <v>-1.8041</v>
      </c>
      <c r="G7" s="17">
        <v>-6800000000</v>
      </c>
      <c r="H7" s="242">
        <v>43915.199999999997</v>
      </c>
      <c r="I7" s="4">
        <v>0.61</v>
      </c>
      <c r="J7" s="24">
        <v>23.374001</v>
      </c>
      <c r="K7" s="26">
        <v>2.2656000000000001</v>
      </c>
      <c r="L7" s="24">
        <v>560</v>
      </c>
      <c r="M7">
        <v>56.900002000000001</v>
      </c>
      <c r="N7" s="27">
        <v>81.099999999999994</v>
      </c>
      <c r="O7" s="26">
        <v>11.2</v>
      </c>
      <c r="P7" s="25">
        <v>2162.5</v>
      </c>
      <c r="Q7">
        <v>1.5</v>
      </c>
      <c r="R7">
        <v>2.1</v>
      </c>
      <c r="S7" s="14">
        <v>48252</v>
      </c>
      <c r="T7" s="224">
        <v>1.23</v>
      </c>
      <c r="U7" s="25">
        <v>102</v>
      </c>
      <c r="V7" s="24">
        <v>6615.9673000000003</v>
      </c>
      <c r="W7" s="22">
        <v>42.4</v>
      </c>
      <c r="X7" s="20">
        <v>23.373999999999999</v>
      </c>
      <c r="Y7" s="19">
        <f t="shared" si="0"/>
        <v>3.1516242935109653</v>
      </c>
      <c r="Z7" s="21">
        <v>560</v>
      </c>
      <c r="AA7" s="19">
        <f t="shared" si="1"/>
        <v>6.3279367837291947</v>
      </c>
      <c r="AB7" s="2">
        <v>56.9</v>
      </c>
      <c r="AC7" s="20">
        <v>6615.97</v>
      </c>
      <c r="AD7" s="19">
        <f t="shared" si="2"/>
        <v>8.7972417022313358</v>
      </c>
      <c r="AE7" s="4">
        <v>81.353499999999997</v>
      </c>
      <c r="AF7" s="1">
        <v>4.6514300000000004</v>
      </c>
      <c r="AG7" s="242">
        <v>104.735</v>
      </c>
      <c r="AH7" s="242">
        <v>34.799999999999997</v>
      </c>
      <c r="AI7" s="245">
        <v>57.715000000000003</v>
      </c>
    </row>
    <row r="8" spans="1:35">
      <c r="A8" s="24">
        <v>1</v>
      </c>
      <c r="B8" s="28" t="s">
        <v>52</v>
      </c>
      <c r="C8" s="28" t="s">
        <v>51</v>
      </c>
      <c r="D8" s="23">
        <v>2016</v>
      </c>
      <c r="E8" s="239">
        <v>31.4</v>
      </c>
      <c r="F8">
        <v>-7.2398999999999996</v>
      </c>
      <c r="G8" s="17">
        <v>-29000000000</v>
      </c>
      <c r="H8" s="242">
        <v>44362.7</v>
      </c>
      <c r="I8" s="4">
        <v>0.62</v>
      </c>
      <c r="J8" s="24">
        <v>23.73</v>
      </c>
      <c r="K8" s="26">
        <v>2.2673999999999999</v>
      </c>
      <c r="L8" s="24">
        <v>564</v>
      </c>
      <c r="M8">
        <v>57.599997999999999</v>
      </c>
      <c r="N8" s="27">
        <v>81.8</v>
      </c>
      <c r="O8" s="26">
        <v>11.9</v>
      </c>
      <c r="P8" s="25">
        <v>2384.9</v>
      </c>
      <c r="Q8">
        <v>1.5</v>
      </c>
      <c r="R8">
        <v>2.1</v>
      </c>
      <c r="S8" s="14">
        <v>48376</v>
      </c>
      <c r="T8" s="224">
        <v>0.88</v>
      </c>
      <c r="U8" s="25">
        <v>103</v>
      </c>
      <c r="V8" s="24">
        <v>6459.7212</v>
      </c>
      <c r="W8" s="22">
        <v>43.1</v>
      </c>
      <c r="X8" s="20">
        <v>23.73</v>
      </c>
      <c r="Y8" s="19">
        <f t="shared" si="0"/>
        <v>3.166740070447672</v>
      </c>
      <c r="Z8" s="21">
        <v>564</v>
      </c>
      <c r="AA8" s="19">
        <f t="shared" si="1"/>
        <v>6.3350542514980592</v>
      </c>
      <c r="AB8" s="2">
        <v>57.6</v>
      </c>
      <c r="AC8" s="20">
        <v>6459.72</v>
      </c>
      <c r="AD8" s="19">
        <f t="shared" si="2"/>
        <v>8.7733412521840339</v>
      </c>
      <c r="AE8" s="4">
        <v>78.688599999999994</v>
      </c>
      <c r="AF8" s="1">
        <v>4.6622399999999997</v>
      </c>
      <c r="AG8" s="242">
        <v>105.873</v>
      </c>
      <c r="AH8" s="242">
        <v>34.6</v>
      </c>
      <c r="AI8" s="245">
        <v>57.905000000000001</v>
      </c>
    </row>
    <row r="9" spans="1:35">
      <c r="A9" s="24">
        <v>1</v>
      </c>
      <c r="B9" s="28" t="s">
        <v>52</v>
      </c>
      <c r="C9" s="28" t="s">
        <v>51</v>
      </c>
      <c r="D9" s="23">
        <v>2017</v>
      </c>
      <c r="E9" s="239">
        <v>32.200000000000003</v>
      </c>
      <c r="F9">
        <v>3.3818000000000001</v>
      </c>
      <c r="G9" s="17">
        <v>14000000000</v>
      </c>
      <c r="H9" s="242">
        <v>45056.6</v>
      </c>
      <c r="I9" s="4">
        <v>0.61</v>
      </c>
      <c r="J9" s="24">
        <v>23.638000000000002</v>
      </c>
      <c r="K9" s="26">
        <v>2.3119000000000001</v>
      </c>
      <c r="L9" s="24">
        <v>570</v>
      </c>
      <c r="M9">
        <v>57.799999</v>
      </c>
      <c r="N9" s="27">
        <v>80.2</v>
      </c>
      <c r="O9" s="26">
        <v>12</v>
      </c>
      <c r="P9" s="25">
        <v>2922.3</v>
      </c>
      <c r="Q9">
        <v>1.5</v>
      </c>
      <c r="R9">
        <v>2.2000000000000002</v>
      </c>
      <c r="S9" s="14">
        <v>50091</v>
      </c>
      <c r="T9" s="224">
        <v>0.61</v>
      </c>
      <c r="U9" s="25">
        <v>100</v>
      </c>
      <c r="V9" s="24">
        <v>6760.6972999999998</v>
      </c>
      <c r="W9" s="22">
        <v>44.2</v>
      </c>
      <c r="X9" s="20">
        <v>23.638000000000002</v>
      </c>
      <c r="Y9" s="19">
        <f t="shared" si="0"/>
        <v>3.162855586590049</v>
      </c>
      <c r="Z9" s="21">
        <v>570</v>
      </c>
      <c r="AA9" s="19">
        <f t="shared" si="1"/>
        <v>6.3456363608285962</v>
      </c>
      <c r="AB9" s="2">
        <v>57.8</v>
      </c>
      <c r="AC9" s="20">
        <v>6760.7</v>
      </c>
      <c r="AD9" s="19">
        <f t="shared" si="2"/>
        <v>8.8188817139719067</v>
      </c>
      <c r="AE9" s="4">
        <v>82.853499999999997</v>
      </c>
      <c r="AF9" s="1">
        <v>4.6691900000000004</v>
      </c>
      <c r="AG9" s="242">
        <v>106.611</v>
      </c>
      <c r="AH9" s="242">
        <v>34</v>
      </c>
      <c r="AI9" s="245">
        <v>58.094000000000001</v>
      </c>
    </row>
    <row r="10" spans="1:35">
      <c r="A10" s="24">
        <v>1</v>
      </c>
      <c r="B10" s="28" t="s">
        <v>52</v>
      </c>
      <c r="C10" s="28" t="s">
        <v>51</v>
      </c>
      <c r="D10" s="23">
        <v>2018</v>
      </c>
      <c r="E10" s="239">
        <v>32.200000000000003</v>
      </c>
      <c r="F10">
        <v>-6.1511899999999997</v>
      </c>
      <c r="G10" s="17">
        <v>-28000000000</v>
      </c>
      <c r="H10" s="242">
        <v>45951.6</v>
      </c>
      <c r="I10" s="4">
        <v>0.63</v>
      </c>
      <c r="J10" s="24">
        <v>23.947001</v>
      </c>
      <c r="K10" s="26">
        <v>2.3611</v>
      </c>
      <c r="L10" s="24">
        <v>579</v>
      </c>
      <c r="M10">
        <v>57.700001</v>
      </c>
      <c r="N10" s="27">
        <v>79.8</v>
      </c>
      <c r="O10" s="26">
        <v>11.8</v>
      </c>
      <c r="P10" s="25">
        <v>3226</v>
      </c>
      <c r="Q10">
        <v>1.4</v>
      </c>
      <c r="R10">
        <v>1.9</v>
      </c>
      <c r="S10" s="14">
        <v>47466</v>
      </c>
      <c r="T10" s="224">
        <v>1.47</v>
      </c>
      <c r="U10" s="25">
        <v>103</v>
      </c>
      <c r="V10" s="24">
        <v>6418.2734</v>
      </c>
      <c r="W10" s="22">
        <v>44.5</v>
      </c>
      <c r="X10" s="20">
        <v>23.946999999999999</v>
      </c>
      <c r="Y10" s="19">
        <f t="shared" si="0"/>
        <v>3.1758430550507808</v>
      </c>
      <c r="Z10" s="21">
        <v>579</v>
      </c>
      <c r="AA10" s="19">
        <f t="shared" si="1"/>
        <v>6.3613024775729956</v>
      </c>
      <c r="AB10" s="2">
        <v>57.7</v>
      </c>
      <c r="AC10" s="20">
        <v>6418.27</v>
      </c>
      <c r="AD10" s="19">
        <f t="shared" si="2"/>
        <v>8.7669038899653486</v>
      </c>
      <c r="AE10" s="4">
        <v>83.639399999999995</v>
      </c>
      <c r="AF10" s="1">
        <v>4.6740599999999999</v>
      </c>
      <c r="AG10" s="242">
        <v>107.13200000000001</v>
      </c>
      <c r="AH10" s="242">
        <v>34.1</v>
      </c>
      <c r="AI10" s="245">
        <v>58.296999999999997</v>
      </c>
    </row>
    <row r="11" spans="1:35">
      <c r="A11" s="24">
        <v>1</v>
      </c>
      <c r="B11" s="28" t="s">
        <v>52</v>
      </c>
      <c r="C11" s="28" t="s">
        <v>51</v>
      </c>
      <c r="D11" s="23">
        <v>2019</v>
      </c>
      <c r="E11" s="239">
        <v>33.1</v>
      </c>
      <c r="F11">
        <v>-2.85256</v>
      </c>
      <c r="G11" s="17">
        <v>-13000000000</v>
      </c>
      <c r="H11" s="242">
        <v>46550.6</v>
      </c>
      <c r="I11" s="4">
        <v>0.61</v>
      </c>
      <c r="J11" s="24">
        <v>23.582999999999998</v>
      </c>
      <c r="K11" s="26">
        <v>2.3546</v>
      </c>
      <c r="L11" s="24">
        <v>588</v>
      </c>
      <c r="M11">
        <v>58.200001</v>
      </c>
      <c r="N11" s="27">
        <v>81.900000000000006</v>
      </c>
      <c r="O11" s="26">
        <v>11.5</v>
      </c>
      <c r="P11" s="25">
        <v>3126.6</v>
      </c>
      <c r="Q11">
        <v>1.4</v>
      </c>
      <c r="R11">
        <v>1.9</v>
      </c>
      <c r="S11" s="14">
        <v>48075</v>
      </c>
      <c r="T11" s="224">
        <v>1.97</v>
      </c>
      <c r="U11" s="25">
        <v>103</v>
      </c>
      <c r="V11" s="24">
        <v>6075.8495999999996</v>
      </c>
      <c r="W11" s="22">
        <v>44.4</v>
      </c>
      <c r="X11" s="20">
        <v>23.582999999999998</v>
      </c>
      <c r="Y11" s="19">
        <f t="shared" si="0"/>
        <v>3.1605261134797291</v>
      </c>
      <c r="Z11" s="21">
        <v>588</v>
      </c>
      <c r="AA11" s="19">
        <f t="shared" si="1"/>
        <v>6.3767269478986268</v>
      </c>
      <c r="AB11" s="2">
        <v>58.2</v>
      </c>
      <c r="AC11" s="20"/>
      <c r="AD11" s="19" t="e">
        <f t="shared" si="2"/>
        <v>#NUM!</v>
      </c>
      <c r="AE11" s="4">
        <v>82.040999999999997</v>
      </c>
      <c r="AF11" s="1">
        <v>4.6785100000000002</v>
      </c>
      <c r="AG11" s="242">
        <v>107.60899999999999</v>
      </c>
      <c r="AH11" s="242">
        <v>34</v>
      </c>
      <c r="AI11" s="245">
        <v>58.515000000000001</v>
      </c>
    </row>
    <row r="12" spans="1:35">
      <c r="A12" s="24">
        <v>1</v>
      </c>
      <c r="B12" s="28" t="s">
        <v>52</v>
      </c>
      <c r="C12" s="28" t="s">
        <v>51</v>
      </c>
      <c r="D12" s="23">
        <v>2020</v>
      </c>
      <c r="E12" s="239">
        <v>33.6</v>
      </c>
      <c r="F12">
        <v>-2.7633200000000002</v>
      </c>
      <c r="G12" s="17">
        <v>-12000000000</v>
      </c>
      <c r="H12" s="242">
        <v>43428.7</v>
      </c>
      <c r="I12" s="4">
        <v>0.62</v>
      </c>
      <c r="J12" s="24">
        <v>22.264999</v>
      </c>
      <c r="K12" s="26">
        <v>2.1833</v>
      </c>
      <c r="L12" s="24">
        <v>834</v>
      </c>
      <c r="M12">
        <v>62.299999</v>
      </c>
      <c r="N12" s="27">
        <v>82</v>
      </c>
      <c r="O12" s="26">
        <v>11.4</v>
      </c>
      <c r="P12" s="25">
        <v>2912.1</v>
      </c>
      <c r="Q12">
        <v>1.4</v>
      </c>
      <c r="R12">
        <v>2.1</v>
      </c>
      <c r="S12" s="14">
        <v>49423</v>
      </c>
      <c r="T12" s="224">
        <v>0.73</v>
      </c>
      <c r="U12" s="25">
        <v>0.52</v>
      </c>
      <c r="V12" s="24">
        <v>5733.4258</v>
      </c>
      <c r="W12" s="22">
        <v>44.3</v>
      </c>
      <c r="X12" s="20">
        <v>22.265000000000001</v>
      </c>
      <c r="Y12" s="19">
        <f t="shared" si="0"/>
        <v>3.1030159387736655</v>
      </c>
      <c r="Z12" s="21">
        <v>834</v>
      </c>
      <c r="AA12" s="19">
        <f t="shared" si="1"/>
        <v>6.7262334023587469</v>
      </c>
      <c r="AB12" s="2">
        <v>62.3</v>
      </c>
      <c r="AC12" s="20"/>
      <c r="AD12" s="19" t="e">
        <f t="shared" si="2"/>
        <v>#NUM!</v>
      </c>
      <c r="AE12" s="4">
        <v>78.699100000000001</v>
      </c>
      <c r="AF12" s="1">
        <v>4.6826600000000003</v>
      </c>
      <c r="AG12" s="242">
        <v>108.057</v>
      </c>
      <c r="AH12" s="242">
        <v>35.799999999999997</v>
      </c>
      <c r="AI12" s="245">
        <v>58.747999999999998</v>
      </c>
    </row>
    <row r="13" spans="1:35">
      <c r="A13" s="24">
        <v>2</v>
      </c>
      <c r="B13" s="28" t="s">
        <v>50</v>
      </c>
      <c r="C13" s="28" t="s">
        <v>49</v>
      </c>
      <c r="D13" s="23">
        <v>2010</v>
      </c>
      <c r="E13" s="239">
        <v>29.5</v>
      </c>
      <c r="F13">
        <v>26.0596</v>
      </c>
      <c r="G13" s="17">
        <v>130000000000</v>
      </c>
      <c r="H13" s="242">
        <v>39991.599999999999</v>
      </c>
      <c r="I13" s="4">
        <v>0.66</v>
      </c>
      <c r="J13" s="24">
        <v>13.677</v>
      </c>
      <c r="K13" s="26">
        <v>2.5962000000000001</v>
      </c>
      <c r="L13" s="24">
        <v>480</v>
      </c>
      <c r="M13">
        <v>54.799999</v>
      </c>
      <c r="N13" s="27">
        <v>80.2</v>
      </c>
      <c r="O13" s="26">
        <v>13.5</v>
      </c>
      <c r="P13" s="25">
        <v>8812</v>
      </c>
      <c r="S13" s="14">
        <v>60327</v>
      </c>
      <c r="T13" s="224">
        <v>1.29</v>
      </c>
      <c r="U13" s="25">
        <v>100</v>
      </c>
      <c r="V13" s="24">
        <v>8141.2515000000003</v>
      </c>
      <c r="W13" s="22">
        <v>72.5</v>
      </c>
      <c r="X13" s="20">
        <v>13.677</v>
      </c>
      <c r="Y13" s="19">
        <f t="shared" si="0"/>
        <v>2.615715589899414</v>
      </c>
      <c r="Z13" s="21">
        <v>480</v>
      </c>
      <c r="AA13" s="19">
        <f t="shared" si="1"/>
        <v>6.1737861039019366</v>
      </c>
      <c r="AB13" s="2">
        <v>54.8</v>
      </c>
      <c r="AC13" s="20">
        <v>8141.25</v>
      </c>
      <c r="AD13" s="19">
        <f t="shared" si="2"/>
        <v>9.0046990098606106</v>
      </c>
      <c r="AE13" s="4">
        <v>165.893</v>
      </c>
      <c r="AF13" s="1">
        <v>5.8838800000000004</v>
      </c>
      <c r="AG13" s="242">
        <v>359.19900000000001</v>
      </c>
      <c r="AH13" s="242">
        <v>6.2</v>
      </c>
      <c r="AI13" s="245">
        <v>97.650999999999996</v>
      </c>
    </row>
    <row r="14" spans="1:35">
      <c r="A14" s="24">
        <v>2</v>
      </c>
      <c r="B14" s="28" t="s">
        <v>50</v>
      </c>
      <c r="C14" s="28" t="s">
        <v>49</v>
      </c>
      <c r="D14" s="23">
        <v>2011</v>
      </c>
      <c r="E14" s="239">
        <v>30</v>
      </c>
      <c r="F14">
        <v>31.0367</v>
      </c>
      <c r="G14" s="17">
        <v>160000000000</v>
      </c>
      <c r="H14" s="242">
        <v>40237</v>
      </c>
      <c r="I14" s="4">
        <v>0.66</v>
      </c>
      <c r="J14" s="24">
        <v>15.513</v>
      </c>
      <c r="K14" s="26">
        <v>2.4622000000000002</v>
      </c>
      <c r="L14" s="24">
        <v>467</v>
      </c>
      <c r="M14">
        <v>54.400002000000001</v>
      </c>
      <c r="N14" s="27">
        <v>77.7</v>
      </c>
      <c r="O14" s="26">
        <v>14.4</v>
      </c>
      <c r="P14" s="25">
        <v>8324.4</v>
      </c>
      <c r="S14" s="14">
        <v>61814</v>
      </c>
      <c r="T14" s="224">
        <v>0.76</v>
      </c>
      <c r="U14" s="25">
        <v>104</v>
      </c>
      <c r="V14" s="24">
        <v>7898.8657000000003</v>
      </c>
      <c r="W14" s="22">
        <v>71.3</v>
      </c>
      <c r="X14" s="20">
        <v>15.513</v>
      </c>
      <c r="Y14" s="19">
        <f t="shared" si="0"/>
        <v>2.7416783820821942</v>
      </c>
      <c r="Z14" s="21">
        <v>467</v>
      </c>
      <c r="AA14" s="19">
        <f t="shared" si="1"/>
        <v>6.1463292576688975</v>
      </c>
      <c r="AB14" s="2">
        <v>54.4</v>
      </c>
      <c r="AC14" s="20">
        <v>7898.87</v>
      </c>
      <c r="AD14" s="19">
        <f t="shared" si="2"/>
        <v>8.9744749902495222</v>
      </c>
      <c r="AE14" s="4">
        <v>178.798</v>
      </c>
      <c r="AF14" s="1">
        <v>5.89689</v>
      </c>
      <c r="AG14" s="242">
        <v>363.90300000000002</v>
      </c>
      <c r="AH14" s="242">
        <v>6.7</v>
      </c>
      <c r="AI14" s="245">
        <v>97.697999999999993</v>
      </c>
    </row>
    <row r="15" spans="1:35">
      <c r="A15" s="24">
        <v>2</v>
      </c>
      <c r="B15" s="28" t="s">
        <v>50</v>
      </c>
      <c r="C15" s="28" t="s">
        <v>49</v>
      </c>
      <c r="D15" s="23">
        <v>2012</v>
      </c>
      <c r="E15" s="239">
        <v>31</v>
      </c>
      <c r="F15">
        <v>2.36957</v>
      </c>
      <c r="G15" s="17">
        <v>12000000000</v>
      </c>
      <c r="H15" s="242">
        <v>40074.5</v>
      </c>
      <c r="I15" s="4">
        <v>0.66</v>
      </c>
      <c r="J15" s="24">
        <v>14.069000000000001</v>
      </c>
      <c r="K15" s="26">
        <v>2.681</v>
      </c>
      <c r="L15" s="24">
        <v>456</v>
      </c>
      <c r="M15">
        <v>53.400002000000001</v>
      </c>
      <c r="N15" s="27">
        <v>78.400000000000006</v>
      </c>
      <c r="O15" s="26">
        <v>17.3</v>
      </c>
      <c r="P15" s="25">
        <v>7970.1</v>
      </c>
      <c r="Q15">
        <v>1.5</v>
      </c>
      <c r="R15">
        <v>1.8</v>
      </c>
      <c r="S15" s="14">
        <v>63376</v>
      </c>
      <c r="T15" s="224">
        <v>0.8</v>
      </c>
      <c r="U15" s="25">
        <v>105</v>
      </c>
      <c r="V15" s="24">
        <v>7687.2075000000004</v>
      </c>
      <c r="W15" s="22">
        <v>72.2</v>
      </c>
      <c r="X15" s="20">
        <v>14.069000000000001</v>
      </c>
      <c r="Y15" s="19">
        <f t="shared" si="0"/>
        <v>2.6439737953950764</v>
      </c>
      <c r="Z15" s="21">
        <v>456</v>
      </c>
      <c r="AA15" s="19">
        <f t="shared" si="1"/>
        <v>6.1224928095143865</v>
      </c>
      <c r="AB15" s="2">
        <v>53.4</v>
      </c>
      <c r="AC15" s="20">
        <v>7687.21</v>
      </c>
      <c r="AD15" s="19">
        <f t="shared" si="2"/>
        <v>8.9473131878259853</v>
      </c>
      <c r="AE15" s="4">
        <v>177.577</v>
      </c>
      <c r="AF15" s="1">
        <v>5.9030899999999997</v>
      </c>
      <c r="AG15" s="242">
        <v>366.16699999999997</v>
      </c>
      <c r="AH15" s="242">
        <v>7.7</v>
      </c>
      <c r="AI15" s="245">
        <v>97.744</v>
      </c>
    </row>
    <row r="16" spans="1:35">
      <c r="A16" s="24">
        <v>2</v>
      </c>
      <c r="B16" s="28" t="s">
        <v>50</v>
      </c>
      <c r="C16" s="28" t="s">
        <v>49</v>
      </c>
      <c r="D16" s="23">
        <v>2013</v>
      </c>
      <c r="E16" s="239">
        <v>30.5</v>
      </c>
      <c r="F16">
        <v>-5.6556199999999999</v>
      </c>
      <c r="G16" s="17">
        <v>-30000000000</v>
      </c>
      <c r="H16" s="242">
        <v>40007.9</v>
      </c>
      <c r="I16" s="4">
        <v>0.66</v>
      </c>
      <c r="J16" s="24">
        <v>13.377000000000001</v>
      </c>
      <c r="K16" s="26">
        <v>2.7286000000000001</v>
      </c>
      <c r="L16" s="24">
        <v>455</v>
      </c>
      <c r="M16">
        <v>52.799999</v>
      </c>
      <c r="N16" s="27">
        <v>79.099999999999994</v>
      </c>
      <c r="O16" s="26">
        <v>17.3</v>
      </c>
      <c r="P16" s="25">
        <v>8590.4</v>
      </c>
      <c r="Q16">
        <v>1.2</v>
      </c>
      <c r="R16">
        <v>1.9</v>
      </c>
      <c r="S16" s="14">
        <v>62572</v>
      </c>
      <c r="T16" s="224">
        <v>1.38</v>
      </c>
      <c r="U16" s="25">
        <v>110</v>
      </c>
      <c r="V16" s="24">
        <v>7875.6752999999999</v>
      </c>
      <c r="W16" s="22">
        <v>72.099999999999994</v>
      </c>
      <c r="X16" s="20">
        <v>13.377000000000001</v>
      </c>
      <c r="Y16" s="19">
        <f t="shared" si="0"/>
        <v>2.5935368143134494</v>
      </c>
      <c r="Z16" s="21">
        <v>455</v>
      </c>
      <c r="AA16" s="19">
        <f t="shared" si="1"/>
        <v>6.1202974189509503</v>
      </c>
      <c r="AB16" s="2">
        <v>52.8</v>
      </c>
      <c r="AC16" s="20">
        <v>7875.68</v>
      </c>
      <c r="AD16" s="19">
        <f t="shared" si="2"/>
        <v>8.9715348091723044</v>
      </c>
      <c r="AE16" s="4">
        <v>175.62299999999999</v>
      </c>
      <c r="AF16" s="1">
        <v>5.9077999999999999</v>
      </c>
      <c r="AG16" s="242">
        <v>367.89699999999999</v>
      </c>
      <c r="AH16" s="242">
        <v>8.3000000000000007</v>
      </c>
      <c r="AI16" s="245">
        <v>97.789000000000001</v>
      </c>
    </row>
    <row r="17" spans="1:35">
      <c r="A17" s="24">
        <v>2</v>
      </c>
      <c r="B17" s="28" t="s">
        <v>50</v>
      </c>
      <c r="C17" s="28" t="s">
        <v>49</v>
      </c>
      <c r="D17" s="23">
        <v>2014</v>
      </c>
      <c r="E17" s="239">
        <v>29.6</v>
      </c>
      <c r="F17">
        <v>-2.8264399999999998</v>
      </c>
      <c r="G17" s="17">
        <v>-15000000000</v>
      </c>
      <c r="H17" s="242">
        <v>40533.9</v>
      </c>
      <c r="I17" s="4">
        <v>0.64</v>
      </c>
      <c r="J17" s="24">
        <v>14.489000000000001</v>
      </c>
      <c r="K17" s="26">
        <v>2.7778999999999998</v>
      </c>
      <c r="L17" s="24">
        <v>445</v>
      </c>
      <c r="M17">
        <v>53.799999</v>
      </c>
      <c r="N17" s="27">
        <v>76.7</v>
      </c>
      <c r="O17" s="26">
        <v>17.899999999999999</v>
      </c>
      <c r="P17" s="25">
        <v>12341.4</v>
      </c>
      <c r="Q17">
        <v>1.2</v>
      </c>
      <c r="R17">
        <v>1.7</v>
      </c>
      <c r="S17" s="14">
        <v>60314</v>
      </c>
      <c r="T17" s="224">
        <v>1.08</v>
      </c>
      <c r="U17" s="25">
        <v>114</v>
      </c>
      <c r="V17" s="24">
        <v>7804.6421</v>
      </c>
      <c r="W17" s="22">
        <v>71.5</v>
      </c>
      <c r="X17" s="20">
        <v>14.489000000000001</v>
      </c>
      <c r="Y17" s="19">
        <f t="shared" si="0"/>
        <v>2.6733897408385854</v>
      </c>
      <c r="Z17" s="21">
        <v>445</v>
      </c>
      <c r="AA17" s="19">
        <f t="shared" si="1"/>
        <v>6.0980742821662401</v>
      </c>
      <c r="AB17" s="2">
        <v>53.8</v>
      </c>
      <c r="AC17" s="20">
        <v>7804.64</v>
      </c>
      <c r="AD17" s="19">
        <f t="shared" si="2"/>
        <v>8.9624737076064669</v>
      </c>
      <c r="AE17" s="4">
        <v>172.10300000000001</v>
      </c>
      <c r="AF17" s="1">
        <v>5.9122399999999997</v>
      </c>
      <c r="AG17" s="242">
        <v>369.53300000000002</v>
      </c>
      <c r="AH17" s="242">
        <v>9.1</v>
      </c>
      <c r="AI17" s="245">
        <v>97.832999999999998</v>
      </c>
    </row>
    <row r="18" spans="1:35">
      <c r="A18" s="24">
        <v>2</v>
      </c>
      <c r="B18" s="28" t="s">
        <v>50</v>
      </c>
      <c r="C18" s="28" t="s">
        <v>49</v>
      </c>
      <c r="D18" s="23">
        <v>2015</v>
      </c>
      <c r="E18" s="239">
        <v>30.4</v>
      </c>
      <c r="F18">
        <v>-4.2326100000000002</v>
      </c>
      <c r="G18" s="17">
        <v>-20000000000</v>
      </c>
      <c r="H18" s="242">
        <v>40893.800000000003</v>
      </c>
      <c r="I18" s="4">
        <v>0.68</v>
      </c>
      <c r="J18" s="24">
        <v>14.526</v>
      </c>
      <c r="K18" s="26">
        <v>2.8570000000000002</v>
      </c>
      <c r="L18" s="24">
        <v>436</v>
      </c>
      <c r="M18">
        <v>53.5</v>
      </c>
      <c r="N18" s="27">
        <v>77.400000000000006</v>
      </c>
      <c r="O18" s="26">
        <v>18.100000000000001</v>
      </c>
      <c r="P18" s="25">
        <v>10765.5</v>
      </c>
      <c r="Q18">
        <v>1.2</v>
      </c>
      <c r="R18">
        <v>1.7</v>
      </c>
      <c r="S18" s="14">
        <v>62338</v>
      </c>
      <c r="T18" s="224">
        <v>1.71</v>
      </c>
      <c r="U18" s="25">
        <v>117</v>
      </c>
      <c r="V18" s="24">
        <v>7785.2739000000001</v>
      </c>
      <c r="W18" s="22">
        <v>71.400000000000006</v>
      </c>
      <c r="X18" s="20">
        <v>14.526</v>
      </c>
      <c r="Y18" s="19">
        <f t="shared" si="0"/>
        <v>2.6759401471839763</v>
      </c>
      <c r="Z18" s="21">
        <v>436</v>
      </c>
      <c r="AA18" s="19">
        <f t="shared" si="1"/>
        <v>6.0776422433490342</v>
      </c>
      <c r="AB18" s="2">
        <v>53.5</v>
      </c>
      <c r="AC18" s="20">
        <v>7785.27</v>
      </c>
      <c r="AD18" s="19">
        <f t="shared" si="2"/>
        <v>8.9599887657476138</v>
      </c>
      <c r="AE18" s="4">
        <v>167.52600000000001</v>
      </c>
      <c r="AF18" s="1">
        <v>5.9180400000000004</v>
      </c>
      <c r="AG18" s="242">
        <v>371.68099999999998</v>
      </c>
      <c r="AH18" s="242">
        <v>9.4</v>
      </c>
      <c r="AI18" s="245">
        <v>97.876000000000005</v>
      </c>
    </row>
    <row r="19" spans="1:35">
      <c r="A19" s="24">
        <v>2</v>
      </c>
      <c r="B19" s="28" t="s">
        <v>50</v>
      </c>
      <c r="C19" s="28" t="s">
        <v>49</v>
      </c>
      <c r="D19" s="23">
        <v>2016</v>
      </c>
      <c r="E19" s="239">
        <v>29.2</v>
      </c>
      <c r="F19">
        <v>12.1319</v>
      </c>
      <c r="G19" s="17">
        <v>58000000000</v>
      </c>
      <c r="H19" s="242">
        <v>41172.9</v>
      </c>
      <c r="I19" s="4">
        <v>0.65</v>
      </c>
      <c r="J19" s="24">
        <v>14.007999999999999</v>
      </c>
      <c r="K19" s="26">
        <v>2.8933</v>
      </c>
      <c r="L19" s="24">
        <v>425</v>
      </c>
      <c r="M19">
        <v>53.5</v>
      </c>
      <c r="N19" s="27">
        <v>72.5</v>
      </c>
      <c r="O19" s="26">
        <v>18.100000000000001</v>
      </c>
      <c r="P19" s="25">
        <v>7861.7</v>
      </c>
      <c r="Q19">
        <v>1.7</v>
      </c>
      <c r="R19">
        <v>1.8</v>
      </c>
      <c r="S19" s="14">
        <v>61463</v>
      </c>
      <c r="T19" s="224">
        <v>1.43</v>
      </c>
      <c r="U19" s="25">
        <v>114</v>
      </c>
      <c r="V19" s="24">
        <v>7897.4214000000002</v>
      </c>
      <c r="W19" s="22">
        <v>72.900000000000006</v>
      </c>
      <c r="X19" s="20">
        <v>14.007999999999999</v>
      </c>
      <c r="Y19" s="19">
        <f t="shared" si="0"/>
        <v>2.6396285949835505</v>
      </c>
      <c r="Z19" s="21">
        <v>425</v>
      </c>
      <c r="AA19" s="19">
        <f t="shared" si="1"/>
        <v>6.0520891689244172</v>
      </c>
      <c r="AB19" s="2">
        <v>53.5</v>
      </c>
      <c r="AC19" s="20">
        <v>7897.42</v>
      </c>
      <c r="AD19" s="19">
        <f t="shared" si="2"/>
        <v>8.9742914028370269</v>
      </c>
      <c r="AE19" s="4">
        <v>163.94499999999999</v>
      </c>
      <c r="AF19" s="1">
        <v>5.9230999999999998</v>
      </c>
      <c r="AG19" s="242">
        <v>373.56700000000001</v>
      </c>
      <c r="AH19" s="242">
        <v>9.1999999999999993</v>
      </c>
      <c r="AI19" s="245">
        <v>97.918999999999997</v>
      </c>
    </row>
    <row r="20" spans="1:35">
      <c r="A20" s="24">
        <v>2</v>
      </c>
      <c r="B20" s="28" t="s">
        <v>50</v>
      </c>
      <c r="C20" s="28" t="s">
        <v>49</v>
      </c>
      <c r="D20" s="23">
        <v>2017</v>
      </c>
      <c r="E20" s="239">
        <v>30.2</v>
      </c>
      <c r="F20">
        <v>-7.4442399999999997</v>
      </c>
      <c r="G20" s="17">
        <v>-37000000000</v>
      </c>
      <c r="H20" s="242">
        <v>41619.300000000003</v>
      </c>
      <c r="I20" s="4">
        <v>0.7</v>
      </c>
      <c r="J20" s="24">
        <v>13.430999999999999</v>
      </c>
      <c r="K20" s="26">
        <v>2.8744000000000001</v>
      </c>
      <c r="L20" s="24">
        <v>412</v>
      </c>
      <c r="M20">
        <v>53.900002000000001</v>
      </c>
      <c r="N20" s="27">
        <v>75.099999999999994</v>
      </c>
      <c r="O20" s="26">
        <v>19</v>
      </c>
      <c r="P20" s="25">
        <v>9962.5</v>
      </c>
      <c r="Q20">
        <v>1.4</v>
      </c>
      <c r="R20">
        <v>1.8</v>
      </c>
      <c r="S20" s="14">
        <v>62281</v>
      </c>
      <c r="T20" s="224">
        <v>1.7</v>
      </c>
      <c r="U20" s="25">
        <v>119</v>
      </c>
      <c r="V20" s="24">
        <v>7861.9477999999999</v>
      </c>
      <c r="W20" s="22">
        <v>72</v>
      </c>
      <c r="X20" s="20">
        <v>13.430999999999999</v>
      </c>
      <c r="Y20" s="19">
        <f t="shared" si="0"/>
        <v>2.597565467926938</v>
      </c>
      <c r="Z20" s="21">
        <v>412</v>
      </c>
      <c r="AA20" s="19">
        <f t="shared" si="1"/>
        <v>6.0210233493495267</v>
      </c>
      <c r="AB20" s="2">
        <v>53.9</v>
      </c>
      <c r="AC20" s="20">
        <v>7861.95</v>
      </c>
      <c r="AD20" s="19">
        <f t="shared" si="2"/>
        <v>8.9697899462566735</v>
      </c>
      <c r="AE20" s="4">
        <v>167.46899999999999</v>
      </c>
      <c r="AF20" s="1">
        <v>5.9269499999999997</v>
      </c>
      <c r="AG20" s="242">
        <v>375.00900000000001</v>
      </c>
      <c r="AH20" s="242">
        <v>9.6999999999999993</v>
      </c>
      <c r="AI20" s="245">
        <v>97.960999999999999</v>
      </c>
    </row>
    <row r="21" spans="1:35">
      <c r="A21" s="24">
        <v>2</v>
      </c>
      <c r="B21" s="28" t="s">
        <v>50</v>
      </c>
      <c r="C21" s="28" t="s">
        <v>49</v>
      </c>
      <c r="D21" s="23">
        <v>2018</v>
      </c>
      <c r="E21" s="239">
        <v>30.6</v>
      </c>
      <c r="F21">
        <v>-7.6665000000000001</v>
      </c>
      <c r="G21" s="17">
        <v>-42000000000</v>
      </c>
      <c r="H21" s="242">
        <v>42208.4</v>
      </c>
      <c r="I21" s="4">
        <v>0.66</v>
      </c>
      <c r="J21" s="24">
        <v>14.92</v>
      </c>
      <c r="K21" s="26">
        <v>3.0398000000000001</v>
      </c>
      <c r="L21" s="24">
        <v>419</v>
      </c>
      <c r="M21">
        <v>54.400002000000001</v>
      </c>
      <c r="N21" s="27">
        <v>72.5</v>
      </c>
      <c r="O21" s="26">
        <v>20.6</v>
      </c>
      <c r="P21" s="25">
        <v>11848.3</v>
      </c>
      <c r="Q21">
        <v>1.4</v>
      </c>
      <c r="R21">
        <v>1.7</v>
      </c>
      <c r="S21" s="14">
        <v>63234</v>
      </c>
      <c r="T21" s="224">
        <v>1.41</v>
      </c>
      <c r="U21" s="25">
        <v>116</v>
      </c>
      <c r="V21" s="24">
        <v>7215.5068000000001</v>
      </c>
      <c r="W21" s="22">
        <v>72.7</v>
      </c>
      <c r="X21" s="20">
        <v>14.92</v>
      </c>
      <c r="Y21" s="19">
        <f t="shared" si="0"/>
        <v>2.7027025947756149</v>
      </c>
      <c r="Z21" s="21">
        <v>419</v>
      </c>
      <c r="AA21" s="19">
        <f t="shared" si="1"/>
        <v>6.0378709199221374</v>
      </c>
      <c r="AB21" s="2">
        <v>54.4</v>
      </c>
      <c r="AC21" s="20">
        <v>7215.51</v>
      </c>
      <c r="AD21" s="19">
        <f t="shared" si="2"/>
        <v>8.8839881547805142</v>
      </c>
      <c r="AE21" s="4">
        <v>170.16900000000001</v>
      </c>
      <c r="AF21" s="1">
        <v>5.92624</v>
      </c>
      <c r="AG21" s="242">
        <v>374.74299999999999</v>
      </c>
      <c r="AH21" s="242">
        <v>10.7</v>
      </c>
      <c r="AI21" s="245">
        <v>98.001000000000005</v>
      </c>
    </row>
    <row r="22" spans="1:35">
      <c r="A22" s="24">
        <v>2</v>
      </c>
      <c r="B22" s="28" t="s">
        <v>50</v>
      </c>
      <c r="C22" s="28" t="s">
        <v>49</v>
      </c>
      <c r="D22" s="23">
        <v>2019</v>
      </c>
      <c r="E22" s="239">
        <v>31.6</v>
      </c>
      <c r="F22">
        <v>-1.9725299999999999</v>
      </c>
      <c r="G22" s="17">
        <v>-11000000000</v>
      </c>
      <c r="H22" s="242">
        <v>43006.400000000001</v>
      </c>
      <c r="I22" s="4">
        <v>0.66</v>
      </c>
      <c r="J22" s="24">
        <v>12.821999999999999</v>
      </c>
      <c r="K22" s="26">
        <v>2.9823</v>
      </c>
      <c r="L22" s="24">
        <v>411</v>
      </c>
      <c r="M22">
        <v>54.700001</v>
      </c>
      <c r="N22" s="27">
        <v>70.8</v>
      </c>
      <c r="O22" s="26">
        <v>20.5</v>
      </c>
      <c r="P22" s="25">
        <v>9433.7999999999993</v>
      </c>
      <c r="Q22">
        <v>1.6</v>
      </c>
      <c r="R22">
        <v>1.8</v>
      </c>
      <c r="S22" s="14">
        <v>62091</v>
      </c>
      <c r="T22" s="224">
        <v>1.36</v>
      </c>
      <c r="U22" s="25">
        <v>118</v>
      </c>
      <c r="V22" s="24">
        <v>6569.0658999999996</v>
      </c>
      <c r="W22" s="22">
        <v>72.5</v>
      </c>
      <c r="X22" s="20">
        <v>12.821999999999999</v>
      </c>
      <c r="Y22" s="19">
        <f t="shared" si="0"/>
        <v>2.5511624455650654</v>
      </c>
      <c r="Z22" s="21">
        <v>411</v>
      </c>
      <c r="AA22" s="19">
        <f t="shared" si="1"/>
        <v>6.0185932144962342</v>
      </c>
      <c r="AB22" s="2">
        <v>54.7</v>
      </c>
      <c r="AC22" s="20"/>
      <c r="AD22" s="19" t="e">
        <f t="shared" si="2"/>
        <v>#NUM!</v>
      </c>
      <c r="AE22" s="4">
        <v>163.172</v>
      </c>
      <c r="AF22" s="1">
        <v>5.93161</v>
      </c>
      <c r="AG22" s="242">
        <v>376.762</v>
      </c>
      <c r="AH22" s="242">
        <v>10.199999999999999</v>
      </c>
      <c r="AI22" s="245">
        <v>98.040999999999997</v>
      </c>
    </row>
    <row r="23" spans="1:35">
      <c r="A23" s="24">
        <v>2</v>
      </c>
      <c r="B23" s="28" t="s">
        <v>50</v>
      </c>
      <c r="C23" s="28" t="s">
        <v>49</v>
      </c>
      <c r="D23" s="23">
        <v>2020</v>
      </c>
      <c r="E23" s="239">
        <v>32.200000000000003</v>
      </c>
      <c r="F23">
        <v>-5.7423500000000001</v>
      </c>
      <c r="G23" s="17">
        <v>-30000000000</v>
      </c>
      <c r="H23" s="242">
        <v>40769</v>
      </c>
      <c r="I23" s="4">
        <v>0.63</v>
      </c>
      <c r="J23" s="24">
        <v>12.984999999999999</v>
      </c>
      <c r="K23" s="26">
        <v>3.0830000000000002</v>
      </c>
      <c r="L23" s="24">
        <v>409</v>
      </c>
      <c r="M23">
        <v>51.400002000000001</v>
      </c>
      <c r="N23" s="27">
        <v>73.5</v>
      </c>
      <c r="O23" s="26">
        <v>22.9</v>
      </c>
      <c r="P23" s="25">
        <v>7318.9</v>
      </c>
      <c r="Q23">
        <v>1.5</v>
      </c>
      <c r="R23">
        <v>1.9</v>
      </c>
      <c r="S23" s="14">
        <v>63816</v>
      </c>
      <c r="T23" s="224">
        <v>0.48</v>
      </c>
      <c r="U23" s="25">
        <v>117</v>
      </c>
      <c r="V23" s="24">
        <v>5922.625</v>
      </c>
      <c r="W23" s="22">
        <v>72.3</v>
      </c>
      <c r="X23" s="20">
        <v>12.984999999999999</v>
      </c>
      <c r="Y23" s="19">
        <f t="shared" si="0"/>
        <v>2.5637948451147117</v>
      </c>
      <c r="Z23" s="21">
        <v>409</v>
      </c>
      <c r="AA23" s="19">
        <f t="shared" si="1"/>
        <v>6.0137151560428022</v>
      </c>
      <c r="AB23" s="2">
        <v>51.4</v>
      </c>
      <c r="AC23" s="20"/>
      <c r="AD23" s="19" t="e">
        <f t="shared" si="2"/>
        <v>#NUM!</v>
      </c>
      <c r="AE23" s="4">
        <v>154.56399999999999</v>
      </c>
      <c r="AF23" s="1">
        <v>5.9359200000000003</v>
      </c>
      <c r="AG23" s="242">
        <v>378.38900000000001</v>
      </c>
      <c r="AH23" s="242">
        <v>12.3</v>
      </c>
      <c r="AI23" s="245">
        <v>98.078999999999994</v>
      </c>
    </row>
    <row r="24" spans="1:35">
      <c r="A24" s="24">
        <v>3</v>
      </c>
      <c r="B24" s="28" t="s">
        <v>48</v>
      </c>
      <c r="C24" s="28" t="s">
        <v>47</v>
      </c>
      <c r="D24" s="23">
        <v>2010</v>
      </c>
      <c r="E24" s="239">
        <v>13</v>
      </c>
      <c r="F24">
        <v>3.6305499999999999</v>
      </c>
      <c r="G24" s="17">
        <v>1800000000</v>
      </c>
      <c r="H24" s="242">
        <v>6434.55</v>
      </c>
      <c r="I24" s="4">
        <v>0.37</v>
      </c>
      <c r="J24" s="24">
        <v>13.522</v>
      </c>
      <c r="K24" s="26">
        <v>0.35520000000000002</v>
      </c>
      <c r="L24" s="24">
        <v>577</v>
      </c>
      <c r="M24">
        <v>24.5</v>
      </c>
      <c r="N24" s="27">
        <v>78.400000000000006</v>
      </c>
      <c r="O24" s="26">
        <v>2.1</v>
      </c>
      <c r="P24" s="25">
        <v>439.7</v>
      </c>
      <c r="S24" s="14">
        <v>49981</v>
      </c>
      <c r="T24" s="224">
        <v>0.14000000000000001</v>
      </c>
      <c r="U24" s="25">
        <v>100</v>
      </c>
      <c r="V24" s="24">
        <v>7811.9087</v>
      </c>
      <c r="W24" s="22">
        <v>15.9</v>
      </c>
      <c r="X24" s="20">
        <v>13.522</v>
      </c>
      <c r="Y24" s="19">
        <f t="shared" si="0"/>
        <v>2.6043179886684862</v>
      </c>
      <c r="Z24" s="21">
        <v>577</v>
      </c>
      <c r="AA24" s="19">
        <f t="shared" si="1"/>
        <v>6.3578422665080998</v>
      </c>
      <c r="AB24" s="2">
        <v>24.5</v>
      </c>
      <c r="AC24" s="20">
        <v>7811.91</v>
      </c>
      <c r="AD24" s="19">
        <f t="shared" si="2"/>
        <v>8.9634047711928773</v>
      </c>
      <c r="AE24" s="4">
        <v>90.902600000000007</v>
      </c>
      <c r="AF24" s="1">
        <v>4.2213399999999996</v>
      </c>
      <c r="AG24" s="242">
        <v>68.124499999999998</v>
      </c>
      <c r="AH24" s="242">
        <v>14.3</v>
      </c>
      <c r="AI24" s="245">
        <v>72.302000000000007</v>
      </c>
    </row>
    <row r="25" spans="1:35">
      <c r="A25" s="24">
        <v>3</v>
      </c>
      <c r="B25" s="28" t="s">
        <v>48</v>
      </c>
      <c r="C25" s="28" t="s">
        <v>47</v>
      </c>
      <c r="D25" s="23">
        <v>2011</v>
      </c>
      <c r="E25" s="239">
        <v>14.5</v>
      </c>
      <c r="F25">
        <v>3.64378</v>
      </c>
      <c r="G25" s="17">
        <v>2100000000</v>
      </c>
      <c r="H25" s="242">
        <v>6611.3</v>
      </c>
      <c r="I25" s="4">
        <v>0.36</v>
      </c>
      <c r="J25" s="24">
        <v>14.548</v>
      </c>
      <c r="K25" s="26">
        <v>0.32750000000000001</v>
      </c>
      <c r="L25" s="24">
        <v>553</v>
      </c>
      <c r="M25">
        <v>26.200001</v>
      </c>
      <c r="N25" s="27">
        <v>82.3</v>
      </c>
      <c r="O25" s="26">
        <v>1.8</v>
      </c>
      <c r="P25" s="25">
        <v>1111.5</v>
      </c>
      <c r="S25" s="14">
        <v>49886</v>
      </c>
      <c r="T25" s="224">
        <v>0.14000000000000001</v>
      </c>
      <c r="U25" s="25">
        <v>97</v>
      </c>
      <c r="V25" s="24">
        <v>7243.7046</v>
      </c>
      <c r="W25" s="22">
        <v>15</v>
      </c>
      <c r="X25" s="20">
        <v>14.548</v>
      </c>
      <c r="Y25" s="19">
        <f t="shared" si="0"/>
        <v>2.6774535271247424</v>
      </c>
      <c r="Z25" s="21">
        <v>553</v>
      </c>
      <c r="AA25" s="19">
        <f t="shared" si="1"/>
        <v>6.315358001522335</v>
      </c>
      <c r="AB25" s="2">
        <v>26.2</v>
      </c>
      <c r="AC25" s="20">
        <v>7243.7</v>
      </c>
      <c r="AD25" s="19">
        <f t="shared" si="2"/>
        <v>8.8878874045620826</v>
      </c>
      <c r="AE25" s="4">
        <v>105.288</v>
      </c>
      <c r="AF25" s="1">
        <v>4.2149299999999998</v>
      </c>
      <c r="AG25" s="242">
        <v>67.689099999999996</v>
      </c>
      <c r="AH25" s="242">
        <v>13.2</v>
      </c>
      <c r="AI25" s="245">
        <v>72.638000000000005</v>
      </c>
    </row>
    <row r="26" spans="1:35">
      <c r="A26" s="24">
        <v>3</v>
      </c>
      <c r="B26" s="28" t="s">
        <v>48</v>
      </c>
      <c r="C26" s="28" t="s">
        <v>47</v>
      </c>
      <c r="D26" s="23">
        <v>2012</v>
      </c>
      <c r="E26" s="239">
        <v>17</v>
      </c>
      <c r="F26">
        <v>3.2937400000000001</v>
      </c>
      <c r="G26" s="17">
        <v>1800000000</v>
      </c>
      <c r="H26" s="242">
        <v>6699.5</v>
      </c>
      <c r="I26" s="4">
        <v>0.36</v>
      </c>
      <c r="J26" s="24">
        <v>14.429</v>
      </c>
      <c r="K26" s="26">
        <v>0.34329999999999999</v>
      </c>
      <c r="L26" s="24">
        <v>599</v>
      </c>
      <c r="M26">
        <v>25</v>
      </c>
      <c r="N26" s="27">
        <v>84</v>
      </c>
      <c r="O26" s="26">
        <v>1.8</v>
      </c>
      <c r="P26" s="25">
        <v>1490</v>
      </c>
      <c r="Q26">
        <v>0.5</v>
      </c>
      <c r="R26">
        <v>1.4</v>
      </c>
      <c r="S26" s="14">
        <v>50643</v>
      </c>
      <c r="T26" s="224">
        <v>0</v>
      </c>
      <c r="U26" s="25">
        <v>99</v>
      </c>
      <c r="V26" s="24">
        <v>7807.1646000000001</v>
      </c>
      <c r="W26" s="22">
        <v>15.2</v>
      </c>
      <c r="X26" s="20">
        <v>14.429</v>
      </c>
      <c r="Y26" s="19">
        <f t="shared" si="0"/>
        <v>2.6692400703151189</v>
      </c>
      <c r="Z26" s="21">
        <v>599</v>
      </c>
      <c r="AA26" s="19">
        <f t="shared" si="1"/>
        <v>6.3952615981154493</v>
      </c>
      <c r="AB26" s="2">
        <v>25</v>
      </c>
      <c r="AC26" s="20">
        <v>7807.16</v>
      </c>
      <c r="AD26" s="19">
        <f t="shared" si="2"/>
        <v>8.9627965403383598</v>
      </c>
      <c r="AE26" s="4">
        <v>109.40900000000001</v>
      </c>
      <c r="AF26" s="1">
        <v>4.20913</v>
      </c>
      <c r="AG26" s="242">
        <v>67.298199999999994</v>
      </c>
      <c r="AH26" s="242">
        <v>15.6</v>
      </c>
      <c r="AI26" s="245">
        <v>72.974999999999994</v>
      </c>
    </row>
    <row r="27" spans="1:35">
      <c r="A27" s="24">
        <v>3</v>
      </c>
      <c r="B27" s="28" t="s">
        <v>48</v>
      </c>
      <c r="C27" s="28" t="s">
        <v>47</v>
      </c>
      <c r="D27" s="23">
        <v>2013</v>
      </c>
      <c r="E27" s="239">
        <v>17</v>
      </c>
      <c r="F27">
        <v>3.5612599999999999</v>
      </c>
      <c r="G27" s="17">
        <v>2000000000</v>
      </c>
      <c r="H27" s="242">
        <v>6700.54</v>
      </c>
      <c r="I27" s="4">
        <v>0.37</v>
      </c>
      <c r="J27" s="24">
        <v>15.289</v>
      </c>
      <c r="K27" s="26">
        <v>0.35360000000000003</v>
      </c>
      <c r="L27" s="24">
        <v>598</v>
      </c>
      <c r="M27">
        <v>28.5</v>
      </c>
      <c r="N27" s="27">
        <v>83.5</v>
      </c>
      <c r="O27" s="26">
        <v>2.5</v>
      </c>
      <c r="P27" s="25">
        <v>780.6</v>
      </c>
      <c r="Q27">
        <v>0.4</v>
      </c>
      <c r="R27">
        <v>1.4</v>
      </c>
      <c r="S27" s="14">
        <v>49110</v>
      </c>
      <c r="T27" s="224">
        <v>0</v>
      </c>
      <c r="U27" s="25">
        <v>100</v>
      </c>
      <c r="V27" s="24">
        <v>8344.7471000000005</v>
      </c>
      <c r="W27" s="22">
        <v>15.7</v>
      </c>
      <c r="X27" s="20">
        <v>15.289</v>
      </c>
      <c r="Y27" s="19">
        <f t="shared" si="0"/>
        <v>2.7271336155784764</v>
      </c>
      <c r="Z27" s="21">
        <v>598</v>
      </c>
      <c r="AA27" s="19">
        <f t="shared" si="1"/>
        <v>6.3935907539506314</v>
      </c>
      <c r="AB27" s="2">
        <v>28.5</v>
      </c>
      <c r="AC27" s="20">
        <v>8344.75</v>
      </c>
      <c r="AD27" s="19">
        <f t="shared" si="2"/>
        <v>9.0293878775884657</v>
      </c>
      <c r="AE27" s="4">
        <v>114.377</v>
      </c>
      <c r="AF27" s="1">
        <v>4.2035400000000003</v>
      </c>
      <c r="AG27" s="242">
        <v>66.922600000000003</v>
      </c>
      <c r="AH27" s="242">
        <v>18.2</v>
      </c>
      <c r="AI27" s="245">
        <v>73.313000000000002</v>
      </c>
    </row>
    <row r="28" spans="1:35">
      <c r="A28" s="24">
        <v>3</v>
      </c>
      <c r="B28" s="28" t="s">
        <v>48</v>
      </c>
      <c r="C28" s="28" t="s">
        <v>47</v>
      </c>
      <c r="D28" s="23">
        <v>2014</v>
      </c>
      <c r="E28" s="239">
        <v>17.100000000000001</v>
      </c>
      <c r="F28">
        <v>1.9133</v>
      </c>
      <c r="G28" s="17">
        <v>1100000000</v>
      </c>
      <c r="H28" s="242">
        <v>6802.71</v>
      </c>
      <c r="I28" s="4">
        <v>0.35</v>
      </c>
      <c r="J28" s="24">
        <v>16.566998999999999</v>
      </c>
      <c r="K28" s="26">
        <v>0.32569999999999999</v>
      </c>
      <c r="L28" s="24">
        <v>554</v>
      </c>
      <c r="M28">
        <v>23.1</v>
      </c>
      <c r="N28" s="27">
        <v>84.9</v>
      </c>
      <c r="O28" s="26">
        <v>2.7</v>
      </c>
      <c r="P28" s="25">
        <v>1120.4000000000001</v>
      </c>
      <c r="Q28">
        <v>0.6</v>
      </c>
      <c r="R28">
        <v>1.5</v>
      </c>
      <c r="S28" s="14">
        <v>48335</v>
      </c>
      <c r="T28" s="224">
        <v>0.21</v>
      </c>
      <c r="U28" s="25">
        <v>104</v>
      </c>
      <c r="V28" s="24">
        <v>8137.8334999999997</v>
      </c>
      <c r="W28" s="22">
        <v>14.5</v>
      </c>
      <c r="X28" s="20">
        <v>16.567</v>
      </c>
      <c r="Y28" s="19">
        <f t="shared" si="0"/>
        <v>2.8074127649564002</v>
      </c>
      <c r="Z28" s="21">
        <v>554</v>
      </c>
      <c r="AA28" s="19">
        <f t="shared" si="1"/>
        <v>6.3171646867472839</v>
      </c>
      <c r="AB28" s="2">
        <v>23.1</v>
      </c>
      <c r="AC28" s="20">
        <v>8137.83</v>
      </c>
      <c r="AD28" s="19">
        <f t="shared" si="2"/>
        <v>9.0042788386899666</v>
      </c>
      <c r="AE28" s="4">
        <v>111.789</v>
      </c>
      <c r="AF28" s="1">
        <v>4.1978499999999999</v>
      </c>
      <c r="AG28" s="242">
        <v>66.543300000000002</v>
      </c>
      <c r="AH28" s="242">
        <v>17.100000000000001</v>
      </c>
      <c r="AI28" s="245">
        <v>73.650999999999996</v>
      </c>
    </row>
    <row r="29" spans="1:35">
      <c r="A29" s="24">
        <v>3</v>
      </c>
      <c r="B29" s="28" t="s">
        <v>48</v>
      </c>
      <c r="C29" s="28" t="s">
        <v>47</v>
      </c>
      <c r="D29" s="23">
        <v>2015</v>
      </c>
      <c r="E29" s="239">
        <v>17.899999999999999</v>
      </c>
      <c r="F29">
        <v>4.3717800000000002</v>
      </c>
      <c r="G29" s="17">
        <v>2200000000</v>
      </c>
      <c r="H29" s="242">
        <v>7078.86</v>
      </c>
      <c r="I29" s="4">
        <v>0.36</v>
      </c>
      <c r="J29" s="24">
        <v>17.585999999999999</v>
      </c>
      <c r="K29" s="26">
        <v>0.29949999999999999</v>
      </c>
      <c r="L29" s="24">
        <v>508</v>
      </c>
      <c r="M29">
        <v>29.4</v>
      </c>
      <c r="N29" s="27">
        <v>85.6</v>
      </c>
      <c r="O29" s="26">
        <v>3.1</v>
      </c>
      <c r="P29" s="25">
        <v>1763.9</v>
      </c>
      <c r="Q29">
        <v>0.7</v>
      </c>
      <c r="R29">
        <v>1.6</v>
      </c>
      <c r="S29" s="14">
        <v>48132</v>
      </c>
      <c r="T29" s="224">
        <v>7.0000000000000007E-2</v>
      </c>
      <c r="U29" s="25">
        <v>110</v>
      </c>
      <c r="V29" s="24">
        <v>8492.9014000000006</v>
      </c>
      <c r="W29" s="22">
        <v>14.1</v>
      </c>
      <c r="X29" s="20">
        <v>17.585999999999999</v>
      </c>
      <c r="Y29" s="19">
        <f t="shared" si="0"/>
        <v>2.8671031309568105</v>
      </c>
      <c r="Z29" s="21">
        <v>508</v>
      </c>
      <c r="AA29" s="19">
        <f t="shared" si="1"/>
        <v>6.230481447578482</v>
      </c>
      <c r="AB29" s="2">
        <v>29.4</v>
      </c>
      <c r="AC29" s="20">
        <v>8492.9</v>
      </c>
      <c r="AD29" s="19">
        <f t="shared" si="2"/>
        <v>9.0469857993082421</v>
      </c>
      <c r="AE29" s="4">
        <v>107.408</v>
      </c>
      <c r="AF29" s="1">
        <v>4.1914699999999998</v>
      </c>
      <c r="AG29" s="242">
        <v>66.12</v>
      </c>
      <c r="AH29" s="242">
        <v>17.899999999999999</v>
      </c>
      <c r="AI29" s="245">
        <v>73.989999999999995</v>
      </c>
    </row>
    <row r="30" spans="1:35">
      <c r="A30" s="24">
        <v>3</v>
      </c>
      <c r="B30" s="28" t="s">
        <v>48</v>
      </c>
      <c r="C30" s="28" t="s">
        <v>47</v>
      </c>
      <c r="D30" s="23">
        <v>2016</v>
      </c>
      <c r="E30" s="239">
        <v>17.2</v>
      </c>
      <c r="F30">
        <v>2.7581799999999999</v>
      </c>
      <c r="G30" s="17">
        <v>1500000000</v>
      </c>
      <c r="H30" s="242">
        <v>7344.44</v>
      </c>
      <c r="I30" s="4">
        <v>0.37</v>
      </c>
      <c r="J30" s="24">
        <v>17.524000000000001</v>
      </c>
      <c r="K30" s="26">
        <v>0.3498</v>
      </c>
      <c r="L30" s="24">
        <v>460</v>
      </c>
      <c r="M30">
        <v>31.799999</v>
      </c>
      <c r="N30" s="27">
        <v>81.5</v>
      </c>
      <c r="O30" s="26">
        <v>4.3</v>
      </c>
      <c r="P30" s="25">
        <v>2970.3</v>
      </c>
      <c r="Q30">
        <v>0.6</v>
      </c>
      <c r="R30">
        <v>1.5</v>
      </c>
      <c r="S30" s="14">
        <v>51013</v>
      </c>
      <c r="T30" s="224">
        <v>0.05</v>
      </c>
      <c r="U30" s="25">
        <v>112</v>
      </c>
      <c r="V30" s="24">
        <v>7944.9813999999997</v>
      </c>
      <c r="W30" s="22">
        <v>16.100000000000001</v>
      </c>
      <c r="X30" s="20">
        <v>17.524000000000001</v>
      </c>
      <c r="Y30" s="19">
        <f t="shared" si="0"/>
        <v>2.8635713699516523</v>
      </c>
      <c r="Z30" s="21">
        <v>460</v>
      </c>
      <c r="AA30" s="19">
        <f t="shared" si="1"/>
        <v>6.131226489483141</v>
      </c>
      <c r="AB30" s="2">
        <v>31.8</v>
      </c>
      <c r="AC30" s="20">
        <v>7944.98</v>
      </c>
      <c r="AD30" s="19">
        <f t="shared" si="2"/>
        <v>8.9802955616611655</v>
      </c>
      <c r="AE30" s="4">
        <v>102.855</v>
      </c>
      <c r="AF30" s="1">
        <v>4.1844599999999996</v>
      </c>
      <c r="AG30" s="242">
        <v>65.657899999999998</v>
      </c>
      <c r="AH30" s="242">
        <v>17.7</v>
      </c>
      <c r="AI30" s="245">
        <v>74.328999999999994</v>
      </c>
    </row>
    <row r="31" spans="1:35">
      <c r="A31" s="24">
        <v>3</v>
      </c>
      <c r="B31" s="28" t="s">
        <v>48</v>
      </c>
      <c r="C31" s="28" t="s">
        <v>47</v>
      </c>
      <c r="D31" s="23">
        <v>2017</v>
      </c>
      <c r="E31" s="239">
        <v>17.899999999999999</v>
      </c>
      <c r="F31">
        <v>3.38442</v>
      </c>
      <c r="G31" s="17">
        <v>2000000000</v>
      </c>
      <c r="H31" s="242">
        <v>7601.44</v>
      </c>
      <c r="I31" s="4">
        <v>0.37</v>
      </c>
      <c r="J31" s="24">
        <v>17.308001000000001</v>
      </c>
      <c r="K31" s="26">
        <v>0.3483</v>
      </c>
      <c r="L31" s="24">
        <v>438</v>
      </c>
      <c r="M31">
        <v>34.599997999999999</v>
      </c>
      <c r="N31" s="27">
        <v>83.7</v>
      </c>
      <c r="O31" s="26">
        <v>3.4</v>
      </c>
      <c r="P31" s="25">
        <v>2539.8000000000002</v>
      </c>
      <c r="Q31">
        <v>0.7</v>
      </c>
      <c r="R31">
        <v>1.7</v>
      </c>
      <c r="S31" s="14">
        <v>51855</v>
      </c>
      <c r="T31" s="224">
        <v>0.03</v>
      </c>
      <c r="U31" s="25">
        <v>112</v>
      </c>
      <c r="V31" s="24">
        <v>7863.5249000000003</v>
      </c>
      <c r="W31" s="22">
        <v>16.8</v>
      </c>
      <c r="X31" s="20">
        <v>17.308</v>
      </c>
      <c r="Y31" s="19">
        <f t="shared" si="0"/>
        <v>2.8511688223626384</v>
      </c>
      <c r="Z31" s="21">
        <v>438</v>
      </c>
      <c r="AA31" s="19">
        <f t="shared" si="1"/>
        <v>6.0822189103764464</v>
      </c>
      <c r="AB31" s="2">
        <v>34.6</v>
      </c>
      <c r="AC31" s="20">
        <v>7863.52</v>
      </c>
      <c r="AD31" s="19">
        <f t="shared" si="2"/>
        <v>8.9699896223242526</v>
      </c>
      <c r="AE31" s="4">
        <v>110.643</v>
      </c>
      <c r="AF31" s="1">
        <v>4.1771500000000001</v>
      </c>
      <c r="AG31" s="242">
        <v>65.180099999999996</v>
      </c>
      <c r="AH31" s="242">
        <v>17.100000000000001</v>
      </c>
      <c r="AI31" s="245">
        <v>74.668999999999997</v>
      </c>
    </row>
    <row r="32" spans="1:35">
      <c r="A32" s="24">
        <v>3</v>
      </c>
      <c r="B32" s="28" t="s">
        <v>48</v>
      </c>
      <c r="C32" s="28" t="s">
        <v>47</v>
      </c>
      <c r="D32" s="23">
        <v>2018</v>
      </c>
      <c r="E32" s="239">
        <v>18.3</v>
      </c>
      <c r="F32">
        <v>2.7302499999999998</v>
      </c>
      <c r="G32" s="17">
        <v>1800000000</v>
      </c>
      <c r="H32" s="242">
        <v>7851.73</v>
      </c>
      <c r="I32" s="4">
        <v>0.37</v>
      </c>
      <c r="J32" s="24">
        <v>19.405999999999999</v>
      </c>
      <c r="K32" s="26">
        <v>0.34870000000000001</v>
      </c>
      <c r="L32" s="24">
        <v>451</v>
      </c>
      <c r="M32">
        <v>31.5</v>
      </c>
      <c r="N32" s="27">
        <v>81</v>
      </c>
      <c r="O32" s="26">
        <v>2.4</v>
      </c>
      <c r="P32" s="25">
        <v>2798.1</v>
      </c>
      <c r="Q32">
        <v>0.7</v>
      </c>
      <c r="R32">
        <v>1.6</v>
      </c>
      <c r="S32" s="14">
        <v>52418</v>
      </c>
      <c r="T32" s="224">
        <v>7.0000000000000007E-2</v>
      </c>
      <c r="U32" s="25">
        <v>117</v>
      </c>
      <c r="V32" s="24">
        <v>6967.8842999999997</v>
      </c>
      <c r="W32" s="22">
        <v>15.7</v>
      </c>
      <c r="X32" s="20">
        <v>19.405999999999999</v>
      </c>
      <c r="Y32" s="19">
        <f t="shared" si="0"/>
        <v>2.9655822966031078</v>
      </c>
      <c r="Z32" s="21">
        <v>451</v>
      </c>
      <c r="AA32" s="19">
        <f t="shared" si="1"/>
        <v>6.1114673395026786</v>
      </c>
      <c r="AB32" s="2">
        <v>31.5</v>
      </c>
      <c r="AC32" s="20">
        <v>6967.88</v>
      </c>
      <c r="AD32" s="19">
        <f t="shared" si="2"/>
        <v>8.8490662967996592</v>
      </c>
      <c r="AE32" s="4">
        <v>107.82</v>
      </c>
      <c r="AF32" s="1">
        <v>4.1699299999999999</v>
      </c>
      <c r="AG32" s="242">
        <v>64.711100000000002</v>
      </c>
      <c r="AH32" s="242">
        <v>19.600000000000001</v>
      </c>
      <c r="AI32" s="245">
        <v>75.007999999999996</v>
      </c>
    </row>
    <row r="33" spans="1:35">
      <c r="A33" s="24">
        <v>3</v>
      </c>
      <c r="B33" s="28" t="s">
        <v>48</v>
      </c>
      <c r="C33" s="28" t="s">
        <v>47</v>
      </c>
      <c r="D33" s="23">
        <v>2019</v>
      </c>
      <c r="E33" s="239">
        <v>18.8</v>
      </c>
      <c r="F33">
        <v>3.2364799999999998</v>
      </c>
      <c r="G33" s="17">
        <v>2200000000</v>
      </c>
      <c r="H33" s="242">
        <v>8206.7800000000007</v>
      </c>
      <c r="I33" s="4">
        <v>0.37</v>
      </c>
      <c r="J33" s="24">
        <v>20.239999999999998</v>
      </c>
      <c r="K33" s="26">
        <v>0.3599</v>
      </c>
      <c r="L33" s="24">
        <v>431</v>
      </c>
      <c r="M33">
        <v>34.599997999999999</v>
      </c>
      <c r="N33" s="27">
        <v>83</v>
      </c>
      <c r="O33" s="26">
        <v>4</v>
      </c>
      <c r="P33" s="25">
        <v>1686.4</v>
      </c>
      <c r="Q33">
        <v>0.7</v>
      </c>
      <c r="R33">
        <v>1.7</v>
      </c>
      <c r="S33" s="14">
        <v>53871</v>
      </c>
      <c r="T33" s="224">
        <v>0</v>
      </c>
      <c r="U33" s="25">
        <v>122</v>
      </c>
      <c r="V33" s="24">
        <v>6072.2437</v>
      </c>
      <c r="W33" s="22">
        <v>16.399999999999999</v>
      </c>
      <c r="X33" s="20">
        <v>20.239999999999998</v>
      </c>
      <c r="Y33" s="19">
        <f t="shared" si="0"/>
        <v>3.0076608444192647</v>
      </c>
      <c r="Z33" s="21">
        <v>431</v>
      </c>
      <c r="AA33" s="19">
        <f t="shared" si="1"/>
        <v>6.0661080901037474</v>
      </c>
      <c r="AB33" s="2">
        <v>34.6</v>
      </c>
      <c r="AC33" s="20"/>
      <c r="AD33" s="19" t="e">
        <f t="shared" si="2"/>
        <v>#NUM!</v>
      </c>
      <c r="AE33" s="4">
        <v>103.455</v>
      </c>
      <c r="AF33" s="1">
        <v>4.16289</v>
      </c>
      <c r="AG33" s="242">
        <v>64.257199999999997</v>
      </c>
      <c r="AH33" s="242">
        <v>19.3</v>
      </c>
      <c r="AI33" s="245">
        <v>75.346999999999994</v>
      </c>
    </row>
    <row r="34" spans="1:35">
      <c r="A34" s="24">
        <v>3</v>
      </c>
      <c r="B34" s="28" t="s">
        <v>48</v>
      </c>
      <c r="C34" s="28" t="s">
        <v>47</v>
      </c>
      <c r="D34" s="23">
        <v>2020</v>
      </c>
      <c r="E34" s="239">
        <v>19.3</v>
      </c>
      <c r="F34">
        <v>4.6815699999999998</v>
      </c>
      <c r="G34" s="17">
        <v>3300000000</v>
      </c>
      <c r="H34" s="242">
        <v>7990.69</v>
      </c>
      <c r="I34" s="4">
        <v>0.38</v>
      </c>
      <c r="J34" s="24">
        <v>21.073999000000001</v>
      </c>
      <c r="K34" s="26">
        <v>0.35120000000000001</v>
      </c>
      <c r="L34" s="24">
        <v>418</v>
      </c>
      <c r="M34">
        <v>35.200001</v>
      </c>
      <c r="N34" s="27">
        <v>83.6</v>
      </c>
      <c r="O34" s="26">
        <v>5.8</v>
      </c>
      <c r="P34" s="25">
        <v>2309.1999999999998</v>
      </c>
      <c r="Q34">
        <v>0.6</v>
      </c>
      <c r="R34">
        <v>1.6</v>
      </c>
      <c r="S34" s="14">
        <v>51751</v>
      </c>
      <c r="T34" s="224">
        <v>0</v>
      </c>
      <c r="U34" s="25">
        <v>117</v>
      </c>
      <c r="V34" s="24">
        <v>5176.6030000000001</v>
      </c>
      <c r="W34" s="22">
        <v>16</v>
      </c>
      <c r="X34" s="20"/>
      <c r="Y34" s="19" t="e">
        <f t="shared" si="0"/>
        <v>#NUM!</v>
      </c>
      <c r="Z34" s="21">
        <v>418</v>
      </c>
      <c r="AA34" s="19">
        <f t="shared" si="1"/>
        <v>6.0354814325247563</v>
      </c>
      <c r="AB34" s="2">
        <v>35.200000000000003</v>
      </c>
      <c r="AC34" s="20"/>
      <c r="AD34" s="19" t="e">
        <f t="shared" si="2"/>
        <v>#NUM!</v>
      </c>
      <c r="AE34" s="4">
        <v>94.758200000000002</v>
      </c>
      <c r="AF34" s="1">
        <v>4.1568899999999998</v>
      </c>
      <c r="AG34" s="242">
        <v>63.872700000000002</v>
      </c>
      <c r="AH34" s="242">
        <v>21.1</v>
      </c>
      <c r="AI34" s="245">
        <v>75.686000000000007</v>
      </c>
    </row>
    <row r="35" spans="1:35">
      <c r="A35" s="24">
        <v>4</v>
      </c>
      <c r="B35" s="28" t="s">
        <v>46</v>
      </c>
      <c r="C35" s="28" t="s">
        <v>45</v>
      </c>
      <c r="D35" s="23">
        <v>2010</v>
      </c>
      <c r="E35" s="239">
        <v>17.5</v>
      </c>
      <c r="F35">
        <v>120.279</v>
      </c>
      <c r="G35" s="17">
        <v>31000000000</v>
      </c>
      <c r="H35" s="242">
        <v>26090</v>
      </c>
      <c r="I35" s="4">
        <v>0.61</v>
      </c>
      <c r="J35" s="24">
        <v>31.122999</v>
      </c>
      <c r="K35" s="26">
        <v>0.84560000000000002</v>
      </c>
      <c r="L35" s="24">
        <v>684</v>
      </c>
      <c r="M35">
        <v>11.2</v>
      </c>
      <c r="N35" s="27">
        <v>71.599999999999994</v>
      </c>
      <c r="O35" s="26">
        <v>2</v>
      </c>
      <c r="P35" s="25">
        <v>17.600000000000001</v>
      </c>
      <c r="S35" s="14">
        <v>6003</v>
      </c>
      <c r="T35" s="224">
        <v>0</v>
      </c>
      <c r="U35" s="25">
        <v>100</v>
      </c>
      <c r="V35" s="24">
        <v>8046.9683000000005</v>
      </c>
      <c r="W35" s="22">
        <v>24.7</v>
      </c>
      <c r="X35" s="20">
        <v>31.123000000000001</v>
      </c>
      <c r="Y35" s="19">
        <f t="shared" si="0"/>
        <v>3.4379470956921878</v>
      </c>
      <c r="Z35" s="21">
        <v>684</v>
      </c>
      <c r="AA35" s="19">
        <f t="shared" si="1"/>
        <v>6.5279579176225502</v>
      </c>
      <c r="AB35" s="2">
        <v>11.2</v>
      </c>
      <c r="AC35" s="20">
        <v>8046.97</v>
      </c>
      <c r="AD35" s="19">
        <f t="shared" si="2"/>
        <v>8.9930509020417553</v>
      </c>
      <c r="AE35" s="4">
        <v>38.647399999999998</v>
      </c>
      <c r="AF35" s="1">
        <v>4.8045</v>
      </c>
      <c r="AG35" s="242">
        <v>122.05800000000001</v>
      </c>
      <c r="AH35" s="242">
        <v>6.5</v>
      </c>
      <c r="AI35" s="245">
        <v>67.551000000000002</v>
      </c>
    </row>
    <row r="36" spans="1:35">
      <c r="A36" s="24">
        <v>4</v>
      </c>
      <c r="B36" s="28" t="s">
        <v>46</v>
      </c>
      <c r="C36" s="28" t="s">
        <v>45</v>
      </c>
      <c r="D36" s="23">
        <v>2011</v>
      </c>
      <c r="E36" s="239">
        <v>18.5</v>
      </c>
      <c r="F36">
        <v>146.32300000000001</v>
      </c>
      <c r="G36" s="17">
        <v>40000000000</v>
      </c>
      <c r="H36" s="242">
        <v>25538.799999999999</v>
      </c>
      <c r="I36" s="4">
        <v>0.56999999999999995</v>
      </c>
      <c r="J36" s="24">
        <v>28.802</v>
      </c>
      <c r="K36" s="26">
        <v>0.86499999999999999</v>
      </c>
      <c r="L36" s="24">
        <v>688</v>
      </c>
      <c r="M36">
        <v>11.2</v>
      </c>
      <c r="N36" s="27">
        <v>78.900000000000006</v>
      </c>
      <c r="O36" s="26">
        <v>1.9</v>
      </c>
      <c r="P36" s="25">
        <v>5.4</v>
      </c>
      <c r="S36" s="14">
        <v>5625</v>
      </c>
      <c r="T36" s="224">
        <v>2.12</v>
      </c>
      <c r="U36" s="25">
        <v>102</v>
      </c>
      <c r="V36" s="24">
        <v>7326.9228999999996</v>
      </c>
      <c r="W36" s="22">
        <v>22.5</v>
      </c>
      <c r="X36" s="20">
        <v>28.802</v>
      </c>
      <c r="Y36" s="19">
        <f t="shared" si="0"/>
        <v>3.3604448291751909</v>
      </c>
      <c r="Z36" s="21">
        <v>688</v>
      </c>
      <c r="AA36" s="19">
        <f t="shared" si="1"/>
        <v>6.5337888379333435</v>
      </c>
      <c r="AB36" s="2">
        <v>11.2</v>
      </c>
      <c r="AC36" s="20">
        <v>7326.92</v>
      </c>
      <c r="AD36" s="19">
        <f t="shared" si="2"/>
        <v>8.8993105155798151</v>
      </c>
      <c r="AE36" s="4">
        <v>37.971800000000002</v>
      </c>
      <c r="AF36" s="1">
        <v>4.8209200000000001</v>
      </c>
      <c r="AG36" s="242">
        <v>124.07899999999999</v>
      </c>
      <c r="AH36" s="242">
        <v>7.6</v>
      </c>
      <c r="AI36" s="245">
        <v>67.406000000000006</v>
      </c>
    </row>
    <row r="37" spans="1:35">
      <c r="A37" s="24">
        <v>4</v>
      </c>
      <c r="B37" s="28" t="s">
        <v>46</v>
      </c>
      <c r="C37" s="28" t="s">
        <v>45</v>
      </c>
      <c r="D37" s="23">
        <v>2012</v>
      </c>
      <c r="E37" s="239">
        <v>20.5</v>
      </c>
      <c r="F37">
        <v>279.36099999999999</v>
      </c>
      <c r="G37" s="17">
        <v>70000000000</v>
      </c>
      <c r="H37" s="242">
        <v>24285.5</v>
      </c>
      <c r="I37" s="4">
        <v>0.55000000000000004</v>
      </c>
      <c r="J37" s="24">
        <v>20.693999999999999</v>
      </c>
      <c r="K37" s="26">
        <v>1.1384000000000001</v>
      </c>
      <c r="L37" s="24">
        <v>695</v>
      </c>
      <c r="M37">
        <v>12.8</v>
      </c>
      <c r="N37" s="27">
        <v>86.6</v>
      </c>
      <c r="O37" s="26">
        <v>2</v>
      </c>
      <c r="P37" s="25"/>
      <c r="Q37">
        <v>0.6</v>
      </c>
      <c r="R37">
        <v>1.3</v>
      </c>
      <c r="S37" s="14">
        <v>5582</v>
      </c>
      <c r="T37" s="224">
        <v>0</v>
      </c>
      <c r="U37" s="25">
        <v>104</v>
      </c>
      <c r="V37" s="24">
        <v>7812.5293000000001</v>
      </c>
      <c r="W37" s="22">
        <v>26.5</v>
      </c>
      <c r="X37" s="20">
        <v>20.693999999999999</v>
      </c>
      <c r="Y37" s="19">
        <f t="shared" si="0"/>
        <v>3.029843803182759</v>
      </c>
      <c r="Z37" s="21">
        <v>695</v>
      </c>
      <c r="AA37" s="19">
        <f t="shared" si="1"/>
        <v>6.543911845564792</v>
      </c>
      <c r="AB37" s="2">
        <v>12.8</v>
      </c>
      <c r="AC37" s="20">
        <v>7812.53</v>
      </c>
      <c r="AD37" s="19">
        <f t="shared" si="2"/>
        <v>8.9634841340372837</v>
      </c>
      <c r="AE37" s="4">
        <v>36.075499999999998</v>
      </c>
      <c r="AF37" s="1">
        <v>4.8372799999999998</v>
      </c>
      <c r="AG37" s="242">
        <v>126.125</v>
      </c>
      <c r="AH37" s="242">
        <v>8.6</v>
      </c>
      <c r="AI37" s="245">
        <v>67.260999999999996</v>
      </c>
    </row>
    <row r="38" spans="1:35">
      <c r="A38" s="24">
        <v>4</v>
      </c>
      <c r="B38" s="28" t="s">
        <v>46</v>
      </c>
      <c r="C38" s="28" t="s">
        <v>45</v>
      </c>
      <c r="D38" s="23">
        <v>2013</v>
      </c>
      <c r="E38" s="239">
        <v>20.5</v>
      </c>
      <c r="F38">
        <v>108.375</v>
      </c>
      <c r="G38" s="17">
        <v>26000000000</v>
      </c>
      <c r="H38" s="242">
        <v>22738.5</v>
      </c>
      <c r="I38" s="4">
        <v>0.49</v>
      </c>
      <c r="J38" s="24">
        <v>15.271000000000001</v>
      </c>
      <c r="K38" s="26">
        <v>1.4731000000000001</v>
      </c>
      <c r="L38" s="24">
        <v>704</v>
      </c>
      <c r="M38">
        <v>13.9</v>
      </c>
      <c r="N38" s="27">
        <v>80.3</v>
      </c>
      <c r="O38" s="26">
        <v>2.4</v>
      </c>
      <c r="P38" s="25">
        <v>4.5</v>
      </c>
      <c r="Q38">
        <v>0.6</v>
      </c>
      <c r="R38">
        <v>1.3</v>
      </c>
      <c r="S38" s="14">
        <v>5391</v>
      </c>
      <c r="T38" s="224">
        <v>0</v>
      </c>
      <c r="U38" s="25">
        <v>101</v>
      </c>
      <c r="V38" s="24">
        <v>7647.4579999999996</v>
      </c>
      <c r="W38" s="22">
        <v>29.2</v>
      </c>
      <c r="X38" s="20">
        <v>15.271000000000001</v>
      </c>
      <c r="Y38" s="19">
        <f t="shared" si="0"/>
        <v>2.7259556049710447</v>
      </c>
      <c r="Z38" s="21">
        <v>704</v>
      </c>
      <c r="AA38" s="19">
        <f t="shared" si="1"/>
        <v>6.5567783561580422</v>
      </c>
      <c r="AB38" s="2">
        <v>13.9</v>
      </c>
      <c r="AC38" s="20">
        <v>7647.46</v>
      </c>
      <c r="AD38" s="19">
        <f t="shared" si="2"/>
        <v>8.9421288455439072</v>
      </c>
      <c r="AE38" s="4">
        <v>34.779200000000003</v>
      </c>
      <c r="AF38" s="1">
        <v>4.8530199999999999</v>
      </c>
      <c r="AG38" s="242">
        <v>128.12700000000001</v>
      </c>
      <c r="AH38" s="242">
        <v>9.6999999999999993</v>
      </c>
      <c r="AI38" s="245">
        <v>67.137</v>
      </c>
    </row>
    <row r="39" spans="1:35">
      <c r="A39" s="24">
        <v>4</v>
      </c>
      <c r="B39" s="28" t="s">
        <v>46</v>
      </c>
      <c r="C39" s="28" t="s">
        <v>45</v>
      </c>
      <c r="D39" s="23">
        <v>2014</v>
      </c>
      <c r="E39" s="239">
        <v>20.8</v>
      </c>
      <c r="F39">
        <v>222.76400000000001</v>
      </c>
      <c r="G39" s="17">
        <v>52000000000</v>
      </c>
      <c r="H39" s="242">
        <v>22581.8</v>
      </c>
      <c r="I39" s="4">
        <v>0.48</v>
      </c>
      <c r="J39" s="24">
        <v>15.134</v>
      </c>
      <c r="K39" s="26">
        <v>1.4573</v>
      </c>
      <c r="L39" s="24">
        <v>729</v>
      </c>
      <c r="M39">
        <v>14.8</v>
      </c>
      <c r="N39" s="27">
        <v>89.4</v>
      </c>
      <c r="O39" s="26">
        <v>2.2000000000000002</v>
      </c>
      <c r="P39" s="25">
        <v>4.7</v>
      </c>
      <c r="Q39">
        <v>0.2</v>
      </c>
      <c r="R39">
        <v>1.4</v>
      </c>
      <c r="S39" s="14">
        <v>5515</v>
      </c>
      <c r="T39" s="224">
        <v>0</v>
      </c>
      <c r="U39" s="25">
        <v>102</v>
      </c>
      <c r="V39" s="24">
        <v>8058.0087999999996</v>
      </c>
      <c r="W39" s="22">
        <v>30.8</v>
      </c>
      <c r="X39" s="20">
        <v>15.134</v>
      </c>
      <c r="Y39" s="19">
        <f t="shared" si="0"/>
        <v>2.7169438682723297</v>
      </c>
      <c r="Z39" s="21">
        <v>729</v>
      </c>
      <c r="AA39" s="19">
        <f t="shared" si="1"/>
        <v>6.5916737320086582</v>
      </c>
      <c r="AB39" s="2">
        <v>14.8</v>
      </c>
      <c r="AC39" s="20">
        <v>8058.01</v>
      </c>
      <c r="AD39" s="19">
        <f t="shared" si="2"/>
        <v>8.9944219067532529</v>
      </c>
      <c r="AE39" s="4">
        <v>48.045499999999997</v>
      </c>
      <c r="AF39" s="1">
        <v>4.8680300000000001</v>
      </c>
      <c r="AG39" s="242">
        <v>130.065</v>
      </c>
      <c r="AH39" s="242">
        <v>9.5</v>
      </c>
      <c r="AI39" s="245">
        <v>67.031000000000006</v>
      </c>
    </row>
    <row r="40" spans="1:35">
      <c r="A40" s="24">
        <v>4</v>
      </c>
      <c r="B40" s="28" t="s">
        <v>46</v>
      </c>
      <c r="C40" s="28" t="s">
        <v>45</v>
      </c>
      <c r="D40" s="23">
        <v>2015</v>
      </c>
      <c r="E40" s="239">
        <v>21.5</v>
      </c>
      <c r="F40">
        <v>145.46199999999999</v>
      </c>
      <c r="G40" s="17">
        <v>29000000000</v>
      </c>
      <c r="H40" s="242">
        <v>23487.200000000001</v>
      </c>
      <c r="I40" s="4">
        <v>0.47</v>
      </c>
      <c r="J40" s="24">
        <v>15.362</v>
      </c>
      <c r="K40" s="26">
        <v>1.4997</v>
      </c>
      <c r="L40" s="24">
        <v>729</v>
      </c>
      <c r="M40">
        <v>16.700001</v>
      </c>
      <c r="N40" s="27">
        <v>91</v>
      </c>
      <c r="O40" s="26">
        <v>2.4</v>
      </c>
      <c r="P40" s="25">
        <v>15.2</v>
      </c>
      <c r="Q40">
        <v>0.3</v>
      </c>
      <c r="R40">
        <v>1.5</v>
      </c>
      <c r="S40" s="14">
        <v>6120</v>
      </c>
      <c r="T40" s="224">
        <v>1.18</v>
      </c>
      <c r="U40" s="25">
        <v>102</v>
      </c>
      <c r="V40" s="24">
        <v>8295.8438000000006</v>
      </c>
      <c r="W40" s="22">
        <v>32.799999999999997</v>
      </c>
      <c r="X40" s="20">
        <v>15.362</v>
      </c>
      <c r="Y40" s="19">
        <f t="shared" si="0"/>
        <v>2.7318969275764902</v>
      </c>
      <c r="Z40" s="21">
        <v>729</v>
      </c>
      <c r="AA40" s="19">
        <f t="shared" si="1"/>
        <v>6.5916737320086582</v>
      </c>
      <c r="AB40" s="2">
        <v>16.7</v>
      </c>
      <c r="AC40" s="20">
        <v>8295.84</v>
      </c>
      <c r="AD40" s="19">
        <f t="shared" si="2"/>
        <v>9.023509463320293</v>
      </c>
      <c r="AE40" s="4">
        <v>51.825099999999999</v>
      </c>
      <c r="AF40" s="1">
        <v>4.8826599999999996</v>
      </c>
      <c r="AG40" s="242">
        <v>131.98099999999999</v>
      </c>
      <c r="AH40" s="242">
        <v>10.4</v>
      </c>
      <c r="AI40" s="245">
        <v>66.945999999999998</v>
      </c>
    </row>
    <row r="41" spans="1:35">
      <c r="A41" s="24">
        <v>4</v>
      </c>
      <c r="B41" s="28" t="s">
        <v>46</v>
      </c>
      <c r="C41" s="28" t="s">
        <v>45</v>
      </c>
      <c r="D41" s="23">
        <v>2016</v>
      </c>
      <c r="E41" s="239">
        <v>20.399999999999999</v>
      </c>
      <c r="F41">
        <v>40.425800000000002</v>
      </c>
      <c r="G41" s="17">
        <v>8500000000</v>
      </c>
      <c r="H41" s="242">
        <v>24916.6</v>
      </c>
      <c r="I41" s="4">
        <v>0.47</v>
      </c>
      <c r="J41" s="24">
        <v>16.966999000000001</v>
      </c>
      <c r="K41" s="26">
        <v>1.4369000000000001</v>
      </c>
      <c r="L41" s="24">
        <v>711</v>
      </c>
      <c r="M41">
        <v>16.299999</v>
      </c>
      <c r="N41" s="27">
        <v>87.8</v>
      </c>
      <c r="O41" s="26">
        <v>2.4</v>
      </c>
      <c r="P41" s="25">
        <v>6.6</v>
      </c>
      <c r="Q41">
        <v>0.3</v>
      </c>
      <c r="R41">
        <v>1.6</v>
      </c>
      <c r="S41" s="14">
        <v>6840</v>
      </c>
      <c r="T41" s="224">
        <v>0</v>
      </c>
      <c r="U41" s="25">
        <v>106</v>
      </c>
      <c r="V41" s="24">
        <v>8283.5663999999997</v>
      </c>
      <c r="W41" s="22">
        <v>33.6</v>
      </c>
      <c r="X41" s="20">
        <v>16.966999999999999</v>
      </c>
      <c r="Y41" s="19">
        <f t="shared" si="0"/>
        <v>2.8312702810608026</v>
      </c>
      <c r="Z41" s="21">
        <v>711</v>
      </c>
      <c r="AA41" s="19">
        <f t="shared" si="1"/>
        <v>6.5666724298032406</v>
      </c>
      <c r="AB41" s="2">
        <v>16.3</v>
      </c>
      <c r="AC41" s="20">
        <v>8283.57</v>
      </c>
      <c r="AD41" s="19">
        <f t="shared" si="2"/>
        <v>9.0220293138770806</v>
      </c>
      <c r="AE41" s="4">
        <v>51.2913</v>
      </c>
      <c r="AF41" s="1">
        <v>4.8969899999999997</v>
      </c>
      <c r="AG41" s="242">
        <v>133.887</v>
      </c>
      <c r="AH41" s="242">
        <v>10.3</v>
      </c>
      <c r="AI41" s="245">
        <v>66.881</v>
      </c>
    </row>
    <row r="42" spans="1:35">
      <c r="A42" s="24">
        <v>4</v>
      </c>
      <c r="B42" s="28" t="s">
        <v>46</v>
      </c>
      <c r="C42" s="28" t="s">
        <v>45</v>
      </c>
      <c r="D42" s="23">
        <v>2017</v>
      </c>
      <c r="E42" s="239">
        <v>20.9</v>
      </c>
      <c r="F42">
        <v>62.783099999999997</v>
      </c>
      <c r="G42" s="17">
        <v>14000000000</v>
      </c>
      <c r="H42" s="242">
        <v>26105.599999999999</v>
      </c>
      <c r="I42" s="4">
        <v>0.55000000000000004</v>
      </c>
      <c r="J42" s="24">
        <v>20.197001</v>
      </c>
      <c r="K42" s="26">
        <v>1.2815000000000001</v>
      </c>
      <c r="L42" s="24">
        <v>692</v>
      </c>
      <c r="M42">
        <v>16.5</v>
      </c>
      <c r="N42" s="27">
        <v>78.3</v>
      </c>
      <c r="O42" s="26">
        <v>2.4</v>
      </c>
      <c r="P42" s="25">
        <v>8.5</v>
      </c>
      <c r="Q42">
        <v>0.5</v>
      </c>
      <c r="R42">
        <v>1.6</v>
      </c>
      <c r="S42" s="14">
        <v>7449</v>
      </c>
      <c r="T42" s="224">
        <v>0</v>
      </c>
      <c r="U42" s="25">
        <v>110</v>
      </c>
      <c r="V42" s="24">
        <v>7971.4116000000004</v>
      </c>
      <c r="W42" s="22">
        <v>33.299999999999997</v>
      </c>
      <c r="X42" s="20">
        <v>20.196999999999999</v>
      </c>
      <c r="Y42" s="19">
        <f t="shared" si="0"/>
        <v>3.0055340785262512</v>
      </c>
      <c r="Z42" s="21">
        <v>692</v>
      </c>
      <c r="AA42" s="19">
        <f t="shared" si="1"/>
        <v>6.5395859556176692</v>
      </c>
      <c r="AB42" s="2">
        <v>16.5</v>
      </c>
      <c r="AC42" s="20">
        <v>7971.41</v>
      </c>
      <c r="AD42" s="19">
        <f t="shared" si="2"/>
        <v>8.9836166695622719</v>
      </c>
      <c r="AE42" s="4">
        <v>54.557200000000002</v>
      </c>
      <c r="AF42" s="1">
        <v>4.9107700000000003</v>
      </c>
      <c r="AG42" s="242">
        <v>135.744</v>
      </c>
      <c r="AH42" s="242">
        <v>10.9</v>
      </c>
      <c r="AI42" s="245">
        <v>66.835999999999999</v>
      </c>
    </row>
    <row r="43" spans="1:35">
      <c r="A43" s="24">
        <v>4</v>
      </c>
      <c r="B43" s="28" t="s">
        <v>46</v>
      </c>
      <c r="C43" s="28" t="s">
        <v>45</v>
      </c>
      <c r="D43" s="23">
        <v>2018</v>
      </c>
      <c r="E43" s="239">
        <v>21.2</v>
      </c>
      <c r="F43">
        <v>-4.3110200000000001</v>
      </c>
      <c r="G43" s="17">
        <v>-1100000000</v>
      </c>
      <c r="H43" s="242">
        <v>27406.5</v>
      </c>
      <c r="I43" s="4">
        <v>0.54</v>
      </c>
      <c r="J43" s="24">
        <v>19.367999999999999</v>
      </c>
      <c r="K43" s="26">
        <v>1.3594999999999999</v>
      </c>
      <c r="L43" s="24">
        <v>681</v>
      </c>
      <c r="M43">
        <v>16.799999</v>
      </c>
      <c r="N43" s="27">
        <v>90.6</v>
      </c>
      <c r="O43" s="26">
        <v>2.8</v>
      </c>
      <c r="P43" s="25">
        <v>29.4</v>
      </c>
      <c r="Q43">
        <v>0.4</v>
      </c>
      <c r="R43">
        <v>1.7</v>
      </c>
      <c r="S43" s="14">
        <v>8291</v>
      </c>
      <c r="T43" s="224">
        <v>0</v>
      </c>
      <c r="U43" s="25">
        <v>109</v>
      </c>
      <c r="V43" s="24">
        <v>7773.4263000000001</v>
      </c>
      <c r="W43" s="22">
        <v>34</v>
      </c>
      <c r="X43" s="20">
        <v>19.367999999999999</v>
      </c>
      <c r="Y43" s="19">
        <f t="shared" si="0"/>
        <v>2.9636222196357571</v>
      </c>
      <c r="Z43" s="21">
        <v>681</v>
      </c>
      <c r="AA43" s="19">
        <f t="shared" si="1"/>
        <v>6.523562306149512</v>
      </c>
      <c r="AB43" s="2">
        <v>16.8</v>
      </c>
      <c r="AC43" s="20">
        <v>7773.43</v>
      </c>
      <c r="AD43" s="19">
        <f t="shared" si="2"/>
        <v>8.9584667873965262</v>
      </c>
      <c r="AE43" s="4">
        <v>61.6098</v>
      </c>
      <c r="AF43" s="1">
        <v>4.9238099999999996</v>
      </c>
      <c r="AG43" s="242">
        <v>137.52600000000001</v>
      </c>
      <c r="AH43" s="242">
        <v>12</v>
      </c>
      <c r="AI43" s="245">
        <v>66.81</v>
      </c>
    </row>
    <row r="44" spans="1:35">
      <c r="A44" s="24">
        <v>4</v>
      </c>
      <c r="B44" s="28" t="s">
        <v>46</v>
      </c>
      <c r="C44" s="28" t="s">
        <v>45</v>
      </c>
      <c r="D44" s="23">
        <v>2019</v>
      </c>
      <c r="E44" s="239">
        <v>22</v>
      </c>
      <c r="F44">
        <v>201.685</v>
      </c>
      <c r="G44" s="17">
        <v>53000000000</v>
      </c>
      <c r="H44" s="242">
        <v>28625.8</v>
      </c>
      <c r="I44" s="4">
        <v>0.52</v>
      </c>
      <c r="J44" s="24">
        <v>20.504999000000002</v>
      </c>
      <c r="K44" s="26">
        <v>1.3320000000000001</v>
      </c>
      <c r="L44" s="24">
        <v>635</v>
      </c>
      <c r="M44">
        <v>16.899999999999999</v>
      </c>
      <c r="N44" s="27">
        <v>81.400000000000006</v>
      </c>
      <c r="O44" s="26">
        <v>3.2</v>
      </c>
      <c r="P44" s="25">
        <v>16.600000000000001</v>
      </c>
      <c r="Q44">
        <v>0.3</v>
      </c>
      <c r="R44">
        <v>1.8</v>
      </c>
      <c r="S44" s="14">
        <v>8664</v>
      </c>
      <c r="T44" s="224">
        <v>0</v>
      </c>
      <c r="U44" s="25">
        <v>110</v>
      </c>
      <c r="V44" s="24">
        <v>7575.4408999999996</v>
      </c>
      <c r="W44" s="22">
        <v>31.4</v>
      </c>
      <c r="X44" s="20">
        <v>20.504999999999999</v>
      </c>
      <c r="Y44" s="19">
        <f t="shared" si="0"/>
        <v>3.0206687588440224</v>
      </c>
      <c r="Z44" s="21">
        <v>635</v>
      </c>
      <c r="AA44" s="19">
        <f t="shared" si="1"/>
        <v>6.4536249988926917</v>
      </c>
      <c r="AB44" s="2">
        <v>16.899999999999999</v>
      </c>
      <c r="AC44" s="20"/>
      <c r="AD44" s="19" t="e">
        <f t="shared" si="2"/>
        <v>#NUM!</v>
      </c>
      <c r="AE44" s="4">
        <v>48.0214</v>
      </c>
      <c r="AF44" s="1">
        <v>4.9362700000000004</v>
      </c>
      <c r="AG44" s="242">
        <v>139.25</v>
      </c>
      <c r="AH44" s="242">
        <v>12</v>
      </c>
      <c r="AI44" s="245">
        <v>66.805000000000007</v>
      </c>
    </row>
    <row r="45" spans="1:35">
      <c r="A45" s="24">
        <v>4</v>
      </c>
      <c r="B45" s="28" t="s">
        <v>46</v>
      </c>
      <c r="C45" s="28" t="s">
        <v>45</v>
      </c>
      <c r="D45" s="23">
        <v>2020</v>
      </c>
      <c r="E45" s="239">
        <v>22.4</v>
      </c>
      <c r="F45">
        <v>-101.833</v>
      </c>
      <c r="G45" s="17">
        <v>-26000000000</v>
      </c>
      <c r="H45" s="242">
        <v>27391.599999999999</v>
      </c>
      <c r="I45" s="4">
        <v>0.5</v>
      </c>
      <c r="J45" s="24">
        <v>19.562999999999999</v>
      </c>
      <c r="K45" s="26">
        <v>1.3385</v>
      </c>
      <c r="L45" s="24">
        <v>619</v>
      </c>
      <c r="M45">
        <v>17</v>
      </c>
      <c r="N45" s="27">
        <v>90.9</v>
      </c>
      <c r="O45" s="26">
        <v>3.8</v>
      </c>
      <c r="P45" s="25">
        <v>9</v>
      </c>
      <c r="Q45">
        <v>0.2</v>
      </c>
      <c r="R45">
        <v>1.7</v>
      </c>
      <c r="S45" s="14">
        <v>8348</v>
      </c>
      <c r="T45" s="224">
        <v>0</v>
      </c>
      <c r="U45" s="25">
        <v>98</v>
      </c>
      <c r="V45" s="24">
        <v>7377.4556000000002</v>
      </c>
      <c r="W45" s="22">
        <v>32.4</v>
      </c>
      <c r="X45" s="20">
        <v>19.562999999999999</v>
      </c>
      <c r="Y45" s="19">
        <f t="shared" si="0"/>
        <v>2.973640027079175</v>
      </c>
      <c r="Z45" s="21">
        <v>619</v>
      </c>
      <c r="AA45" s="19">
        <f t="shared" si="1"/>
        <v>6.4281052726845962</v>
      </c>
      <c r="AB45" s="2">
        <v>17</v>
      </c>
      <c r="AC45" s="20"/>
      <c r="AD45" s="19" t="e">
        <f t="shared" si="2"/>
        <v>#NUM!</v>
      </c>
      <c r="AE45" s="4">
        <v>46.268700000000003</v>
      </c>
      <c r="AF45" s="1">
        <v>4.9482999999999997</v>
      </c>
      <c r="AG45" s="242">
        <v>140.93600000000001</v>
      </c>
      <c r="AH45" s="242">
        <v>15</v>
      </c>
      <c r="AI45" s="245">
        <v>66.820999999999998</v>
      </c>
    </row>
    <row r="46" spans="1:35">
      <c r="A46" s="24">
        <v>5</v>
      </c>
      <c r="B46" s="28" t="s">
        <v>44</v>
      </c>
      <c r="C46" s="28" t="s">
        <v>43</v>
      </c>
      <c r="D46" s="23">
        <v>2010</v>
      </c>
      <c r="E46" s="239">
        <v>21</v>
      </c>
      <c r="F46">
        <v>4.8150300000000001</v>
      </c>
      <c r="G46" s="17">
        <v>10000000000</v>
      </c>
      <c r="H46" s="242">
        <v>16665.900000000001</v>
      </c>
      <c r="I46" s="4">
        <v>0.45</v>
      </c>
      <c r="J46" s="24">
        <v>17.002001</v>
      </c>
      <c r="K46" s="26">
        <v>0.93799999999999994</v>
      </c>
      <c r="L46" s="24">
        <v>279</v>
      </c>
      <c r="M46">
        <v>15.8</v>
      </c>
      <c r="N46" s="27">
        <v>86.7</v>
      </c>
      <c r="O46" s="26">
        <v>5.3</v>
      </c>
      <c r="P46" s="25">
        <v>7435.2</v>
      </c>
      <c r="S46" s="14">
        <v>114395</v>
      </c>
      <c r="T46" s="224">
        <v>0.73</v>
      </c>
      <c r="U46" s="25">
        <v>100</v>
      </c>
      <c r="V46" s="24">
        <v>10601.975</v>
      </c>
      <c r="W46" s="22">
        <v>29.3</v>
      </c>
      <c r="X46" s="20">
        <v>17.001999999999999</v>
      </c>
      <c r="Y46" s="19">
        <f t="shared" si="0"/>
        <v>2.8333309841951673</v>
      </c>
      <c r="Z46" s="21">
        <v>279</v>
      </c>
      <c r="AA46" s="19">
        <f t="shared" si="1"/>
        <v>5.6312117818213654</v>
      </c>
      <c r="AB46" s="2">
        <v>15.8</v>
      </c>
      <c r="AC46" s="20">
        <v>10602</v>
      </c>
      <c r="AD46" s="19">
        <f t="shared" si="2"/>
        <v>9.2687979415477511</v>
      </c>
      <c r="AE46" s="4">
        <v>122.95099999999999</v>
      </c>
      <c r="AF46" s="1">
        <v>4.9099000000000004</v>
      </c>
      <c r="AG46" s="242">
        <v>135.626</v>
      </c>
      <c r="AH46" s="242">
        <v>10.9</v>
      </c>
      <c r="AI46" s="245">
        <v>73.254999999999995</v>
      </c>
    </row>
    <row r="47" spans="1:35">
      <c r="A47" s="24">
        <v>5</v>
      </c>
      <c r="B47" s="28" t="s">
        <v>44</v>
      </c>
      <c r="C47" s="28" t="s">
        <v>43</v>
      </c>
      <c r="D47" s="23">
        <v>2011</v>
      </c>
      <c r="E47" s="239">
        <v>22.5</v>
      </c>
      <c r="F47">
        <v>1.8099400000000001</v>
      </c>
      <c r="G47" s="17">
        <v>4200000000</v>
      </c>
      <c r="H47" s="242">
        <v>16926.3</v>
      </c>
      <c r="I47" s="4">
        <v>0.45</v>
      </c>
      <c r="J47" s="24">
        <v>17.271000000000001</v>
      </c>
      <c r="K47" s="26">
        <v>0.90429999999999999</v>
      </c>
      <c r="L47" s="24">
        <v>280</v>
      </c>
      <c r="M47">
        <v>16.899999999999999</v>
      </c>
      <c r="N47" s="27">
        <v>86.8</v>
      </c>
      <c r="O47" s="26">
        <v>5.4</v>
      </c>
      <c r="P47" s="25">
        <v>9869.4</v>
      </c>
      <c r="S47" s="14">
        <v>117602</v>
      </c>
      <c r="T47" s="224">
        <v>0.42</v>
      </c>
      <c r="U47" s="25">
        <v>101</v>
      </c>
      <c r="V47" s="24">
        <v>10130.85</v>
      </c>
      <c r="W47" s="22">
        <v>29.1</v>
      </c>
      <c r="X47" s="20">
        <v>17.271000000000001</v>
      </c>
      <c r="Y47" s="19">
        <f t="shared" si="0"/>
        <v>2.8490287943617822</v>
      </c>
      <c r="Z47" s="21">
        <v>280</v>
      </c>
      <c r="AA47" s="19">
        <f t="shared" si="1"/>
        <v>5.6347896031692493</v>
      </c>
      <c r="AB47" s="2">
        <v>16.899999999999999</v>
      </c>
      <c r="AC47" s="20">
        <v>10130.799999999999</v>
      </c>
      <c r="AD47" s="19">
        <f t="shared" si="2"/>
        <v>9.2233355674709934</v>
      </c>
      <c r="AE47" s="4">
        <v>136.13800000000001</v>
      </c>
      <c r="AF47" s="1">
        <v>4.9119700000000002</v>
      </c>
      <c r="AG47" s="242">
        <v>135.90700000000001</v>
      </c>
      <c r="AH47" s="242">
        <v>12.2</v>
      </c>
      <c r="AI47" s="245">
        <v>73.185000000000002</v>
      </c>
    </row>
    <row r="48" spans="1:35">
      <c r="A48" s="24">
        <v>5</v>
      </c>
      <c r="B48" s="28" t="s">
        <v>44</v>
      </c>
      <c r="C48" s="28" t="s">
        <v>43</v>
      </c>
      <c r="D48" s="23">
        <v>2012</v>
      </c>
      <c r="E48" s="239">
        <v>24.5</v>
      </c>
      <c r="F48">
        <v>4.4842399999999998</v>
      </c>
      <c r="G48" s="17">
        <v>9400000000</v>
      </c>
      <c r="H48" s="242">
        <v>16772.400000000001</v>
      </c>
      <c r="I48" s="4">
        <v>0.46</v>
      </c>
      <c r="J48" s="24">
        <v>14.981999999999999</v>
      </c>
      <c r="K48" s="26">
        <v>1.0089999999999999</v>
      </c>
      <c r="L48" s="24">
        <v>279</v>
      </c>
      <c r="M48">
        <v>23.200001</v>
      </c>
      <c r="N48" s="27">
        <v>80.599999999999994</v>
      </c>
      <c r="O48" s="26">
        <v>6.3</v>
      </c>
      <c r="P48" s="25">
        <v>9845.5</v>
      </c>
      <c r="Q48">
        <v>0.3</v>
      </c>
      <c r="R48">
        <v>1.4</v>
      </c>
      <c r="S48" s="14">
        <v>119217</v>
      </c>
      <c r="T48" s="224">
        <v>0.7</v>
      </c>
      <c r="U48" s="25">
        <v>95</v>
      </c>
      <c r="V48" s="24">
        <v>10059.413</v>
      </c>
      <c r="W48" s="22">
        <v>29.9</v>
      </c>
      <c r="X48" s="20">
        <v>14.981999999999999</v>
      </c>
      <c r="Y48" s="19">
        <f t="shared" si="0"/>
        <v>2.7068494805256913</v>
      </c>
      <c r="Z48" s="21">
        <v>279</v>
      </c>
      <c r="AA48" s="19">
        <f t="shared" si="1"/>
        <v>5.6312117818213654</v>
      </c>
      <c r="AB48" s="2">
        <v>23.2</v>
      </c>
      <c r="AC48" s="20">
        <v>10059.4</v>
      </c>
      <c r="AD48" s="19">
        <f t="shared" si="2"/>
        <v>9.21626279972795</v>
      </c>
      <c r="AE48" s="4">
        <v>141.875</v>
      </c>
      <c r="AF48" s="1">
        <v>4.9133699999999996</v>
      </c>
      <c r="AG48" s="242">
        <v>136.09700000000001</v>
      </c>
      <c r="AH48" s="242">
        <v>12.8</v>
      </c>
      <c r="AI48" s="245">
        <v>73.197000000000003</v>
      </c>
    </row>
    <row r="49" spans="1:35">
      <c r="A49" s="24">
        <v>5</v>
      </c>
      <c r="B49" s="28" t="s">
        <v>44</v>
      </c>
      <c r="C49" s="28" t="s">
        <v>43</v>
      </c>
      <c r="D49" s="23">
        <v>2013</v>
      </c>
      <c r="E49" s="239">
        <v>24</v>
      </c>
      <c r="F49">
        <v>3.4538700000000002</v>
      </c>
      <c r="G49" s="17">
        <v>7400000000</v>
      </c>
      <c r="H49" s="242">
        <v>16759.8</v>
      </c>
      <c r="I49" s="4">
        <v>0.48</v>
      </c>
      <c r="J49" s="24">
        <v>15.314</v>
      </c>
      <c r="K49" s="26">
        <v>1.0245</v>
      </c>
      <c r="L49" s="24">
        <v>289</v>
      </c>
      <c r="M49">
        <v>24.200001</v>
      </c>
      <c r="N49" s="27">
        <v>91.1</v>
      </c>
      <c r="O49" s="26">
        <v>6.7</v>
      </c>
      <c r="P49" s="25">
        <v>9709.4</v>
      </c>
      <c r="Q49">
        <v>0.3</v>
      </c>
      <c r="R49">
        <v>1.4</v>
      </c>
      <c r="S49" s="14">
        <v>116448</v>
      </c>
      <c r="T49" s="224">
        <v>0.67</v>
      </c>
      <c r="U49" s="25">
        <v>93</v>
      </c>
      <c r="V49" s="24">
        <v>10009.271000000001</v>
      </c>
      <c r="W49" s="22">
        <v>31.8</v>
      </c>
      <c r="X49" s="20">
        <v>15.314</v>
      </c>
      <c r="Y49" s="19">
        <f t="shared" si="0"/>
        <v>2.7287674426909319</v>
      </c>
      <c r="Z49" s="21">
        <v>289</v>
      </c>
      <c r="AA49" s="19">
        <f t="shared" si="1"/>
        <v>5.6664266881124323</v>
      </c>
      <c r="AB49" s="2">
        <v>24.2</v>
      </c>
      <c r="AC49" s="20">
        <v>10009.299999999999</v>
      </c>
      <c r="AD49" s="19">
        <f t="shared" si="2"/>
        <v>9.2112699397941142</v>
      </c>
      <c r="AE49" s="4">
        <v>143.89599999999999</v>
      </c>
      <c r="AF49" s="1">
        <v>4.9138299999999999</v>
      </c>
      <c r="AG49" s="242">
        <v>136.16</v>
      </c>
      <c r="AH49" s="242">
        <v>13.9</v>
      </c>
      <c r="AI49" s="245">
        <v>73.290000000000006</v>
      </c>
    </row>
    <row r="50" spans="1:35">
      <c r="A50" s="24">
        <v>5</v>
      </c>
      <c r="B50" s="28" t="s">
        <v>44</v>
      </c>
      <c r="C50" s="28" t="s">
        <v>43</v>
      </c>
      <c r="D50" s="23">
        <v>2014</v>
      </c>
      <c r="E50" s="239">
        <v>24</v>
      </c>
      <c r="F50">
        <v>3.8351000000000002</v>
      </c>
      <c r="G50" s="17">
        <v>8100000000</v>
      </c>
      <c r="H50" s="242">
        <v>17118</v>
      </c>
      <c r="I50" s="4">
        <v>0.47</v>
      </c>
      <c r="J50" s="24">
        <v>16.141000999999999</v>
      </c>
      <c r="K50" s="26">
        <v>1.0129999999999999</v>
      </c>
      <c r="L50" s="24">
        <v>297</v>
      </c>
      <c r="M50">
        <v>25.4</v>
      </c>
      <c r="N50" s="27">
        <v>85.5</v>
      </c>
      <c r="O50" s="26">
        <v>6.8</v>
      </c>
      <c r="P50" s="25">
        <v>11381.9</v>
      </c>
      <c r="Q50">
        <v>0.3</v>
      </c>
      <c r="R50">
        <v>1.4</v>
      </c>
      <c r="S50" s="14">
        <v>114863</v>
      </c>
      <c r="T50" s="224">
        <v>0.41</v>
      </c>
      <c r="U50" s="25">
        <v>94</v>
      </c>
      <c r="V50" s="24">
        <v>10178.439</v>
      </c>
      <c r="W50" s="22">
        <v>31.8</v>
      </c>
      <c r="X50" s="20">
        <v>16.140999999999998</v>
      </c>
      <c r="Y50" s="19">
        <f t="shared" si="0"/>
        <v>2.7813626187911424</v>
      </c>
      <c r="Z50" s="21">
        <v>297</v>
      </c>
      <c r="AA50" s="19">
        <f t="shared" si="1"/>
        <v>5.6937321388026998</v>
      </c>
      <c r="AB50" s="2">
        <v>25.4</v>
      </c>
      <c r="AC50" s="20">
        <v>10178.4</v>
      </c>
      <c r="AD50" s="19">
        <f t="shared" si="2"/>
        <v>9.2280231068284913</v>
      </c>
      <c r="AE50" s="4">
        <v>156.11199999999999</v>
      </c>
      <c r="AF50" s="1">
        <v>4.9148800000000001</v>
      </c>
      <c r="AG50" s="242">
        <v>136.303</v>
      </c>
      <c r="AH50" s="242">
        <v>14.8</v>
      </c>
      <c r="AI50" s="245">
        <v>73.384</v>
      </c>
    </row>
    <row r="51" spans="1:35">
      <c r="A51" s="24">
        <v>5</v>
      </c>
      <c r="B51" s="28" t="s">
        <v>44</v>
      </c>
      <c r="C51" s="28" t="s">
        <v>43</v>
      </c>
      <c r="D51" s="23">
        <v>2015</v>
      </c>
      <c r="E51" s="239">
        <v>25</v>
      </c>
      <c r="F51">
        <v>0.89891399999999999</v>
      </c>
      <c r="G51" s="17">
        <v>1700000000</v>
      </c>
      <c r="H51" s="242">
        <v>17931.599999999999</v>
      </c>
      <c r="I51" s="4">
        <v>0.48</v>
      </c>
      <c r="J51" s="24">
        <v>16.988001000000001</v>
      </c>
      <c r="K51" s="26">
        <v>1.02</v>
      </c>
      <c r="L51" s="24">
        <v>294</v>
      </c>
      <c r="M51">
        <v>29.700001</v>
      </c>
      <c r="N51" s="27">
        <v>82.5</v>
      </c>
      <c r="O51" s="26">
        <v>6.9</v>
      </c>
      <c r="P51" s="25">
        <v>11821.4</v>
      </c>
      <c r="Q51">
        <v>0.3</v>
      </c>
      <c r="R51">
        <v>1.4</v>
      </c>
      <c r="S51" s="14">
        <v>117124</v>
      </c>
      <c r="T51" s="224">
        <v>0.25</v>
      </c>
      <c r="U51" s="25">
        <v>98</v>
      </c>
      <c r="V51" s="24">
        <v>9968.3369000000002</v>
      </c>
      <c r="W51" s="22">
        <v>33</v>
      </c>
      <c r="X51" s="20">
        <v>16.988</v>
      </c>
      <c r="Y51" s="19">
        <f t="shared" si="0"/>
        <v>2.8325072124510249</v>
      </c>
      <c r="Z51" s="21">
        <v>294</v>
      </c>
      <c r="AA51" s="19">
        <f t="shared" si="1"/>
        <v>5.6835797673386814</v>
      </c>
      <c r="AB51" s="2">
        <v>29.7</v>
      </c>
      <c r="AC51" s="20">
        <v>9968.34</v>
      </c>
      <c r="AD51" s="19">
        <f t="shared" si="2"/>
        <v>9.2071693495948086</v>
      </c>
      <c r="AE51" s="4">
        <v>158.239</v>
      </c>
      <c r="AF51" s="1">
        <v>4.9169799999999997</v>
      </c>
      <c r="AG51" s="242">
        <v>136.589</v>
      </c>
      <c r="AH51" s="242">
        <v>14.8</v>
      </c>
      <c r="AI51" s="245">
        <v>73.477000000000004</v>
      </c>
    </row>
    <row r="52" spans="1:35">
      <c r="A52" s="24">
        <v>5</v>
      </c>
      <c r="B52" s="28" t="s">
        <v>44</v>
      </c>
      <c r="C52" s="28" t="s">
        <v>43</v>
      </c>
      <c r="D52" s="23">
        <v>2016</v>
      </c>
      <c r="E52" s="239">
        <v>23.9</v>
      </c>
      <c r="F52">
        <v>5.4756600000000004</v>
      </c>
      <c r="G52" s="17">
        <v>11000000000</v>
      </c>
      <c r="H52" s="242">
        <v>18359.099999999999</v>
      </c>
      <c r="I52" s="4">
        <v>0.47</v>
      </c>
      <c r="J52" s="24">
        <v>16.687999999999999</v>
      </c>
      <c r="K52" s="26">
        <v>1.0606</v>
      </c>
      <c r="L52" s="24">
        <v>306</v>
      </c>
      <c r="M52">
        <v>33.599997999999999</v>
      </c>
      <c r="N52" s="27">
        <v>90</v>
      </c>
      <c r="O52" s="26">
        <v>7.5</v>
      </c>
      <c r="P52" s="25">
        <v>11743.5</v>
      </c>
      <c r="Q52">
        <v>0.3</v>
      </c>
      <c r="R52">
        <v>1.4</v>
      </c>
      <c r="S52" s="14">
        <v>120738</v>
      </c>
      <c r="T52" s="224">
        <v>0.17</v>
      </c>
      <c r="U52" s="25">
        <v>102</v>
      </c>
      <c r="V52" s="24">
        <v>10018.364</v>
      </c>
      <c r="W52" s="22">
        <v>32.299999999999997</v>
      </c>
      <c r="X52" s="20">
        <v>16.687999999999999</v>
      </c>
      <c r="Y52" s="19">
        <f t="shared" si="0"/>
        <v>2.8146898982584165</v>
      </c>
      <c r="Z52" s="21">
        <v>306</v>
      </c>
      <c r="AA52" s="19">
        <f t="shared" si="1"/>
        <v>5.7235851019523807</v>
      </c>
      <c r="AB52" s="2">
        <v>33.6</v>
      </c>
      <c r="AC52" s="20">
        <v>10018.4</v>
      </c>
      <c r="AD52" s="19">
        <f t="shared" si="2"/>
        <v>9.2121786812498225</v>
      </c>
      <c r="AE52" s="4">
        <v>154.285</v>
      </c>
      <c r="AF52" s="1">
        <v>4.9188999999999998</v>
      </c>
      <c r="AG52" s="242">
        <v>136.852</v>
      </c>
      <c r="AH52" s="242">
        <v>14.8</v>
      </c>
      <c r="AI52" s="245">
        <v>73.569999999999993</v>
      </c>
    </row>
    <row r="53" spans="1:35">
      <c r="A53" s="24">
        <v>5</v>
      </c>
      <c r="B53" s="28" t="s">
        <v>44</v>
      </c>
      <c r="C53" s="28" t="s">
        <v>43</v>
      </c>
      <c r="D53" s="23">
        <v>2017</v>
      </c>
      <c r="E53" s="239">
        <v>24.7</v>
      </c>
      <c r="F53">
        <v>5.0706600000000002</v>
      </c>
      <c r="G53" s="17">
        <v>11000000000</v>
      </c>
      <c r="H53" s="242">
        <v>19257.7</v>
      </c>
      <c r="I53" s="4">
        <v>0.47</v>
      </c>
      <c r="J53" s="24">
        <v>17.850000000000001</v>
      </c>
      <c r="K53" s="26">
        <v>1.0991</v>
      </c>
      <c r="L53" s="24">
        <v>317</v>
      </c>
      <c r="M53">
        <v>32.099997999999999</v>
      </c>
      <c r="N53" s="27">
        <v>86.9</v>
      </c>
      <c r="O53" s="26">
        <v>9.1</v>
      </c>
      <c r="P53" s="25">
        <v>11740.6</v>
      </c>
      <c r="Q53">
        <v>0.4</v>
      </c>
      <c r="R53">
        <v>1.4</v>
      </c>
      <c r="S53" s="14">
        <v>120430</v>
      </c>
      <c r="T53" s="224">
        <v>0.6</v>
      </c>
      <c r="U53" s="25">
        <v>103</v>
      </c>
      <c r="V53" s="24">
        <v>9457.3232000000007</v>
      </c>
      <c r="W53" s="22">
        <v>32.9</v>
      </c>
      <c r="X53" s="20">
        <v>17.850000000000001</v>
      </c>
      <c r="Y53" s="19">
        <f t="shared" si="0"/>
        <v>2.8820035082256483</v>
      </c>
      <c r="Z53" s="21">
        <v>317</v>
      </c>
      <c r="AA53" s="19">
        <f t="shared" si="1"/>
        <v>5.7589017738772803</v>
      </c>
      <c r="AB53" s="2">
        <v>32.1</v>
      </c>
      <c r="AC53" s="20">
        <v>9457.32</v>
      </c>
      <c r="AD53" s="19">
        <f t="shared" si="2"/>
        <v>9.1545443238121855</v>
      </c>
      <c r="AE53" s="4">
        <v>155.934</v>
      </c>
      <c r="AF53" s="1">
        <v>4.9215600000000004</v>
      </c>
      <c r="AG53" s="242">
        <v>137.21600000000001</v>
      </c>
      <c r="AH53" s="242">
        <v>14.5</v>
      </c>
      <c r="AI53" s="245">
        <v>73.674999999999997</v>
      </c>
    </row>
    <row r="54" spans="1:35">
      <c r="A54" s="24">
        <v>5</v>
      </c>
      <c r="B54" s="28" t="s">
        <v>44</v>
      </c>
      <c r="C54" s="28" t="s">
        <v>43</v>
      </c>
      <c r="D54" s="23">
        <v>2018</v>
      </c>
      <c r="E54" s="239">
        <v>24.7</v>
      </c>
      <c r="F54">
        <v>3.3035399999999999</v>
      </c>
      <c r="G54" s="17">
        <v>8300000000</v>
      </c>
      <c r="H54" s="242">
        <v>19736.599999999999</v>
      </c>
      <c r="I54" s="4">
        <v>0.47</v>
      </c>
      <c r="J54" s="24">
        <v>17.829999999999998</v>
      </c>
      <c r="K54" s="26">
        <v>1.1122000000000001</v>
      </c>
      <c r="L54" s="24">
        <v>318</v>
      </c>
      <c r="M54">
        <v>32.200001</v>
      </c>
      <c r="N54" s="27">
        <v>84.7</v>
      </c>
      <c r="O54" s="26">
        <v>10.5</v>
      </c>
      <c r="P54" s="25">
        <v>12059.6</v>
      </c>
      <c r="Q54">
        <v>0.4</v>
      </c>
      <c r="R54">
        <v>1.4</v>
      </c>
      <c r="S54" s="14">
        <v>120905</v>
      </c>
      <c r="T54" s="224">
        <v>0.44</v>
      </c>
      <c r="U54" s="25">
        <v>104</v>
      </c>
      <c r="V54" s="24">
        <v>8455.7724999999991</v>
      </c>
      <c r="W54" s="22">
        <v>32.799999999999997</v>
      </c>
      <c r="X54" s="20">
        <v>17.829999999999998</v>
      </c>
      <c r="Y54" s="19">
        <f t="shared" si="0"/>
        <v>2.8808824318750488</v>
      </c>
      <c r="Z54" s="21">
        <v>318</v>
      </c>
      <c r="AA54" s="19">
        <f t="shared" si="1"/>
        <v>5.7620513827801769</v>
      </c>
      <c r="AB54" s="2">
        <v>32.200000000000003</v>
      </c>
      <c r="AC54" s="20">
        <v>8455.77</v>
      </c>
      <c r="AD54" s="19">
        <f t="shared" si="2"/>
        <v>9.0426043275585872</v>
      </c>
      <c r="AE54" s="4">
        <v>153.535</v>
      </c>
      <c r="AF54" s="1">
        <v>4.9249000000000001</v>
      </c>
      <c r="AG54" s="242">
        <v>137.67599999999999</v>
      </c>
      <c r="AH54" s="242">
        <v>14.7</v>
      </c>
      <c r="AI54" s="245">
        <v>73.792000000000002</v>
      </c>
    </row>
    <row r="55" spans="1:35">
      <c r="A55" s="24">
        <v>5</v>
      </c>
      <c r="B55" s="28" t="s">
        <v>44</v>
      </c>
      <c r="C55" s="28" t="s">
        <v>43</v>
      </c>
      <c r="D55" s="23">
        <v>2019</v>
      </c>
      <c r="E55" s="239">
        <v>25.3</v>
      </c>
      <c r="F55">
        <v>4.1870599999999998</v>
      </c>
      <c r="G55" s="17">
        <v>11000000000</v>
      </c>
      <c r="H55" s="242">
        <v>20360.099999999999</v>
      </c>
      <c r="I55" s="4">
        <v>0.33</v>
      </c>
      <c r="J55" s="24">
        <v>17.335999999999999</v>
      </c>
      <c r="K55" s="26">
        <v>1.1414</v>
      </c>
      <c r="L55" s="24">
        <v>320</v>
      </c>
      <c r="M55">
        <v>33.299999</v>
      </c>
      <c r="N55" s="27">
        <v>92.6</v>
      </c>
      <c r="O55" s="26">
        <v>10.6</v>
      </c>
      <c r="P55" s="25">
        <v>13898.1</v>
      </c>
      <c r="Q55">
        <v>0.4</v>
      </c>
      <c r="R55">
        <v>1.4</v>
      </c>
      <c r="S55" s="14">
        <v>125173</v>
      </c>
      <c r="T55" s="224">
        <v>0.89</v>
      </c>
      <c r="U55" s="25">
        <v>106</v>
      </c>
      <c r="V55" s="24">
        <v>7454.2217000000001</v>
      </c>
      <c r="W55" s="22">
        <v>32.700000000000003</v>
      </c>
      <c r="X55" s="20">
        <v>17.335999999999999</v>
      </c>
      <c r="Y55" s="19">
        <f t="shared" si="0"/>
        <v>2.8527852642340576</v>
      </c>
      <c r="Z55" s="21">
        <v>320</v>
      </c>
      <c r="AA55" s="19">
        <f t="shared" si="1"/>
        <v>5.768320995793772</v>
      </c>
      <c r="AB55" s="2">
        <v>33.299999999999997</v>
      </c>
      <c r="AC55" s="20"/>
      <c r="AD55" s="19" t="e">
        <f t="shared" si="2"/>
        <v>#NUM!</v>
      </c>
      <c r="AE55" s="4">
        <v>147.26499999999999</v>
      </c>
      <c r="AF55" s="1">
        <v>4.9288999999999996</v>
      </c>
      <c r="AG55" s="242">
        <v>138.227</v>
      </c>
      <c r="AH55" s="242">
        <v>15.9</v>
      </c>
      <c r="AI55" s="245">
        <v>73.921000000000006</v>
      </c>
    </row>
    <row r="56" spans="1:35">
      <c r="A56" s="24">
        <v>5</v>
      </c>
      <c r="B56" s="28" t="s">
        <v>44</v>
      </c>
      <c r="C56" s="28" t="s">
        <v>43</v>
      </c>
      <c r="D56" s="23">
        <v>2020</v>
      </c>
      <c r="E56" s="239">
        <v>25.7</v>
      </c>
      <c r="F56">
        <v>3.39114</v>
      </c>
      <c r="G56" s="17">
        <v>8500000000</v>
      </c>
      <c r="H56" s="242">
        <v>19233.099999999999</v>
      </c>
      <c r="I56" s="4">
        <v>0.32</v>
      </c>
      <c r="J56" s="24">
        <v>16.042000000000002</v>
      </c>
      <c r="K56" s="26">
        <v>1.1672</v>
      </c>
      <c r="L56" s="24">
        <v>308</v>
      </c>
      <c r="M56">
        <v>40.5</v>
      </c>
      <c r="N56" s="27">
        <v>88.8</v>
      </c>
      <c r="O56" s="26">
        <v>11.5</v>
      </c>
      <c r="P56" s="25">
        <v>13085</v>
      </c>
      <c r="Q56">
        <v>0.4</v>
      </c>
      <c r="R56">
        <v>1.5</v>
      </c>
      <c r="S56" s="14">
        <v>123938</v>
      </c>
      <c r="T56" s="224">
        <v>0.67</v>
      </c>
      <c r="U56" s="25">
        <v>103</v>
      </c>
      <c r="V56" s="24">
        <v>6452.6709000000001</v>
      </c>
      <c r="W56" s="22">
        <v>31.1</v>
      </c>
      <c r="X56" s="20">
        <v>16.042000000000002</v>
      </c>
      <c r="Y56" s="19">
        <f t="shared" si="0"/>
        <v>2.7752102829447329</v>
      </c>
      <c r="Z56" s="21">
        <v>308</v>
      </c>
      <c r="AA56" s="19">
        <f t="shared" si="1"/>
        <v>5.730099782973574</v>
      </c>
      <c r="AB56" s="2">
        <v>40.5</v>
      </c>
      <c r="AC56" s="20"/>
      <c r="AD56" s="19" t="e">
        <f t="shared" si="2"/>
        <v>#NUM!</v>
      </c>
      <c r="AE56" s="4">
        <v>144.56299999999999</v>
      </c>
      <c r="AF56" s="1">
        <v>4.9314200000000001</v>
      </c>
      <c r="AG56" s="242">
        <v>138.57599999999999</v>
      </c>
      <c r="AH56" s="242">
        <v>17</v>
      </c>
      <c r="AI56" s="245">
        <v>74.061000000000007</v>
      </c>
    </row>
    <row r="57" spans="1:35">
      <c r="A57" s="24">
        <v>6</v>
      </c>
      <c r="B57" s="28" t="s">
        <v>42</v>
      </c>
      <c r="C57" s="28" t="s">
        <v>41</v>
      </c>
      <c r="D57" s="23">
        <v>2010</v>
      </c>
      <c r="E57" s="239">
        <v>29</v>
      </c>
      <c r="F57">
        <v>2.4807899999999998</v>
      </c>
      <c r="G57" s="17">
        <v>86000000000</v>
      </c>
      <c r="H57" s="242">
        <v>38517.4</v>
      </c>
      <c r="I57" s="4">
        <v>0.74</v>
      </c>
      <c r="J57" s="24">
        <v>15.398999999999999</v>
      </c>
      <c r="K57" s="26">
        <v>2.2462</v>
      </c>
      <c r="L57" s="24">
        <v>642</v>
      </c>
      <c r="M57">
        <v>62.5</v>
      </c>
      <c r="N57" s="27">
        <v>82.8</v>
      </c>
      <c r="O57" s="26">
        <v>11.2</v>
      </c>
      <c r="P57" s="25">
        <v>7078.4</v>
      </c>
      <c r="S57" s="14">
        <v>583392</v>
      </c>
      <c r="T57" s="224">
        <v>1.1299999999999999</v>
      </c>
      <c r="U57" s="25">
        <v>100</v>
      </c>
      <c r="V57" s="24">
        <v>9782.7178000000004</v>
      </c>
      <c r="W57" s="22">
        <v>38</v>
      </c>
      <c r="X57" s="20">
        <v>15.398999999999999</v>
      </c>
      <c r="Y57" s="19">
        <f t="shared" si="0"/>
        <v>2.7343025722462757</v>
      </c>
      <c r="Z57" s="21">
        <v>642</v>
      </c>
      <c r="AA57" s="19">
        <f t="shared" si="1"/>
        <v>6.4645883036899612</v>
      </c>
      <c r="AB57" s="2">
        <v>62.5</v>
      </c>
      <c r="AC57" s="20">
        <v>9782.7199999999993</v>
      </c>
      <c r="AD57" s="19">
        <f t="shared" si="2"/>
        <v>9.188372842970459</v>
      </c>
      <c r="AE57" s="4">
        <v>66.713800000000006</v>
      </c>
      <c r="AF57" s="1">
        <v>5.45791</v>
      </c>
      <c r="AG57" s="242">
        <v>234.607</v>
      </c>
      <c r="AH57" s="242">
        <v>11.6</v>
      </c>
      <c r="AI57" s="245">
        <v>76.965999999999994</v>
      </c>
    </row>
    <row r="58" spans="1:35">
      <c r="A58" s="24">
        <v>6</v>
      </c>
      <c r="B58" s="28" t="s">
        <v>42</v>
      </c>
      <c r="C58" s="28" t="s">
        <v>41</v>
      </c>
      <c r="D58" s="23">
        <v>2011</v>
      </c>
      <c r="E58" s="239">
        <v>30</v>
      </c>
      <c r="F58">
        <v>2.5500600000000002</v>
      </c>
      <c r="G58" s="17">
        <v>98000000000</v>
      </c>
      <c r="H58" s="242">
        <v>40712.699999999997</v>
      </c>
      <c r="I58" s="4">
        <v>0.72</v>
      </c>
      <c r="J58" s="24">
        <v>0</v>
      </c>
      <c r="K58" s="26">
        <v>2.1867999999999999</v>
      </c>
      <c r="L58" s="24">
        <v>632</v>
      </c>
      <c r="M58">
        <v>63</v>
      </c>
      <c r="N58" s="27">
        <v>83.9</v>
      </c>
      <c r="O58" s="26">
        <v>10.6</v>
      </c>
      <c r="P58" s="25">
        <v>8983.4</v>
      </c>
      <c r="S58" s="14">
        <v>596629</v>
      </c>
      <c r="T58" s="224">
        <v>1.37</v>
      </c>
      <c r="U58" s="25">
        <v>102</v>
      </c>
      <c r="V58" s="24">
        <v>9873.4853999999996</v>
      </c>
      <c r="W58" s="22">
        <v>37.1</v>
      </c>
      <c r="X58" s="20">
        <v>0</v>
      </c>
      <c r="Y58" s="19" t="e">
        <f t="shared" si="0"/>
        <v>#NUM!</v>
      </c>
      <c r="Z58" s="21">
        <v>632</v>
      </c>
      <c r="AA58" s="19">
        <f t="shared" si="1"/>
        <v>6.4488893941468577</v>
      </c>
      <c r="AB58" s="2">
        <v>63</v>
      </c>
      <c r="AC58" s="20">
        <v>9873.49</v>
      </c>
      <c r="AD58" s="19">
        <f t="shared" si="2"/>
        <v>9.1976086666847792</v>
      </c>
      <c r="AE58" s="4">
        <v>71.345799999999997</v>
      </c>
      <c r="AF58" s="1">
        <v>5.4394</v>
      </c>
      <c r="AG58" s="242">
        <v>230.30500000000001</v>
      </c>
      <c r="AH58" s="242">
        <v>12.5</v>
      </c>
      <c r="AI58" s="245">
        <v>77.16</v>
      </c>
    </row>
    <row r="59" spans="1:35">
      <c r="A59" s="24">
        <v>6</v>
      </c>
      <c r="B59" s="28" t="s">
        <v>42</v>
      </c>
      <c r="C59" s="28" t="s">
        <v>41</v>
      </c>
      <c r="D59" s="23">
        <v>2012</v>
      </c>
      <c r="E59" s="239">
        <v>31.5</v>
      </c>
      <c r="F59">
        <v>1.8189299999999999</v>
      </c>
      <c r="G59" s="17">
        <v>65000000000</v>
      </c>
      <c r="H59" s="242">
        <v>40829</v>
      </c>
      <c r="I59" s="4">
        <v>0.74</v>
      </c>
      <c r="J59" s="24">
        <v>16.007000000000001</v>
      </c>
      <c r="K59" s="26">
        <v>2.2747999999999999</v>
      </c>
      <c r="L59" s="24">
        <v>640</v>
      </c>
      <c r="M59">
        <v>65.199996999999996</v>
      </c>
      <c r="N59" s="27">
        <v>83.5</v>
      </c>
      <c r="O59" s="26">
        <v>11</v>
      </c>
      <c r="P59" s="25">
        <v>10636.4</v>
      </c>
      <c r="Q59">
        <v>0.5</v>
      </c>
      <c r="R59">
        <v>1.7</v>
      </c>
      <c r="S59" s="14">
        <v>617452</v>
      </c>
      <c r="T59" s="224">
        <v>1.1399999999999999</v>
      </c>
      <c r="U59" s="25">
        <v>103</v>
      </c>
      <c r="V59" s="24">
        <v>9321.4696999999996</v>
      </c>
      <c r="W59" s="22">
        <v>36.799999999999997</v>
      </c>
      <c r="X59" s="20">
        <v>16.007000000000001</v>
      </c>
      <c r="Y59" s="19">
        <f t="shared" si="0"/>
        <v>2.7730261265645604</v>
      </c>
      <c r="Z59" s="21">
        <v>640</v>
      </c>
      <c r="AA59" s="19">
        <f t="shared" si="1"/>
        <v>6.4614681763537174</v>
      </c>
      <c r="AB59" s="2">
        <v>65.2</v>
      </c>
      <c r="AC59" s="20">
        <v>9321.4699999999993</v>
      </c>
      <c r="AD59" s="19">
        <f t="shared" si="2"/>
        <v>9.1400756205641951</v>
      </c>
      <c r="AE59" s="4">
        <v>71.040499999999994</v>
      </c>
      <c r="AF59" s="1">
        <v>5.4413400000000003</v>
      </c>
      <c r="AG59" s="242">
        <v>230.751</v>
      </c>
      <c r="AH59" s="242">
        <v>13.6</v>
      </c>
      <c r="AI59" s="245">
        <v>77.17</v>
      </c>
    </row>
    <row r="60" spans="1:35">
      <c r="A60" s="24">
        <v>6</v>
      </c>
      <c r="B60" s="28" t="s">
        <v>42</v>
      </c>
      <c r="C60" s="28" t="s">
        <v>41</v>
      </c>
      <c r="D60" s="23">
        <v>2013</v>
      </c>
      <c r="E60" s="239">
        <v>31.5</v>
      </c>
      <c r="F60">
        <v>1.7646599999999999</v>
      </c>
      <c r="G60" s="17">
        <v>67000000000</v>
      </c>
      <c r="H60" s="242">
        <v>40875</v>
      </c>
      <c r="I60" s="4">
        <v>0.72</v>
      </c>
      <c r="J60" s="24">
        <v>15.949</v>
      </c>
      <c r="K60" s="26">
        <v>2.2837000000000001</v>
      </c>
      <c r="L60" s="24">
        <v>601</v>
      </c>
      <c r="M60">
        <v>63.799999</v>
      </c>
      <c r="N60" s="27">
        <v>82.8</v>
      </c>
      <c r="O60" s="26">
        <v>11.1</v>
      </c>
      <c r="P60" s="25">
        <v>12487.7</v>
      </c>
      <c r="Q60">
        <v>0.4</v>
      </c>
      <c r="R60">
        <v>1.7</v>
      </c>
      <c r="S60" s="14">
        <v>611082</v>
      </c>
      <c r="T60" s="224">
        <v>1.07</v>
      </c>
      <c r="U60" s="25">
        <v>104</v>
      </c>
      <c r="V60" s="24">
        <v>9288.0547000000006</v>
      </c>
      <c r="W60" s="22">
        <v>37.9</v>
      </c>
      <c r="X60" s="20">
        <v>15.949</v>
      </c>
      <c r="Y60" s="19">
        <f t="shared" si="0"/>
        <v>2.769396131340617</v>
      </c>
      <c r="Z60" s="21">
        <v>601</v>
      </c>
      <c r="AA60" s="19">
        <f t="shared" si="1"/>
        <v>6.3985949345352076</v>
      </c>
      <c r="AB60" s="2">
        <v>63.8</v>
      </c>
      <c r="AC60" s="20">
        <v>9288.0499999999993</v>
      </c>
      <c r="AD60" s="19">
        <f t="shared" si="2"/>
        <v>9.1364839066535044</v>
      </c>
      <c r="AE60" s="4">
        <v>68.966399999999993</v>
      </c>
      <c r="AF60" s="1">
        <v>5.4430899999999998</v>
      </c>
      <c r="AG60" s="242">
        <v>231.15600000000001</v>
      </c>
      <c r="AH60" s="242">
        <v>13.6</v>
      </c>
      <c r="AI60" s="245">
        <v>77.180000000000007</v>
      </c>
    </row>
    <row r="61" spans="1:35">
      <c r="A61" s="24">
        <v>6</v>
      </c>
      <c r="B61" s="28" t="s">
        <v>42</v>
      </c>
      <c r="C61" s="28" t="s">
        <v>41</v>
      </c>
      <c r="D61" s="23">
        <v>2014</v>
      </c>
      <c r="E61" s="239">
        <v>30.5</v>
      </c>
      <c r="F61">
        <v>0.43765999999999999</v>
      </c>
      <c r="G61" s="17">
        <v>17000000000</v>
      </c>
      <c r="H61" s="242">
        <v>41588.1</v>
      </c>
      <c r="I61" s="4">
        <v>0.72</v>
      </c>
      <c r="J61" s="24">
        <v>16.059000000000001</v>
      </c>
      <c r="K61" s="26">
        <v>2.3123999999999998</v>
      </c>
      <c r="L61" s="24">
        <v>587</v>
      </c>
      <c r="M61">
        <v>65.599997999999999</v>
      </c>
      <c r="N61" s="27">
        <v>84.2</v>
      </c>
      <c r="O61" s="26">
        <v>11.2</v>
      </c>
      <c r="P61" s="25">
        <v>13520.5</v>
      </c>
      <c r="Q61">
        <v>0.5</v>
      </c>
      <c r="R61">
        <v>1.8</v>
      </c>
      <c r="S61" s="14">
        <v>657563</v>
      </c>
      <c r="T61" s="224">
        <v>1.1100000000000001</v>
      </c>
      <c r="U61" s="25">
        <v>107</v>
      </c>
      <c r="V61" s="24">
        <v>9087.3153999999995</v>
      </c>
      <c r="W61" s="22">
        <v>38</v>
      </c>
      <c r="X61" s="20">
        <v>16.059000000000001</v>
      </c>
      <c r="Y61" s="19">
        <f t="shared" si="0"/>
        <v>2.7762694400793539</v>
      </c>
      <c r="Z61" s="21">
        <v>587</v>
      </c>
      <c r="AA61" s="19">
        <f t="shared" si="1"/>
        <v>6.3750248198280968</v>
      </c>
      <c r="AB61" s="2">
        <v>65.599999999999994</v>
      </c>
      <c r="AC61" s="20">
        <v>9087.32</v>
      </c>
      <c r="AD61" s="19">
        <f t="shared" si="2"/>
        <v>9.1146353142178196</v>
      </c>
      <c r="AE61" s="4">
        <v>68.117599999999996</v>
      </c>
      <c r="AF61" s="1">
        <v>5.4471999999999996</v>
      </c>
      <c r="AG61" s="242">
        <v>232.108</v>
      </c>
      <c r="AH61" s="242">
        <v>14</v>
      </c>
      <c r="AI61" s="245">
        <v>77.19</v>
      </c>
    </row>
    <row r="62" spans="1:35">
      <c r="A62" s="24">
        <v>6</v>
      </c>
      <c r="B62" s="28" t="s">
        <v>42</v>
      </c>
      <c r="C62" s="28" t="s">
        <v>41</v>
      </c>
      <c r="D62" s="23">
        <v>2015</v>
      </c>
      <c r="E62" s="239">
        <v>31.7</v>
      </c>
      <c r="F62">
        <v>1.82321</v>
      </c>
      <c r="G62" s="17">
        <v>62000000000</v>
      </c>
      <c r="H62" s="242">
        <v>41911</v>
      </c>
      <c r="I62" s="4">
        <v>0.74</v>
      </c>
      <c r="J62" s="24">
        <v>15.316000000000001</v>
      </c>
      <c r="K62" s="26">
        <v>2.4224999999999999</v>
      </c>
      <c r="L62" s="24">
        <v>565</v>
      </c>
      <c r="M62">
        <v>66.699996999999996</v>
      </c>
      <c r="N62" s="27">
        <v>79.3</v>
      </c>
      <c r="O62" s="26">
        <v>11.6</v>
      </c>
      <c r="P62" s="25">
        <v>16300.1</v>
      </c>
      <c r="Q62">
        <v>0.5</v>
      </c>
      <c r="R62">
        <v>1.9</v>
      </c>
      <c r="S62" s="14">
        <v>651777</v>
      </c>
      <c r="T62" s="224">
        <v>1.1000000000000001</v>
      </c>
      <c r="U62" s="25">
        <v>107</v>
      </c>
      <c r="V62" s="24">
        <v>8939.5781000000006</v>
      </c>
      <c r="W62" s="22">
        <v>40</v>
      </c>
      <c r="X62" s="20">
        <v>15.316000000000001</v>
      </c>
      <c r="Y62" s="19">
        <f t="shared" si="0"/>
        <v>2.7288980336150481</v>
      </c>
      <c r="Z62" s="21">
        <v>565</v>
      </c>
      <c r="AA62" s="19">
        <f t="shared" si="1"/>
        <v>6.3368257311464413</v>
      </c>
      <c r="AB62" s="2">
        <v>66.7</v>
      </c>
      <c r="AC62" s="20">
        <v>8939.58</v>
      </c>
      <c r="AD62" s="19">
        <f t="shared" si="2"/>
        <v>9.0982438871981994</v>
      </c>
      <c r="AE62" s="4">
        <v>69.440399999999997</v>
      </c>
      <c r="AF62" s="1">
        <v>5.4559699999999998</v>
      </c>
      <c r="AG62" s="242">
        <v>234.15299999999999</v>
      </c>
      <c r="AH62" s="242">
        <v>14.6</v>
      </c>
      <c r="AI62" s="245">
        <v>77.2</v>
      </c>
    </row>
    <row r="63" spans="1:35">
      <c r="A63" s="24">
        <v>6</v>
      </c>
      <c r="B63" s="28" t="s">
        <v>42</v>
      </c>
      <c r="C63" s="28" t="s">
        <v>41</v>
      </c>
      <c r="D63" s="23">
        <v>2016</v>
      </c>
      <c r="E63" s="239">
        <v>30.7</v>
      </c>
      <c r="F63">
        <v>1.6432</v>
      </c>
      <c r="G63" s="17">
        <v>58000000000</v>
      </c>
      <c r="H63" s="242">
        <v>42528.1</v>
      </c>
      <c r="I63" s="4">
        <v>0.69</v>
      </c>
      <c r="J63" s="24">
        <v>15.664999999999999</v>
      </c>
      <c r="K63" s="26">
        <v>2.4466000000000001</v>
      </c>
      <c r="L63" s="24">
        <v>564</v>
      </c>
      <c r="M63">
        <v>67.099997999999999</v>
      </c>
      <c r="N63" s="27">
        <v>86.7</v>
      </c>
      <c r="O63" s="26">
        <v>11.8</v>
      </c>
      <c r="P63" s="25">
        <v>18016.7</v>
      </c>
      <c r="Q63">
        <v>0.5</v>
      </c>
      <c r="R63">
        <v>1.9</v>
      </c>
      <c r="S63" s="14">
        <v>677723</v>
      </c>
      <c r="T63" s="224">
        <v>1</v>
      </c>
      <c r="U63" s="25">
        <v>110</v>
      </c>
      <c r="V63" s="24">
        <v>8613.6347999999998</v>
      </c>
      <c r="W63" s="22">
        <v>40</v>
      </c>
      <c r="X63" s="20">
        <v>15.664999999999999</v>
      </c>
      <c r="Y63" s="19">
        <f t="shared" si="0"/>
        <v>2.7514289244041552</v>
      </c>
      <c r="Z63" s="21">
        <v>564</v>
      </c>
      <c r="AA63" s="19">
        <f t="shared" si="1"/>
        <v>6.3350542514980592</v>
      </c>
      <c r="AB63" s="2">
        <v>67.099999999999994</v>
      </c>
      <c r="AC63" s="20">
        <v>8613.6299999999992</v>
      </c>
      <c r="AD63" s="19">
        <f t="shared" si="2"/>
        <v>9.0611011113597488</v>
      </c>
      <c r="AE63" s="4">
        <v>67.547399999999996</v>
      </c>
      <c r="AF63" s="1">
        <v>5.4626099999999997</v>
      </c>
      <c r="AG63" s="242">
        <v>235.71299999999999</v>
      </c>
      <c r="AH63" s="242">
        <v>14.2</v>
      </c>
      <c r="AI63" s="245">
        <v>77.224000000000004</v>
      </c>
    </row>
    <row r="64" spans="1:35">
      <c r="A64" s="24">
        <v>6</v>
      </c>
      <c r="B64" s="28" t="s">
        <v>42</v>
      </c>
      <c r="C64" s="28" t="s">
        <v>41</v>
      </c>
      <c r="D64" s="23">
        <v>2017</v>
      </c>
      <c r="E64" s="239">
        <v>31.3</v>
      </c>
      <c r="F64">
        <v>2.8908800000000001</v>
      </c>
      <c r="G64" s="17">
        <v>110000000000</v>
      </c>
      <c r="H64" s="242">
        <v>43520.2</v>
      </c>
      <c r="I64" s="4">
        <v>0.68</v>
      </c>
      <c r="J64" s="24">
        <v>16.089001</v>
      </c>
      <c r="K64" s="26">
        <v>2.4775999999999998</v>
      </c>
      <c r="L64" s="24">
        <v>582</v>
      </c>
      <c r="M64">
        <v>67.199996999999996</v>
      </c>
      <c r="N64" s="27">
        <v>85.8</v>
      </c>
      <c r="O64" s="26">
        <v>11.6</v>
      </c>
      <c r="P64" s="25">
        <v>15734.1</v>
      </c>
      <c r="Q64">
        <v>0.9</v>
      </c>
      <c r="R64">
        <v>2.1</v>
      </c>
      <c r="S64" s="14">
        <v>700179</v>
      </c>
      <c r="T64" s="224">
        <v>0.86</v>
      </c>
      <c r="U64" s="25">
        <v>110</v>
      </c>
      <c r="V64" s="24">
        <v>7787.9727000000003</v>
      </c>
      <c r="W64" s="22">
        <v>39.1</v>
      </c>
      <c r="X64" s="20">
        <v>16.088999999999999</v>
      </c>
      <c r="Y64" s="19">
        <f t="shared" si="0"/>
        <v>2.7781358086688979</v>
      </c>
      <c r="Z64" s="21">
        <v>582</v>
      </c>
      <c r="AA64" s="19">
        <f t="shared" si="1"/>
        <v>6.3664704477314382</v>
      </c>
      <c r="AB64" s="2">
        <v>67.2</v>
      </c>
      <c r="AC64" s="20">
        <v>7787.97</v>
      </c>
      <c r="AD64" s="19">
        <f t="shared" si="2"/>
        <v>8.960335514404548</v>
      </c>
      <c r="AE64" s="4">
        <v>69.387</v>
      </c>
      <c r="AF64" s="1">
        <v>5.4663199999999996</v>
      </c>
      <c r="AG64" s="242">
        <v>236.589</v>
      </c>
      <c r="AH64" s="242">
        <v>15.2</v>
      </c>
      <c r="AI64" s="245">
        <v>77.260999999999996</v>
      </c>
    </row>
    <row r="65" spans="1:35">
      <c r="A65" s="24">
        <v>6</v>
      </c>
      <c r="B65" s="28" t="s">
        <v>42</v>
      </c>
      <c r="C65" s="28" t="s">
        <v>41</v>
      </c>
      <c r="D65" s="23">
        <v>2018</v>
      </c>
      <c r="E65" s="239">
        <v>31.5</v>
      </c>
      <c r="F65">
        <v>4.0042099999999996</v>
      </c>
      <c r="G65" s="17">
        <v>160000000000</v>
      </c>
      <c r="H65" s="242">
        <v>43874</v>
      </c>
      <c r="I65" s="4">
        <v>0.7</v>
      </c>
      <c r="J65" s="24">
        <v>16.209999</v>
      </c>
      <c r="K65" s="26">
        <v>2.5867</v>
      </c>
      <c r="L65" s="24">
        <v>589</v>
      </c>
      <c r="M65">
        <v>67.099997999999999</v>
      </c>
      <c r="N65" s="27">
        <v>85.6</v>
      </c>
      <c r="O65" s="26">
        <v>12</v>
      </c>
      <c r="P65" s="25">
        <v>18920.8</v>
      </c>
      <c r="Q65">
        <v>1</v>
      </c>
      <c r="R65">
        <v>2.2000000000000002</v>
      </c>
      <c r="S65" s="14">
        <v>744774</v>
      </c>
      <c r="T65" s="224">
        <v>1.02</v>
      </c>
      <c r="U65" s="25">
        <v>112</v>
      </c>
      <c r="V65" s="24">
        <v>6885.7271000000001</v>
      </c>
      <c r="W65" s="22">
        <v>40</v>
      </c>
      <c r="X65" s="20">
        <v>16.21</v>
      </c>
      <c r="Y65" s="19">
        <f t="shared" si="0"/>
        <v>2.7856283357475848</v>
      </c>
      <c r="Z65" s="21">
        <v>589</v>
      </c>
      <c r="AA65" s="19">
        <f t="shared" si="1"/>
        <v>6.3784261836515865</v>
      </c>
      <c r="AB65" s="2">
        <v>67.099999999999994</v>
      </c>
      <c r="AC65" s="20">
        <v>6885.73</v>
      </c>
      <c r="AD65" s="19">
        <f t="shared" si="2"/>
        <v>8.8372064331384497</v>
      </c>
      <c r="AE65" s="4">
        <v>70.209400000000002</v>
      </c>
      <c r="AF65" s="1">
        <v>5.4692999999999996</v>
      </c>
      <c r="AG65" s="242">
        <v>237.29400000000001</v>
      </c>
      <c r="AH65" s="242">
        <v>16</v>
      </c>
      <c r="AI65" s="245">
        <v>77.311999999999998</v>
      </c>
    </row>
    <row r="66" spans="1:35">
      <c r="A66" s="24">
        <v>6</v>
      </c>
      <c r="B66" s="28" t="s">
        <v>42</v>
      </c>
      <c r="C66" s="28" t="s">
        <v>41</v>
      </c>
      <c r="D66" s="23">
        <v>2019</v>
      </c>
      <c r="E66" s="239">
        <v>32.200000000000003</v>
      </c>
      <c r="F66">
        <v>1.90699</v>
      </c>
      <c r="G66" s="17">
        <v>75000000000</v>
      </c>
      <c r="H66" s="242">
        <v>44207.6</v>
      </c>
      <c r="I66" s="4">
        <v>0.67</v>
      </c>
      <c r="J66" s="24">
        <v>15.981999999999999</v>
      </c>
      <c r="K66" s="26">
        <v>2.7054999999999998</v>
      </c>
      <c r="L66" s="24">
        <v>592</v>
      </c>
      <c r="M66">
        <v>66.699996999999996</v>
      </c>
      <c r="N66" s="27">
        <v>85.4</v>
      </c>
      <c r="O66" s="26">
        <v>12.4</v>
      </c>
      <c r="P66" s="25">
        <v>17948.900000000001</v>
      </c>
      <c r="Q66">
        <v>0.8</v>
      </c>
      <c r="R66">
        <v>2.2999999999999998</v>
      </c>
      <c r="S66" s="14">
        <v>739622</v>
      </c>
      <c r="T66" s="224">
        <v>1.25</v>
      </c>
      <c r="U66" s="25">
        <v>113</v>
      </c>
      <c r="V66" s="24">
        <v>15576.141</v>
      </c>
      <c r="W66" s="22">
        <v>41.4</v>
      </c>
      <c r="X66" s="20">
        <v>15.981999999999999</v>
      </c>
      <c r="Y66" s="19">
        <f t="shared" ref="Y66:Y129" si="3">LN(X66)</f>
        <v>2.7714630889522711</v>
      </c>
      <c r="Z66" s="21">
        <v>592</v>
      </c>
      <c r="AA66" s="19">
        <f t="shared" ref="AA66:AA129" si="4">LN(Z66)</f>
        <v>6.3835066348840055</v>
      </c>
      <c r="AB66" s="2">
        <v>66.7</v>
      </c>
      <c r="AC66" s="20">
        <v>15576.1</v>
      </c>
      <c r="AD66" s="19">
        <f t="shared" ref="AD66:AD129" si="5">LN(AC66)</f>
        <v>9.653492967164965</v>
      </c>
      <c r="AE66" s="4">
        <v>68.820999999999998</v>
      </c>
      <c r="AF66" s="1">
        <v>5.4715299999999996</v>
      </c>
      <c r="AG66" s="242">
        <v>237.82300000000001</v>
      </c>
      <c r="AH66" s="242">
        <v>17.100000000000001</v>
      </c>
      <c r="AI66" s="245">
        <v>77.376000000000005</v>
      </c>
    </row>
    <row r="67" spans="1:35">
      <c r="A67" s="24">
        <v>6</v>
      </c>
      <c r="B67" s="28" t="s">
        <v>42</v>
      </c>
      <c r="C67" s="28" t="s">
        <v>41</v>
      </c>
      <c r="D67" s="23">
        <v>2020</v>
      </c>
      <c r="E67" s="239">
        <v>32.799999999999997</v>
      </c>
      <c r="F67">
        <v>4.4866700000000002</v>
      </c>
      <c r="G67" s="17">
        <v>180000000000</v>
      </c>
      <c r="H67" s="242">
        <v>42362.6</v>
      </c>
      <c r="I67" s="4">
        <v>0.71</v>
      </c>
      <c r="J67" s="24">
        <v>15.271000000000001</v>
      </c>
      <c r="K67" s="26">
        <v>2.6840000000000002</v>
      </c>
      <c r="L67" s="24">
        <v>602</v>
      </c>
      <c r="M67">
        <v>70.300003000000004</v>
      </c>
      <c r="N67" s="27">
        <v>86.7</v>
      </c>
      <c r="O67" s="26">
        <v>12.8</v>
      </c>
      <c r="P67" s="25">
        <v>20307.7</v>
      </c>
      <c r="Q67">
        <v>0.9</v>
      </c>
      <c r="R67">
        <v>2.2999999999999998</v>
      </c>
      <c r="S67" s="14">
        <v>764770</v>
      </c>
      <c r="T67" s="224">
        <v>0.55000000000000004</v>
      </c>
      <c r="U67" s="25">
        <v>111</v>
      </c>
      <c r="V67" s="24">
        <v>15617.64</v>
      </c>
      <c r="W67" s="22">
        <v>39.700000000000003</v>
      </c>
      <c r="X67" s="20">
        <v>15.271000000000001</v>
      </c>
      <c r="Y67" s="19">
        <f t="shared" si="3"/>
        <v>2.7259556049710447</v>
      </c>
      <c r="Z67" s="21">
        <v>602</v>
      </c>
      <c r="AA67" s="19">
        <f t="shared" si="4"/>
        <v>6.4002574453088208</v>
      </c>
      <c r="AB67" s="2">
        <v>70.3</v>
      </c>
      <c r="AC67" s="20">
        <v>15617.6</v>
      </c>
      <c r="AD67" s="19">
        <f t="shared" si="5"/>
        <v>9.6561537624207006</v>
      </c>
      <c r="AE67" s="4">
        <v>64.828000000000003</v>
      </c>
      <c r="AF67" s="1">
        <v>5.47234</v>
      </c>
      <c r="AG67" s="242">
        <v>238.017</v>
      </c>
      <c r="AH67" s="242">
        <v>18.5</v>
      </c>
      <c r="AI67" s="245">
        <v>77.453000000000003</v>
      </c>
    </row>
    <row r="68" spans="1:35">
      <c r="A68" s="24">
        <v>7</v>
      </c>
      <c r="B68" s="28" t="s">
        <v>40</v>
      </c>
      <c r="C68" s="28" t="s">
        <v>39</v>
      </c>
      <c r="D68" s="23">
        <v>2010</v>
      </c>
      <c r="E68" s="239">
        <v>29.5</v>
      </c>
      <c r="F68">
        <v>-3.6507000000000001</v>
      </c>
      <c r="G68" s="17">
        <v>-12000000000</v>
      </c>
      <c r="H68" s="242">
        <v>51209.4</v>
      </c>
      <c r="I68" s="4">
        <v>0.74</v>
      </c>
      <c r="J68" s="24">
        <v>18.150998999999999</v>
      </c>
      <c r="K68" s="26">
        <v>2.1768999999999998</v>
      </c>
      <c r="L68" s="24">
        <v>651</v>
      </c>
      <c r="M68">
        <v>42.300002999999997</v>
      </c>
      <c r="N68" s="27">
        <v>83.5</v>
      </c>
      <c r="O68" s="26">
        <v>8</v>
      </c>
      <c r="P68" s="25">
        <v>2061.6</v>
      </c>
      <c r="S68" s="14">
        <v>33681</v>
      </c>
      <c r="T68" s="224">
        <v>0.06</v>
      </c>
      <c r="U68" s="25">
        <v>100</v>
      </c>
      <c r="V68" s="24">
        <v>15406.038</v>
      </c>
      <c r="W68" s="22">
        <v>35.200000000000003</v>
      </c>
      <c r="X68" s="20">
        <v>18.151</v>
      </c>
      <c r="Y68" s="19">
        <f t="shared" si="3"/>
        <v>2.8987256556118406</v>
      </c>
      <c r="Z68" s="21">
        <v>651</v>
      </c>
      <c r="AA68" s="19">
        <f t="shared" si="4"/>
        <v>6.4785096422085688</v>
      </c>
      <c r="AC68" s="20">
        <v>15406</v>
      </c>
      <c r="AD68" s="19">
        <f t="shared" si="5"/>
        <v>9.6425123229129106</v>
      </c>
      <c r="AE68" s="4">
        <v>55.683100000000003</v>
      </c>
      <c r="AF68" s="1">
        <v>4.9322600000000003</v>
      </c>
      <c r="AG68" s="242">
        <v>138.69200000000001</v>
      </c>
      <c r="AH68" s="242">
        <v>21.2</v>
      </c>
      <c r="AI68" s="245">
        <v>86.795000000000002</v>
      </c>
    </row>
    <row r="69" spans="1:35">
      <c r="A69" s="24">
        <v>7</v>
      </c>
      <c r="B69" s="28" t="s">
        <v>40</v>
      </c>
      <c r="C69" s="28" t="s">
        <v>39</v>
      </c>
      <c r="D69" s="23">
        <v>2011</v>
      </c>
      <c r="E69" s="239">
        <v>30.5</v>
      </c>
      <c r="F69">
        <v>3.9379300000000002</v>
      </c>
      <c r="G69" s="17">
        <v>14000000000</v>
      </c>
      <c r="H69" s="242">
        <v>51667.5</v>
      </c>
      <c r="I69" s="4">
        <v>0.69</v>
      </c>
      <c r="J69" s="24">
        <v>21.297001000000002</v>
      </c>
      <c r="K69" s="26">
        <v>1.9789000000000001</v>
      </c>
      <c r="L69" s="24">
        <v>606</v>
      </c>
      <c r="M69">
        <v>42.400002000000001</v>
      </c>
      <c r="N69" s="27">
        <v>92</v>
      </c>
      <c r="O69" s="26">
        <v>7</v>
      </c>
      <c r="P69" s="25">
        <v>2654.5</v>
      </c>
      <c r="S69" s="14">
        <v>34410</v>
      </c>
      <c r="T69" s="224">
        <v>0.9</v>
      </c>
      <c r="U69" s="25">
        <v>102</v>
      </c>
      <c r="V69" s="24">
        <v>15012.806</v>
      </c>
      <c r="W69" s="22">
        <v>36</v>
      </c>
      <c r="X69" s="20">
        <v>21.297000000000001</v>
      </c>
      <c r="Y69" s="19">
        <f t="shared" si="3"/>
        <v>3.0585662177253585</v>
      </c>
      <c r="Z69" s="21">
        <v>606</v>
      </c>
      <c r="AA69" s="19">
        <f t="shared" si="4"/>
        <v>6.4068799860693142</v>
      </c>
      <c r="AB69" s="2">
        <v>42.4</v>
      </c>
      <c r="AC69" s="20">
        <v>15012.8</v>
      </c>
      <c r="AD69" s="19">
        <f t="shared" si="5"/>
        <v>9.6166584495357856</v>
      </c>
      <c r="AE69" s="4">
        <v>60.272300000000001</v>
      </c>
      <c r="AF69" s="1">
        <v>4.9363700000000001</v>
      </c>
      <c r="AG69" s="242">
        <v>139.26400000000001</v>
      </c>
      <c r="AH69" s="242">
        <v>23.8</v>
      </c>
      <c r="AI69" s="245">
        <v>86.956999999999994</v>
      </c>
    </row>
    <row r="70" spans="1:35">
      <c r="A70" s="24">
        <v>7</v>
      </c>
      <c r="B70" s="28" t="s">
        <v>40</v>
      </c>
      <c r="C70" s="28" t="s">
        <v>39</v>
      </c>
      <c r="D70" s="23">
        <v>2012</v>
      </c>
      <c r="E70" s="239">
        <v>32</v>
      </c>
      <c r="F70">
        <v>-5.00312</v>
      </c>
      <c r="G70" s="17">
        <v>-16000000000</v>
      </c>
      <c r="H70" s="242">
        <v>51470.7</v>
      </c>
      <c r="I70" s="4">
        <v>0.72</v>
      </c>
      <c r="J70" s="24">
        <v>22.580998999999998</v>
      </c>
      <c r="K70" s="26">
        <v>1.9710000000000001</v>
      </c>
      <c r="L70" s="24">
        <v>664</v>
      </c>
      <c r="M70">
        <v>42.5</v>
      </c>
      <c r="N70" s="27">
        <v>84.4</v>
      </c>
      <c r="O70" s="26">
        <v>6.4</v>
      </c>
      <c r="P70" s="25">
        <v>2399.6999999999998</v>
      </c>
      <c r="Q70">
        <v>0.9</v>
      </c>
      <c r="R70">
        <v>1.7</v>
      </c>
      <c r="S70" s="14">
        <v>33009</v>
      </c>
      <c r="T70" s="224">
        <v>0.77</v>
      </c>
      <c r="U70" s="25">
        <v>106</v>
      </c>
      <c r="V70" s="24">
        <v>14013.514999999999</v>
      </c>
      <c r="W70" s="22">
        <v>34.799999999999997</v>
      </c>
      <c r="X70" s="20">
        <v>22.581</v>
      </c>
      <c r="Y70" s="19">
        <f t="shared" si="3"/>
        <v>3.1171088447205046</v>
      </c>
      <c r="Z70" s="21">
        <v>664</v>
      </c>
      <c r="AA70" s="19">
        <f t="shared" si="4"/>
        <v>6.4982821494764336</v>
      </c>
      <c r="AB70" s="2">
        <v>42.5</v>
      </c>
      <c r="AC70" s="20">
        <v>14013.5</v>
      </c>
      <c r="AD70" s="19">
        <f t="shared" si="5"/>
        <v>9.5477764296868752</v>
      </c>
      <c r="AE70" s="4">
        <v>60.403500000000001</v>
      </c>
      <c r="AF70" s="1">
        <v>4.9401400000000004</v>
      </c>
      <c r="AG70" s="242">
        <v>139.78899999999999</v>
      </c>
      <c r="AH70" s="242">
        <v>26.9</v>
      </c>
      <c r="AI70" s="245">
        <v>87.141999999999996</v>
      </c>
    </row>
    <row r="71" spans="1:35">
      <c r="A71" s="24">
        <v>7</v>
      </c>
      <c r="B71" s="28" t="s">
        <v>40</v>
      </c>
      <c r="C71" s="28" t="s">
        <v>39</v>
      </c>
      <c r="D71" s="23">
        <v>2013</v>
      </c>
      <c r="E71" s="239">
        <v>32</v>
      </c>
      <c r="F71">
        <v>0.197411</v>
      </c>
      <c r="G71" s="17">
        <v>680000000</v>
      </c>
      <c r="H71" s="242">
        <v>51970.400000000001</v>
      </c>
      <c r="I71" s="4">
        <v>0.72</v>
      </c>
      <c r="J71" s="24">
        <v>21.364999999999998</v>
      </c>
      <c r="K71" s="26">
        <v>2.1162000000000001</v>
      </c>
      <c r="L71" s="24">
        <v>657</v>
      </c>
      <c r="M71">
        <v>43.299999</v>
      </c>
      <c r="N71" s="27">
        <v>82.6</v>
      </c>
      <c r="O71" s="26">
        <v>7.7</v>
      </c>
      <c r="P71" s="25">
        <v>1812.9</v>
      </c>
      <c r="Q71">
        <v>0.8</v>
      </c>
      <c r="R71">
        <v>1.7</v>
      </c>
      <c r="S71" s="14">
        <v>32705</v>
      </c>
      <c r="T71" s="224">
        <v>1.24</v>
      </c>
      <c r="U71" s="25">
        <v>104</v>
      </c>
      <c r="V71" s="24">
        <v>14513.152</v>
      </c>
      <c r="W71" s="22">
        <v>38.799999999999997</v>
      </c>
      <c r="X71" s="20">
        <v>21.364999999999998</v>
      </c>
      <c r="Y71" s="19">
        <f t="shared" si="3"/>
        <v>3.0617540690959881</v>
      </c>
      <c r="Z71" s="21">
        <v>657</v>
      </c>
      <c r="AA71" s="19">
        <f t="shared" si="4"/>
        <v>6.4876840184846101</v>
      </c>
      <c r="AB71" s="2">
        <v>43.3</v>
      </c>
      <c r="AC71" s="20">
        <v>14513.2</v>
      </c>
      <c r="AD71" s="19">
        <f t="shared" si="5"/>
        <v>9.5828138591237035</v>
      </c>
      <c r="AE71" s="4">
        <v>60.440600000000003</v>
      </c>
      <c r="AF71" s="1">
        <v>4.9443099999999998</v>
      </c>
      <c r="AG71" s="242">
        <v>140.37299999999999</v>
      </c>
      <c r="AH71" s="242">
        <v>27</v>
      </c>
      <c r="AI71" s="245">
        <v>87.292000000000002</v>
      </c>
    </row>
    <row r="72" spans="1:35">
      <c r="A72" s="24">
        <v>7</v>
      </c>
      <c r="B72" s="28" t="s">
        <v>40</v>
      </c>
      <c r="C72" s="28" t="s">
        <v>39</v>
      </c>
      <c r="D72" s="23">
        <v>2014</v>
      </c>
      <c r="E72" s="239">
        <v>31.3</v>
      </c>
      <c r="F72">
        <v>1.86416</v>
      </c>
      <c r="G72" s="17">
        <v>6600000000</v>
      </c>
      <c r="H72" s="242">
        <v>52368.4</v>
      </c>
      <c r="I72" s="4">
        <v>0.7</v>
      </c>
      <c r="J72" s="24">
        <v>21.128</v>
      </c>
      <c r="K72" s="26">
        <v>2.1328999999999998</v>
      </c>
      <c r="L72" s="24">
        <v>664</v>
      </c>
      <c r="M72">
        <v>45.400002000000001</v>
      </c>
      <c r="N72" s="27">
        <v>83</v>
      </c>
      <c r="O72" s="26">
        <v>9</v>
      </c>
      <c r="P72" s="25">
        <v>2575.6999999999998</v>
      </c>
      <c r="Q72">
        <v>1</v>
      </c>
      <c r="R72">
        <v>1.7</v>
      </c>
      <c r="S72" s="14">
        <v>33351</v>
      </c>
      <c r="T72" s="224">
        <v>1.78</v>
      </c>
      <c r="U72" s="25">
        <v>111</v>
      </c>
      <c r="V72" s="24">
        <v>15344.65</v>
      </c>
      <c r="W72" s="22">
        <v>37.1</v>
      </c>
      <c r="X72" s="20">
        <v>21.128</v>
      </c>
      <c r="Y72" s="19">
        <f t="shared" si="3"/>
        <v>3.0505991749948311</v>
      </c>
      <c r="Z72" s="21">
        <v>664</v>
      </c>
      <c r="AA72" s="19">
        <f t="shared" si="4"/>
        <v>6.4982821494764336</v>
      </c>
      <c r="AB72" s="2">
        <v>45.4</v>
      </c>
      <c r="AC72" s="20">
        <v>15344.7</v>
      </c>
      <c r="AD72" s="19">
        <f t="shared" si="5"/>
        <v>9.6385254165205954</v>
      </c>
      <c r="AE72" s="4">
        <v>59.8202</v>
      </c>
      <c r="AF72" s="1">
        <v>4.9493799999999997</v>
      </c>
      <c r="AG72" s="242">
        <v>141.08699999999999</v>
      </c>
      <c r="AH72" s="242">
        <v>30.2</v>
      </c>
      <c r="AI72" s="245">
        <v>87.41</v>
      </c>
    </row>
    <row r="73" spans="1:35">
      <c r="A73" s="24">
        <v>7</v>
      </c>
      <c r="B73" s="28" t="s">
        <v>40</v>
      </c>
      <c r="C73" s="28" t="s">
        <v>39</v>
      </c>
      <c r="D73" s="23">
        <v>2015</v>
      </c>
      <c r="E73" s="239">
        <v>32.1</v>
      </c>
      <c r="F73">
        <v>0.61075100000000004</v>
      </c>
      <c r="G73" s="17">
        <v>1800000000</v>
      </c>
      <c r="H73" s="242">
        <v>53094</v>
      </c>
      <c r="I73" s="4">
        <v>0.7</v>
      </c>
      <c r="J73" s="24">
        <v>23.101998999999999</v>
      </c>
      <c r="K73" s="26">
        <v>2.0924</v>
      </c>
      <c r="L73" s="24">
        <v>671</v>
      </c>
      <c r="M73">
        <v>47.400002000000001</v>
      </c>
      <c r="N73" s="27">
        <v>84.2</v>
      </c>
      <c r="O73" s="26">
        <v>8.3000000000000007</v>
      </c>
      <c r="P73" s="25">
        <v>2832.1</v>
      </c>
      <c r="Q73">
        <v>1</v>
      </c>
      <c r="R73">
        <v>1.8</v>
      </c>
      <c r="S73" s="14">
        <v>32930</v>
      </c>
      <c r="T73" s="224">
        <v>1.01</v>
      </c>
      <c r="U73" s="25">
        <v>115</v>
      </c>
      <c r="V73" s="24">
        <v>15101.9</v>
      </c>
      <c r="W73" s="22">
        <v>35.9</v>
      </c>
      <c r="X73" s="20">
        <v>23.102</v>
      </c>
      <c r="Y73" s="19">
        <f t="shared" si="3"/>
        <v>3.1399191938664885</v>
      </c>
      <c r="Z73" s="21">
        <v>671</v>
      </c>
      <c r="AA73" s="19">
        <f t="shared" si="4"/>
        <v>6.508769136971682</v>
      </c>
      <c r="AB73" s="2">
        <v>47.4</v>
      </c>
      <c r="AC73" s="20">
        <v>15101.9</v>
      </c>
      <c r="AD73" s="19">
        <f t="shared" si="5"/>
        <v>9.622575842701929</v>
      </c>
      <c r="AE73" s="4">
        <v>60.008200000000002</v>
      </c>
      <c r="AF73" s="1">
        <v>4.9564399999999997</v>
      </c>
      <c r="AG73" s="242">
        <v>142.08699999999999</v>
      </c>
      <c r="AH73" s="242">
        <v>32.5</v>
      </c>
      <c r="AI73" s="245">
        <v>87.525999999999996</v>
      </c>
    </row>
    <row r="74" spans="1:35">
      <c r="A74" s="24">
        <v>7</v>
      </c>
      <c r="B74" s="28" t="s">
        <v>40</v>
      </c>
      <c r="C74" s="28" t="s">
        <v>39</v>
      </c>
      <c r="D74" s="23">
        <v>2016</v>
      </c>
      <c r="E74" s="239">
        <v>31</v>
      </c>
      <c r="F74">
        <v>2.4998300000000002</v>
      </c>
      <c r="G74" s="17">
        <v>7800000000</v>
      </c>
      <c r="H74" s="242">
        <v>54300.2</v>
      </c>
      <c r="I74" s="4">
        <v>0.67</v>
      </c>
      <c r="J74" s="24">
        <v>23.334999</v>
      </c>
      <c r="K74" s="26">
        <v>2.0947</v>
      </c>
      <c r="L74" s="24">
        <v>695</v>
      </c>
      <c r="M74">
        <v>48.299999</v>
      </c>
      <c r="N74" s="27">
        <v>86.4</v>
      </c>
      <c r="O74" s="26">
        <v>8</v>
      </c>
      <c r="P74" s="25">
        <v>3009</v>
      </c>
      <c r="Q74">
        <v>0.9</v>
      </c>
      <c r="R74">
        <v>1.8</v>
      </c>
      <c r="S74" s="14">
        <v>33435</v>
      </c>
      <c r="T74" s="224">
        <v>1.25</v>
      </c>
      <c r="U74" s="25">
        <v>118</v>
      </c>
      <c r="V74" s="24">
        <v>15143.965</v>
      </c>
      <c r="W74" s="22">
        <v>35.4</v>
      </c>
      <c r="X74" s="20">
        <v>23.335000000000001</v>
      </c>
      <c r="Y74" s="19">
        <f t="shared" si="3"/>
        <v>3.149954379401779</v>
      </c>
      <c r="Z74" s="21">
        <v>695</v>
      </c>
      <c r="AA74" s="19">
        <f t="shared" si="4"/>
        <v>6.543911845564792</v>
      </c>
      <c r="AB74" s="2">
        <v>48.3</v>
      </c>
      <c r="AC74" s="20">
        <v>15144</v>
      </c>
      <c r="AD74" s="19">
        <f t="shared" si="5"/>
        <v>9.6253596928891589</v>
      </c>
      <c r="AE74" s="4">
        <v>57.927500000000002</v>
      </c>
      <c r="AF74" s="1">
        <v>4.9642400000000002</v>
      </c>
      <c r="AG74" s="242">
        <v>143.19999999999999</v>
      </c>
      <c r="AH74" s="242">
        <v>32</v>
      </c>
      <c r="AI74" s="245">
        <v>87.641999999999996</v>
      </c>
    </row>
    <row r="75" spans="1:35">
      <c r="A75" s="24">
        <v>7</v>
      </c>
      <c r="B75" s="28" t="s">
        <v>40</v>
      </c>
      <c r="C75" s="28" t="s">
        <v>39</v>
      </c>
      <c r="D75" s="23">
        <v>2017</v>
      </c>
      <c r="E75" s="239">
        <v>31.7</v>
      </c>
      <c r="F75">
        <v>1.0878000000000001</v>
      </c>
      <c r="G75" s="17">
        <v>3600000000</v>
      </c>
      <c r="H75" s="242">
        <v>55601</v>
      </c>
      <c r="I75" s="4">
        <v>0.69</v>
      </c>
      <c r="J75" s="24">
        <v>22.867000999999998</v>
      </c>
      <c r="K75" s="26">
        <v>2.0831</v>
      </c>
      <c r="L75" s="24">
        <v>736</v>
      </c>
      <c r="M75">
        <v>47.599997999999999</v>
      </c>
      <c r="N75" s="27">
        <v>85.8</v>
      </c>
      <c r="O75" s="26">
        <v>7.9</v>
      </c>
      <c r="P75" s="25">
        <v>2274.4</v>
      </c>
      <c r="Q75">
        <v>1</v>
      </c>
      <c r="R75">
        <v>1.7</v>
      </c>
      <c r="S75" s="14">
        <v>34814</v>
      </c>
      <c r="T75" s="224">
        <v>1.1000000000000001</v>
      </c>
      <c r="U75" s="25">
        <v>118</v>
      </c>
      <c r="V75" s="24">
        <v>14518.353999999999</v>
      </c>
      <c r="W75" s="22">
        <v>36</v>
      </c>
      <c r="X75" s="20">
        <v>22.867000000000001</v>
      </c>
      <c r="Y75" s="19">
        <f t="shared" si="3"/>
        <v>3.1296948232169579</v>
      </c>
      <c r="Z75" s="21">
        <v>736</v>
      </c>
      <c r="AA75" s="19">
        <f t="shared" si="4"/>
        <v>6.6012301187288767</v>
      </c>
      <c r="AB75" s="2">
        <v>47.6</v>
      </c>
      <c r="AC75" s="20">
        <v>14518.4</v>
      </c>
      <c r="AD75" s="19">
        <f t="shared" si="5"/>
        <v>9.5831720894696453</v>
      </c>
      <c r="AE75" s="4">
        <v>58.9435</v>
      </c>
      <c r="AF75" s="1">
        <v>4.9706799999999998</v>
      </c>
      <c r="AG75" s="242">
        <v>144.124</v>
      </c>
      <c r="AH75" s="242">
        <v>35</v>
      </c>
      <c r="AI75" s="245">
        <v>87.757000000000005</v>
      </c>
    </row>
    <row r="76" spans="1:35">
      <c r="A76" s="24">
        <v>7</v>
      </c>
      <c r="B76" s="28" t="s">
        <v>40</v>
      </c>
      <c r="C76" s="28" t="s">
        <v>39</v>
      </c>
      <c r="D76" s="23">
        <v>2018</v>
      </c>
      <c r="E76" s="239">
        <v>31.4</v>
      </c>
      <c r="F76">
        <v>2.4666999999999999</v>
      </c>
      <c r="G76" s="17">
        <v>8800000000</v>
      </c>
      <c r="H76" s="242">
        <v>56355.1</v>
      </c>
      <c r="I76" s="4">
        <v>0.67</v>
      </c>
      <c r="J76" s="24">
        <v>23.184000000000001</v>
      </c>
      <c r="K76" s="26">
        <v>2.1135999999999999</v>
      </c>
      <c r="L76" s="24">
        <v>740</v>
      </c>
      <c r="M76">
        <v>49.900002000000001</v>
      </c>
      <c r="N76" s="27">
        <v>80.7</v>
      </c>
      <c r="O76" s="26">
        <v>8.1</v>
      </c>
      <c r="P76" s="25">
        <v>2672</v>
      </c>
      <c r="Q76">
        <v>0.9</v>
      </c>
      <c r="R76">
        <v>1.8</v>
      </c>
      <c r="S76" s="14">
        <v>36639</v>
      </c>
      <c r="T76" s="224">
        <v>0.97</v>
      </c>
      <c r="U76" s="25">
        <v>119</v>
      </c>
      <c r="V76" s="24">
        <v>12752.816999999999</v>
      </c>
      <c r="W76" s="22">
        <v>38.1</v>
      </c>
      <c r="X76" s="20">
        <v>23.184000000000001</v>
      </c>
      <c r="Y76" s="19">
        <f t="shared" si="3"/>
        <v>3.1434623855783266</v>
      </c>
      <c r="Z76" s="21">
        <v>740</v>
      </c>
      <c r="AA76" s="19">
        <f t="shared" si="4"/>
        <v>6.6066501861982152</v>
      </c>
      <c r="AB76" s="2">
        <v>49.9</v>
      </c>
      <c r="AC76" s="20">
        <v>12752.8</v>
      </c>
      <c r="AD76" s="19">
        <f t="shared" si="5"/>
        <v>9.4535061343194364</v>
      </c>
      <c r="AE76" s="4">
        <v>59.795699999999997</v>
      </c>
      <c r="AF76" s="1">
        <v>4.9756400000000003</v>
      </c>
      <c r="AG76" s="242">
        <v>144.84100000000001</v>
      </c>
      <c r="AH76" s="242">
        <v>34.6</v>
      </c>
      <c r="AI76" s="245">
        <v>87.873999999999995</v>
      </c>
    </row>
    <row r="77" spans="1:35">
      <c r="A77" s="24">
        <v>7</v>
      </c>
      <c r="B77" s="28" t="s">
        <v>40</v>
      </c>
      <c r="C77" s="28" t="s">
        <v>39</v>
      </c>
      <c r="D77" s="23">
        <v>2019</v>
      </c>
      <c r="E77" s="239">
        <v>32.4</v>
      </c>
      <c r="F77">
        <v>-1.10067</v>
      </c>
      <c r="G77" s="17">
        <v>-3800000000</v>
      </c>
      <c r="H77" s="242">
        <v>57114.6</v>
      </c>
      <c r="I77" s="4">
        <v>0.69</v>
      </c>
      <c r="J77" s="24">
        <v>24.236999999999998</v>
      </c>
      <c r="K77" s="26">
        <v>2.1276000000000002</v>
      </c>
      <c r="L77" s="24">
        <v>790</v>
      </c>
      <c r="M77">
        <v>51.5</v>
      </c>
      <c r="N77" s="27">
        <v>83.7</v>
      </c>
      <c r="O77" s="26">
        <v>7.6</v>
      </c>
      <c r="P77" s="25">
        <v>2876</v>
      </c>
      <c r="Q77">
        <v>0.8</v>
      </c>
      <c r="R77">
        <v>1.7</v>
      </c>
      <c r="S77" s="14">
        <v>36394</v>
      </c>
      <c r="T77" s="224">
        <v>1.44</v>
      </c>
      <c r="U77" s="25">
        <v>119</v>
      </c>
      <c r="V77" s="24">
        <v>10987.281000000001</v>
      </c>
      <c r="W77" s="22">
        <v>37.1</v>
      </c>
      <c r="X77" s="20">
        <v>24.236999999999998</v>
      </c>
      <c r="Y77" s="19">
        <f t="shared" si="3"/>
        <v>3.187880391165681</v>
      </c>
      <c r="Z77" s="21">
        <v>790</v>
      </c>
      <c r="AA77" s="19">
        <f t="shared" si="4"/>
        <v>6.6720329454610674</v>
      </c>
      <c r="AB77" s="2">
        <v>51.5</v>
      </c>
      <c r="AC77" s="20"/>
      <c r="AD77" s="19" t="e">
        <f t="shared" si="5"/>
        <v>#NUM!</v>
      </c>
      <c r="AE77" s="4">
        <v>60.584600000000002</v>
      </c>
      <c r="AF77" s="1">
        <v>4.9792199999999998</v>
      </c>
      <c r="AG77" s="242">
        <v>145.36099999999999</v>
      </c>
      <c r="AH77" s="242">
        <v>37.200000000000003</v>
      </c>
      <c r="AI77" s="245">
        <v>87.994</v>
      </c>
    </row>
    <row r="78" spans="1:35">
      <c r="A78" s="24">
        <v>7</v>
      </c>
      <c r="B78" s="28" t="s">
        <v>40</v>
      </c>
      <c r="C78" s="28" t="s">
        <v>39</v>
      </c>
      <c r="D78" s="23">
        <v>2020</v>
      </c>
      <c r="E78" s="239">
        <v>33</v>
      </c>
      <c r="F78">
        <v>0.363875</v>
      </c>
      <c r="G78" s="17">
        <v>1300000000</v>
      </c>
      <c r="H78" s="242">
        <v>55934.6</v>
      </c>
      <c r="I78" s="4">
        <v>0.68</v>
      </c>
      <c r="J78" s="24">
        <v>22.957001000000002</v>
      </c>
      <c r="K78" s="26">
        <v>2.1474000000000002</v>
      </c>
      <c r="L78" s="24">
        <v>830</v>
      </c>
      <c r="M78">
        <v>45</v>
      </c>
      <c r="N78" s="27">
        <v>84.1</v>
      </c>
      <c r="O78" s="26">
        <v>7.6</v>
      </c>
      <c r="P78" s="25">
        <v>2435.6999999999998</v>
      </c>
      <c r="Q78">
        <v>0.9</v>
      </c>
      <c r="R78">
        <v>1.9</v>
      </c>
      <c r="S78" s="14">
        <v>35758</v>
      </c>
      <c r="T78" s="224">
        <v>0.49</v>
      </c>
      <c r="U78" s="25">
        <v>116</v>
      </c>
      <c r="V78" s="24">
        <v>9221.7451000000001</v>
      </c>
      <c r="W78" s="22">
        <v>37</v>
      </c>
      <c r="X78" s="20">
        <v>22.957000000000001</v>
      </c>
      <c r="Y78" s="19">
        <f t="shared" si="3"/>
        <v>3.1336229008934344</v>
      </c>
      <c r="Z78" s="21">
        <v>830</v>
      </c>
      <c r="AA78" s="19">
        <f t="shared" si="4"/>
        <v>6.7214257007906433</v>
      </c>
      <c r="AB78" s="2">
        <v>45</v>
      </c>
      <c r="AC78" s="20"/>
      <c r="AD78" s="19" t="e">
        <f t="shared" si="5"/>
        <v>#NUM!</v>
      </c>
      <c r="AE78" s="4">
        <v>58.136699999999998</v>
      </c>
      <c r="AF78" s="1">
        <v>4.9821299999999997</v>
      </c>
      <c r="AG78" s="242">
        <v>145.785</v>
      </c>
      <c r="AH78" s="242">
        <v>39.5</v>
      </c>
      <c r="AI78" s="245">
        <v>88.116</v>
      </c>
    </row>
    <row r="79" spans="1:35">
      <c r="A79" s="24">
        <v>8</v>
      </c>
      <c r="B79" s="28" t="s">
        <v>38</v>
      </c>
      <c r="C79" s="28" t="s">
        <v>37</v>
      </c>
      <c r="D79" s="23">
        <v>2010</v>
      </c>
      <c r="E79" s="239">
        <v>32.5</v>
      </c>
      <c r="F79">
        <v>13.276999999999999</v>
      </c>
      <c r="G79" s="17">
        <v>2600000000</v>
      </c>
      <c r="H79" s="242">
        <v>14657.9</v>
      </c>
      <c r="I79" s="4">
        <v>0.31</v>
      </c>
      <c r="J79" s="24">
        <v>23.652999999999999</v>
      </c>
      <c r="K79" s="26">
        <v>0.54020000000000001</v>
      </c>
      <c r="L79" s="24">
        <v>844</v>
      </c>
      <c r="M79">
        <v>18</v>
      </c>
      <c r="N79" s="27">
        <v>82.7</v>
      </c>
      <c r="O79" s="26">
        <v>9</v>
      </c>
      <c r="P79" s="25">
        <v>18.2</v>
      </c>
      <c r="S79" s="14">
        <v>9288</v>
      </c>
      <c r="T79" s="224">
        <v>0.19</v>
      </c>
      <c r="U79" s="25">
        <v>100</v>
      </c>
      <c r="V79" s="24">
        <v>14918.12</v>
      </c>
      <c r="W79" s="22">
        <v>21.5</v>
      </c>
      <c r="X79" s="20">
        <v>23.652999999999999</v>
      </c>
      <c r="Y79" s="19">
        <f t="shared" si="3"/>
        <v>3.1634899567874664</v>
      </c>
      <c r="Z79" s="21">
        <v>844</v>
      </c>
      <c r="AA79" s="19">
        <f t="shared" si="4"/>
        <v>6.7381524945959574</v>
      </c>
      <c r="AB79" s="2">
        <v>18</v>
      </c>
      <c r="AC79" s="20">
        <v>14918.1</v>
      </c>
      <c r="AD79" s="19">
        <f t="shared" si="5"/>
        <v>9.6103305198040765</v>
      </c>
      <c r="AE79" s="4">
        <v>122.29900000000001</v>
      </c>
      <c r="AF79" s="1">
        <v>3.44713</v>
      </c>
      <c r="AG79" s="242">
        <v>31.4101</v>
      </c>
      <c r="AH79" s="242">
        <v>25.3</v>
      </c>
      <c r="AI79" s="245">
        <v>68.093999999999994</v>
      </c>
    </row>
    <row r="80" spans="1:35">
      <c r="A80" s="24">
        <v>8</v>
      </c>
      <c r="B80" s="28" t="s">
        <v>38</v>
      </c>
      <c r="C80" s="28" t="s">
        <v>37</v>
      </c>
      <c r="D80" s="23">
        <v>2011</v>
      </c>
      <c r="E80" s="239">
        <v>34</v>
      </c>
      <c r="F80">
        <v>4.8023999999999996</v>
      </c>
      <c r="G80" s="17">
        <v>1100000000</v>
      </c>
      <c r="H80" s="242">
        <v>15820.9</v>
      </c>
      <c r="I80" s="4">
        <v>0.31</v>
      </c>
      <c r="J80" s="24">
        <v>26.240998999999999</v>
      </c>
      <c r="K80" s="26">
        <v>0.53749999999999998</v>
      </c>
      <c r="L80" s="24">
        <v>814</v>
      </c>
      <c r="M80">
        <v>23.299999</v>
      </c>
      <c r="N80" s="27">
        <v>69.5</v>
      </c>
      <c r="O80" s="26">
        <v>14.5</v>
      </c>
      <c r="P80" s="25">
        <v>24.1</v>
      </c>
      <c r="S80" s="14">
        <v>9860</v>
      </c>
      <c r="T80" s="224">
        <v>0</v>
      </c>
      <c r="U80" s="25">
        <v>98</v>
      </c>
      <c r="V80" s="24">
        <v>16336.708000000001</v>
      </c>
      <c r="W80" s="22">
        <v>21.8</v>
      </c>
      <c r="X80" s="20">
        <v>26.241</v>
      </c>
      <c r="Y80" s="19">
        <f t="shared" si="3"/>
        <v>3.2673230731058274</v>
      </c>
      <c r="Z80" s="21">
        <v>814</v>
      </c>
      <c r="AA80" s="19">
        <f t="shared" si="4"/>
        <v>6.70196036600254</v>
      </c>
      <c r="AB80" s="2">
        <v>23.3</v>
      </c>
      <c r="AC80" s="20">
        <v>16336.7</v>
      </c>
      <c r="AD80" s="19">
        <f t="shared" si="5"/>
        <v>9.7011693896333195</v>
      </c>
      <c r="AE80" s="4">
        <v>146.619</v>
      </c>
      <c r="AF80" s="1">
        <v>3.4440900000000001</v>
      </c>
      <c r="AG80" s="242">
        <v>31.314900000000002</v>
      </c>
      <c r="AH80" s="242">
        <v>25.2</v>
      </c>
      <c r="AI80" s="245">
        <v>67.965000000000003</v>
      </c>
    </row>
    <row r="81" spans="1:35">
      <c r="A81" s="24">
        <v>8</v>
      </c>
      <c r="B81" s="28" t="s">
        <v>38</v>
      </c>
      <c r="C81" s="28" t="s">
        <v>37</v>
      </c>
      <c r="D81" s="23">
        <v>2012</v>
      </c>
      <c r="E81" s="239">
        <v>35.5</v>
      </c>
      <c r="F81">
        <v>7.6916599999999997</v>
      </c>
      <c r="G81" s="17">
        <v>1800000000</v>
      </c>
      <c r="H81" s="242">
        <v>16460.7</v>
      </c>
      <c r="I81" s="4">
        <v>0.3</v>
      </c>
      <c r="J81" s="24">
        <v>27.187999999999999</v>
      </c>
      <c r="K81" s="26">
        <v>0.5464</v>
      </c>
      <c r="L81" s="24">
        <v>769</v>
      </c>
      <c r="M81">
        <v>19.100000000000001</v>
      </c>
      <c r="N81" s="27">
        <v>80.400000000000006</v>
      </c>
      <c r="O81" s="26">
        <v>19.2</v>
      </c>
      <c r="P81" s="25">
        <v>93.6</v>
      </c>
      <c r="Q81">
        <v>1.1000000000000001</v>
      </c>
      <c r="R81">
        <v>2</v>
      </c>
      <c r="S81" s="14">
        <v>10687</v>
      </c>
      <c r="T81" s="224">
        <v>0.19</v>
      </c>
      <c r="U81" s="25">
        <v>94</v>
      </c>
      <c r="V81" s="24">
        <v>15694.669</v>
      </c>
      <c r="W81" s="22">
        <v>20.7</v>
      </c>
      <c r="X81" s="20">
        <v>27.187999999999999</v>
      </c>
      <c r="Y81" s="19">
        <f t="shared" si="3"/>
        <v>3.3027756994843918</v>
      </c>
      <c r="Z81" s="21">
        <v>769</v>
      </c>
      <c r="AA81" s="19">
        <f t="shared" si="4"/>
        <v>6.6450909695056444</v>
      </c>
      <c r="AB81" s="2">
        <v>19.100000000000001</v>
      </c>
      <c r="AC81" s="20">
        <v>15694.7</v>
      </c>
      <c r="AD81" s="19">
        <f t="shared" si="5"/>
        <v>9.6610783547257384</v>
      </c>
      <c r="AE81" s="4">
        <v>147.05600000000001</v>
      </c>
      <c r="AF81" s="1">
        <v>3.4405100000000002</v>
      </c>
      <c r="AG81" s="242">
        <v>31.202999999999999</v>
      </c>
      <c r="AH81" s="242">
        <v>25</v>
      </c>
      <c r="AI81" s="245">
        <v>67.974000000000004</v>
      </c>
    </row>
    <row r="82" spans="1:35">
      <c r="A82" s="24">
        <v>8</v>
      </c>
      <c r="B82" s="28" t="s">
        <v>38</v>
      </c>
      <c r="C82" s="28" t="s">
        <v>37</v>
      </c>
      <c r="D82" s="23">
        <v>2013</v>
      </c>
      <c r="E82" s="239">
        <v>35</v>
      </c>
      <c r="F82">
        <v>4.3139399999999997</v>
      </c>
      <c r="G82" s="17">
        <v>1100000000</v>
      </c>
      <c r="H82" s="242">
        <v>16809.5</v>
      </c>
      <c r="I82" s="4">
        <v>0.28999999999999998</v>
      </c>
      <c r="J82" s="24">
        <v>26.624001</v>
      </c>
      <c r="K82" s="26">
        <v>0.52439999999999998</v>
      </c>
      <c r="L82" s="24">
        <v>802</v>
      </c>
      <c r="M82">
        <v>17.600000000000001</v>
      </c>
      <c r="N82" s="27">
        <v>66</v>
      </c>
      <c r="O82" s="26">
        <v>14.7</v>
      </c>
      <c r="P82" s="25">
        <v>444.3</v>
      </c>
      <c r="Q82">
        <v>0.8</v>
      </c>
      <c r="R82">
        <v>2</v>
      </c>
      <c r="S82" s="14">
        <v>11229</v>
      </c>
      <c r="T82" s="224">
        <v>0</v>
      </c>
      <c r="U82" s="25">
        <v>93</v>
      </c>
      <c r="V82" s="24">
        <v>13195.241</v>
      </c>
      <c r="W82" s="22">
        <v>19.3</v>
      </c>
      <c r="X82" s="20">
        <v>26.623999999999999</v>
      </c>
      <c r="Y82" s="19">
        <f t="shared" si="3"/>
        <v>3.281813064638798</v>
      </c>
      <c r="Z82" s="21">
        <v>802</v>
      </c>
      <c r="AA82" s="19">
        <f t="shared" si="4"/>
        <v>6.6871086078665147</v>
      </c>
      <c r="AB82" s="2">
        <v>17.600000000000001</v>
      </c>
      <c r="AC82" s="20">
        <v>13195.2</v>
      </c>
      <c r="AD82" s="19">
        <f t="shared" si="5"/>
        <v>9.4876084060790902</v>
      </c>
      <c r="AE82" s="4">
        <v>136.66999999999999</v>
      </c>
      <c r="AF82" s="1">
        <v>3.4117999999999999</v>
      </c>
      <c r="AG82" s="242">
        <v>30.319700000000001</v>
      </c>
      <c r="AH82" s="242">
        <v>24.5</v>
      </c>
      <c r="AI82" s="245">
        <v>68.122</v>
      </c>
    </row>
    <row r="83" spans="1:35">
      <c r="A83" s="24">
        <v>8</v>
      </c>
      <c r="B83" s="28" t="s">
        <v>38</v>
      </c>
      <c r="C83" s="28" t="s">
        <v>37</v>
      </c>
      <c r="D83" s="23">
        <v>2014</v>
      </c>
      <c r="E83" s="239">
        <v>35.299999999999997</v>
      </c>
      <c r="F83">
        <v>6.5851199999999999</v>
      </c>
      <c r="G83" s="17">
        <v>1800000000</v>
      </c>
      <c r="H83" s="242">
        <v>17413.7</v>
      </c>
      <c r="I83" s="4">
        <v>0.28000000000000003</v>
      </c>
      <c r="J83" s="24">
        <v>24.298999999999999</v>
      </c>
      <c r="K83" s="26">
        <v>0.56769999999999998</v>
      </c>
      <c r="L83" s="24">
        <v>453</v>
      </c>
      <c r="M83">
        <v>31.1</v>
      </c>
      <c r="N83" s="27">
        <v>85.1</v>
      </c>
      <c r="O83" s="26">
        <v>11.3</v>
      </c>
      <c r="P83" s="25">
        <v>452.9</v>
      </c>
      <c r="Q83">
        <v>0.6</v>
      </c>
      <c r="R83">
        <v>2</v>
      </c>
      <c r="S83" s="14">
        <v>11944</v>
      </c>
      <c r="T83" s="224">
        <v>2.2799999999999998</v>
      </c>
      <c r="U83" s="25">
        <v>95</v>
      </c>
      <c r="V83" s="24">
        <v>14436.199000000001</v>
      </c>
      <c r="W83" s="22">
        <v>20.2</v>
      </c>
      <c r="X83" s="20">
        <v>24.298999999999999</v>
      </c>
      <c r="Y83" s="19">
        <f t="shared" si="3"/>
        <v>3.1904351972363507</v>
      </c>
      <c r="Z83" s="21">
        <v>453</v>
      </c>
      <c r="AA83" s="19">
        <f t="shared" si="4"/>
        <v>6.1158921254830343</v>
      </c>
      <c r="AB83" s="2">
        <v>31.1</v>
      </c>
      <c r="AC83" s="20">
        <v>14436.2</v>
      </c>
      <c r="AD83" s="19">
        <f t="shared" si="5"/>
        <v>9.5774942199199664</v>
      </c>
      <c r="AE83" s="4">
        <v>126.916</v>
      </c>
      <c r="AF83" s="1">
        <v>3.40917</v>
      </c>
      <c r="AG83" s="242">
        <v>30.240300000000001</v>
      </c>
      <c r="AH83" s="242">
        <v>25.3</v>
      </c>
      <c r="AI83" s="245">
        <v>68.269000000000005</v>
      </c>
    </row>
    <row r="84" spans="1:35">
      <c r="A84" s="24">
        <v>8</v>
      </c>
      <c r="B84" s="28" t="s">
        <v>38</v>
      </c>
      <c r="C84" s="28" t="s">
        <v>37</v>
      </c>
      <c r="D84" s="23">
        <v>2015</v>
      </c>
      <c r="E84" s="239">
        <v>36.200000000000003</v>
      </c>
      <c r="F84">
        <v>-3.0691099999999998</v>
      </c>
      <c r="G84" s="17">
        <v>-720000000</v>
      </c>
      <c r="H84" s="242">
        <v>17722.2</v>
      </c>
      <c r="I84" s="4">
        <v>0.28999999999999998</v>
      </c>
      <c r="J84" s="24">
        <v>25.447001</v>
      </c>
      <c r="K84" s="26">
        <v>0.58350000000000002</v>
      </c>
      <c r="L84" s="24">
        <v>366</v>
      </c>
      <c r="M84">
        <v>28.299999</v>
      </c>
      <c r="N84" s="27">
        <v>86.7</v>
      </c>
      <c r="O84" s="26">
        <v>11.4</v>
      </c>
      <c r="P84" s="25">
        <v>374.7</v>
      </c>
      <c r="Q84">
        <v>0.6</v>
      </c>
      <c r="R84">
        <v>1.9</v>
      </c>
      <c r="S84" s="14">
        <v>12174</v>
      </c>
      <c r="T84" s="224">
        <v>0</v>
      </c>
      <c r="U84" s="25">
        <v>100</v>
      </c>
      <c r="V84" s="24">
        <v>15279.905000000001</v>
      </c>
      <c r="W84" s="22">
        <v>19.7</v>
      </c>
      <c r="X84" s="20">
        <v>25.446999999999999</v>
      </c>
      <c r="Y84" s="19">
        <f t="shared" si="3"/>
        <v>3.2365978578558172</v>
      </c>
      <c r="Z84" s="21">
        <v>366</v>
      </c>
      <c r="AA84" s="19">
        <f t="shared" si="4"/>
        <v>5.9026333334013659</v>
      </c>
      <c r="AB84" s="2">
        <v>28.3</v>
      </c>
      <c r="AC84" s="20">
        <v>15279.9</v>
      </c>
      <c r="AD84" s="19">
        <f t="shared" si="5"/>
        <v>9.6342935181964791</v>
      </c>
      <c r="AE84" s="4">
        <v>117.352</v>
      </c>
      <c r="AF84" s="1">
        <v>3.4098299999999999</v>
      </c>
      <c r="AG84" s="242">
        <v>30.260100000000001</v>
      </c>
      <c r="AH84" s="242">
        <v>28.2</v>
      </c>
      <c r="AI84" s="245">
        <v>68.415999999999997</v>
      </c>
    </row>
    <row r="85" spans="1:35">
      <c r="A85" s="24">
        <v>8</v>
      </c>
      <c r="B85" s="28" t="s">
        <v>38</v>
      </c>
      <c r="C85" s="28" t="s">
        <v>37</v>
      </c>
      <c r="D85" s="23">
        <v>2016</v>
      </c>
      <c r="E85" s="239">
        <v>35.200000000000003</v>
      </c>
      <c r="F85">
        <v>3.7692299999999999</v>
      </c>
      <c r="G85" s="17">
        <v>930000000</v>
      </c>
      <c r="H85" s="242">
        <v>18265</v>
      </c>
      <c r="I85" s="4">
        <v>0.28000000000000003</v>
      </c>
      <c r="J85" s="24">
        <v>24.549999</v>
      </c>
      <c r="K85" s="26">
        <v>0.62239999999999995</v>
      </c>
      <c r="L85" s="24">
        <v>401</v>
      </c>
      <c r="M85">
        <v>27.9</v>
      </c>
      <c r="N85" s="27">
        <v>86.7</v>
      </c>
      <c r="O85" s="26">
        <v>11.9</v>
      </c>
      <c r="P85" s="25">
        <v>1027.3</v>
      </c>
      <c r="Q85">
        <v>0.6</v>
      </c>
      <c r="R85">
        <v>1.9</v>
      </c>
      <c r="S85" s="14">
        <v>11644</v>
      </c>
      <c r="T85" s="224">
        <v>0.76</v>
      </c>
      <c r="U85" s="25">
        <v>108</v>
      </c>
      <c r="V85" s="24">
        <v>14529.228999999999</v>
      </c>
      <c r="W85" s="22">
        <v>22.3</v>
      </c>
      <c r="X85" s="20">
        <v>24.55</v>
      </c>
      <c r="Y85" s="19">
        <f t="shared" si="3"/>
        <v>3.2007118542405295</v>
      </c>
      <c r="Z85" s="21">
        <v>401</v>
      </c>
      <c r="AA85" s="19">
        <f t="shared" si="4"/>
        <v>5.9939614273065693</v>
      </c>
      <c r="AB85" s="2">
        <v>27.9</v>
      </c>
      <c r="AC85" s="20">
        <v>14529.2</v>
      </c>
      <c r="AD85" s="19">
        <f t="shared" si="5"/>
        <v>9.5839156965488979</v>
      </c>
      <c r="AE85" s="4">
        <v>114.53100000000001</v>
      </c>
      <c r="AF85" s="1">
        <v>3.41012</v>
      </c>
      <c r="AG85" s="242">
        <v>30.268899999999999</v>
      </c>
      <c r="AH85" s="242">
        <v>27.2</v>
      </c>
      <c r="AI85" s="245">
        <v>68.563000000000002</v>
      </c>
    </row>
    <row r="86" spans="1:35">
      <c r="A86" s="24">
        <v>8</v>
      </c>
      <c r="B86" s="28" t="s">
        <v>38</v>
      </c>
      <c r="C86" s="28" t="s">
        <v>37</v>
      </c>
      <c r="D86" s="23">
        <v>2017</v>
      </c>
      <c r="E86" s="239">
        <v>36</v>
      </c>
      <c r="F86">
        <v>6.3189299999999999</v>
      </c>
      <c r="G86" s="17">
        <v>1700000000</v>
      </c>
      <c r="H86" s="242">
        <v>19270.8</v>
      </c>
      <c r="I86" s="4">
        <v>0.27</v>
      </c>
      <c r="J86" s="24">
        <v>28.867000999999998</v>
      </c>
      <c r="K86" s="26">
        <v>0.55489999999999995</v>
      </c>
      <c r="L86" s="24">
        <v>414</v>
      </c>
      <c r="M86">
        <v>28.200001</v>
      </c>
      <c r="N86" s="27">
        <v>85.7</v>
      </c>
      <c r="O86" s="26">
        <v>12.5</v>
      </c>
      <c r="P86" s="25">
        <v>947.8</v>
      </c>
      <c r="Q86">
        <v>0.7</v>
      </c>
      <c r="R86">
        <v>2</v>
      </c>
      <c r="S86" s="14">
        <v>12372</v>
      </c>
      <c r="T86" s="224">
        <v>0</v>
      </c>
      <c r="U86" s="25">
        <v>107</v>
      </c>
      <c r="V86" s="24">
        <v>10611.668</v>
      </c>
      <c r="W86" s="22">
        <v>20.9</v>
      </c>
      <c r="X86" s="20">
        <v>28.867000000000001</v>
      </c>
      <c r="Y86" s="19">
        <f t="shared" si="3"/>
        <v>3.3626990741777205</v>
      </c>
      <c r="Z86" s="21">
        <v>414</v>
      </c>
      <c r="AA86" s="19">
        <f t="shared" si="4"/>
        <v>6.0258659738253142</v>
      </c>
      <c r="AB86" s="2">
        <v>28.2</v>
      </c>
      <c r="AC86" s="20">
        <v>10611.7</v>
      </c>
      <c r="AD86" s="19">
        <f t="shared" si="5"/>
        <v>9.2697124449748785</v>
      </c>
      <c r="AE86" s="4">
        <v>113.70099999999999</v>
      </c>
      <c r="AF86" s="1">
        <v>3.4280300000000001</v>
      </c>
      <c r="AG86" s="242">
        <v>30.815999999999999</v>
      </c>
      <c r="AH86" s="242">
        <v>27.5</v>
      </c>
      <c r="AI86" s="245">
        <v>68.716999999999999</v>
      </c>
    </row>
    <row r="87" spans="1:35">
      <c r="A87" s="24">
        <v>8</v>
      </c>
      <c r="B87" s="28" t="s">
        <v>38</v>
      </c>
      <c r="C87" s="28" t="s">
        <v>37</v>
      </c>
      <c r="D87" s="23">
        <v>2018</v>
      </c>
      <c r="E87" s="239">
        <v>36.1</v>
      </c>
      <c r="F87">
        <v>4.0801600000000002</v>
      </c>
      <c r="G87" s="17">
        <v>1300000000</v>
      </c>
      <c r="H87" s="242">
        <v>19914.3</v>
      </c>
      <c r="I87" s="4">
        <v>0.28000000000000003</v>
      </c>
      <c r="J87" s="24">
        <v>30.579000000000001</v>
      </c>
      <c r="K87" s="26">
        <v>0.55489999999999995</v>
      </c>
      <c r="L87" s="24">
        <v>445</v>
      </c>
      <c r="M87">
        <v>28</v>
      </c>
      <c r="N87" s="27">
        <v>85.7</v>
      </c>
      <c r="O87" s="26">
        <v>13.8</v>
      </c>
      <c r="P87" s="25">
        <v>818.2</v>
      </c>
      <c r="Q87">
        <v>0.8</v>
      </c>
      <c r="R87">
        <v>2.1</v>
      </c>
      <c r="S87" s="14">
        <v>13829</v>
      </c>
      <c r="T87" s="224">
        <v>0</v>
      </c>
      <c r="U87" s="25">
        <v>105</v>
      </c>
      <c r="V87" s="24">
        <v>7940.9921999999997</v>
      </c>
      <c r="W87" s="22">
        <v>23.4</v>
      </c>
      <c r="X87" s="20">
        <v>30.579000000000001</v>
      </c>
      <c r="Y87" s="19">
        <f t="shared" si="3"/>
        <v>3.4203134988543855</v>
      </c>
      <c r="Z87" s="21">
        <v>445</v>
      </c>
      <c r="AA87" s="19">
        <f t="shared" si="4"/>
        <v>6.0980742821662401</v>
      </c>
      <c r="AB87" s="2">
        <v>28</v>
      </c>
      <c r="AC87" s="20">
        <v>7940.99</v>
      </c>
      <c r="AD87" s="19">
        <f t="shared" si="5"/>
        <v>8.9797932316071751</v>
      </c>
      <c r="AE87" s="4">
        <v>115.804</v>
      </c>
      <c r="AF87" s="1">
        <v>3.4315099999999998</v>
      </c>
      <c r="AG87" s="242">
        <v>30.923400000000001</v>
      </c>
      <c r="AH87" s="242">
        <v>28.6</v>
      </c>
      <c r="AI87" s="245">
        <v>68.88</v>
      </c>
    </row>
    <row r="88" spans="1:35">
      <c r="A88" s="24">
        <v>8</v>
      </c>
      <c r="B88" s="28" t="s">
        <v>38</v>
      </c>
      <c r="C88" s="28" t="s">
        <v>37</v>
      </c>
      <c r="D88" s="23">
        <v>2019</v>
      </c>
      <c r="E88" s="239">
        <v>37.1</v>
      </c>
      <c r="F88">
        <v>9.7681900000000006</v>
      </c>
      <c r="G88" s="17">
        <v>3100000000</v>
      </c>
      <c r="H88" s="242">
        <v>20579.900000000001</v>
      </c>
      <c r="I88" s="4">
        <v>0.26</v>
      </c>
      <c r="J88" s="24">
        <v>28.676000999999999</v>
      </c>
      <c r="K88" s="26">
        <v>0.64059999999999995</v>
      </c>
      <c r="L88" s="24">
        <v>433</v>
      </c>
      <c r="M88">
        <v>30.799999</v>
      </c>
      <c r="N88" s="27">
        <v>80.599999999999994</v>
      </c>
      <c r="O88" s="26">
        <v>15.3</v>
      </c>
      <c r="P88" s="25">
        <v>462.9</v>
      </c>
      <c r="Q88">
        <v>0.7</v>
      </c>
      <c r="R88">
        <v>2</v>
      </c>
      <c r="S88" s="14">
        <v>13343</v>
      </c>
      <c r="T88" s="224">
        <v>0</v>
      </c>
      <c r="U88" s="25">
        <v>108</v>
      </c>
      <c r="V88" s="24">
        <v>5270.3163999999997</v>
      </c>
      <c r="W88" s="22">
        <v>24.4</v>
      </c>
      <c r="X88" s="20">
        <v>28.675999999999998</v>
      </c>
      <c r="Y88" s="19">
        <f t="shared" si="3"/>
        <v>3.3560605359906259</v>
      </c>
      <c r="Z88" s="21">
        <v>433</v>
      </c>
      <c r="AA88" s="19">
        <f t="shared" si="4"/>
        <v>6.0707377280024897</v>
      </c>
      <c r="AB88" s="2">
        <v>30.8</v>
      </c>
      <c r="AC88" s="20"/>
      <c r="AD88" s="19" t="e">
        <f t="shared" si="5"/>
        <v>#NUM!</v>
      </c>
      <c r="AE88" s="4">
        <v>107.066</v>
      </c>
      <c r="AF88" s="1">
        <v>3.4352299999999998</v>
      </c>
      <c r="AG88" s="242">
        <v>31.038499999999999</v>
      </c>
      <c r="AH88" s="242">
        <v>31.3</v>
      </c>
      <c r="AI88" s="245">
        <v>69.051000000000002</v>
      </c>
    </row>
    <row r="89" spans="1:35">
      <c r="A89" s="24">
        <v>8</v>
      </c>
      <c r="B89" s="28" t="s">
        <v>38</v>
      </c>
      <c r="C89" s="28" t="s">
        <v>37</v>
      </c>
      <c r="D89" s="23">
        <v>2020</v>
      </c>
      <c r="E89" s="239">
        <v>37.6</v>
      </c>
      <c r="F89">
        <v>12.014799999999999</v>
      </c>
      <c r="G89" s="17">
        <v>3800000000</v>
      </c>
      <c r="H89" s="242">
        <v>19946.900000000001</v>
      </c>
      <c r="I89" s="4">
        <v>0.28000000000000003</v>
      </c>
      <c r="J89" s="24">
        <v>28.365998999999999</v>
      </c>
      <c r="K89" s="26">
        <v>0.66400000000000003</v>
      </c>
      <c r="L89" s="24">
        <v>398</v>
      </c>
      <c r="M89">
        <v>28.9</v>
      </c>
      <c r="N89" s="27">
        <v>81.599999999999994</v>
      </c>
      <c r="O89" s="26">
        <v>16.399999999999999</v>
      </c>
      <c r="P89" s="25">
        <v>1789.7</v>
      </c>
      <c r="Q89">
        <v>0.7</v>
      </c>
      <c r="R89">
        <v>2.1</v>
      </c>
      <c r="S89" s="14">
        <v>13810</v>
      </c>
      <c r="T89" s="224">
        <v>0</v>
      </c>
      <c r="U89" s="25">
        <v>105</v>
      </c>
      <c r="V89" s="24">
        <v>2599.6406000000002</v>
      </c>
      <c r="W89" s="22">
        <v>26.7</v>
      </c>
      <c r="X89" s="20">
        <v>28.366</v>
      </c>
      <c r="Y89" s="19">
        <f t="shared" si="3"/>
        <v>3.3451912448724159</v>
      </c>
      <c r="Z89" s="21">
        <v>398</v>
      </c>
      <c r="AA89" s="19">
        <f t="shared" si="4"/>
        <v>5.9864520052844377</v>
      </c>
      <c r="AB89" s="2">
        <v>28.9</v>
      </c>
      <c r="AC89" s="20"/>
      <c r="AD89" s="19" t="e">
        <f t="shared" si="5"/>
        <v>#NUM!</v>
      </c>
      <c r="AE89" s="4">
        <v>105.79300000000001</v>
      </c>
      <c r="AF89" s="1">
        <v>3.4372099999999999</v>
      </c>
      <c r="AG89" s="242">
        <v>31.099900000000002</v>
      </c>
      <c r="AH89" s="242">
        <v>40.4</v>
      </c>
      <c r="AI89" s="245">
        <v>69.228999999999999</v>
      </c>
    </row>
    <row r="90" spans="1:35">
      <c r="A90" s="24">
        <v>9</v>
      </c>
      <c r="B90" s="28" t="s">
        <v>36</v>
      </c>
      <c r="C90" s="28" t="s">
        <v>35</v>
      </c>
      <c r="D90" s="23">
        <v>2010</v>
      </c>
      <c r="E90" s="239">
        <v>30</v>
      </c>
      <c r="F90">
        <v>0.179789</v>
      </c>
      <c r="G90" s="17">
        <v>530000000</v>
      </c>
      <c r="H90" s="242">
        <v>21547.7</v>
      </c>
      <c r="I90" s="4">
        <v>0.63</v>
      </c>
      <c r="J90" s="24">
        <v>18.785</v>
      </c>
      <c r="K90" s="26">
        <v>1.1411</v>
      </c>
      <c r="L90" s="24">
        <v>390</v>
      </c>
      <c r="M90">
        <v>17.100000000000001</v>
      </c>
      <c r="N90" s="27">
        <v>98</v>
      </c>
      <c r="O90" s="26">
        <v>2.5</v>
      </c>
      <c r="P90" s="25">
        <v>19.3</v>
      </c>
      <c r="S90" s="14">
        <v>75071</v>
      </c>
      <c r="T90" s="224">
        <v>0.12</v>
      </c>
      <c r="U90" s="25">
        <v>100</v>
      </c>
      <c r="V90" s="24">
        <v>9565.6455000000005</v>
      </c>
      <c r="W90" s="22">
        <v>23.2</v>
      </c>
      <c r="X90" s="20">
        <v>18.785</v>
      </c>
      <c r="Y90" s="19">
        <f t="shared" si="3"/>
        <v>2.9330586790259323</v>
      </c>
      <c r="Z90" s="21">
        <v>390</v>
      </c>
      <c r="AA90" s="19">
        <f t="shared" si="4"/>
        <v>5.9661467391236922</v>
      </c>
      <c r="AB90" s="2">
        <v>17.100000000000001</v>
      </c>
      <c r="AC90" s="20">
        <v>9565.65</v>
      </c>
      <c r="AD90" s="19">
        <f t="shared" si="5"/>
        <v>9.1659338356553537</v>
      </c>
      <c r="AE90" s="4">
        <v>31.686399999999999</v>
      </c>
      <c r="AF90" s="1">
        <v>4.4575800000000001</v>
      </c>
      <c r="AG90" s="242">
        <v>86.278800000000004</v>
      </c>
      <c r="AH90" s="242">
        <v>11.4</v>
      </c>
      <c r="AI90" s="245">
        <v>76.292000000000002</v>
      </c>
    </row>
    <row r="91" spans="1:35">
      <c r="A91" s="24">
        <v>9</v>
      </c>
      <c r="B91" s="28" t="s">
        <v>36</v>
      </c>
      <c r="C91" s="28" t="s">
        <v>35</v>
      </c>
      <c r="D91" s="23">
        <v>2011</v>
      </c>
      <c r="E91" s="239">
        <v>31.5</v>
      </c>
      <c r="F91">
        <v>0.38562299999999999</v>
      </c>
      <c r="G91" s="17">
        <v>1100000000</v>
      </c>
      <c r="H91" s="242">
        <v>19448.3</v>
      </c>
      <c r="I91" s="4">
        <v>0.63</v>
      </c>
      <c r="J91" s="24">
        <v>16.914000000000001</v>
      </c>
      <c r="K91" s="26">
        <v>1.1249</v>
      </c>
      <c r="L91" s="24">
        <v>405</v>
      </c>
      <c r="M91">
        <v>17.799999</v>
      </c>
      <c r="N91" s="27">
        <v>90.9</v>
      </c>
      <c r="O91" s="26">
        <v>2</v>
      </c>
      <c r="P91" s="25">
        <v>37.200000000000003</v>
      </c>
      <c r="S91" s="14">
        <v>70588</v>
      </c>
      <c r="T91" s="224">
        <v>0</v>
      </c>
      <c r="U91" s="25">
        <v>97</v>
      </c>
      <c r="V91" s="24">
        <v>8901.4570000000003</v>
      </c>
      <c r="W91" s="22">
        <v>24.2</v>
      </c>
      <c r="X91" s="20">
        <v>16.914000000000001</v>
      </c>
      <c r="Y91" s="19">
        <f t="shared" si="3"/>
        <v>2.8281416813600306</v>
      </c>
      <c r="Z91" s="21">
        <v>405</v>
      </c>
      <c r="AA91" s="19">
        <f t="shared" si="4"/>
        <v>6.0038870671065387</v>
      </c>
      <c r="AB91" s="2">
        <v>17.8</v>
      </c>
      <c r="AC91" s="20">
        <v>8901.4599999999991</v>
      </c>
      <c r="AD91" s="19">
        <f t="shared" si="5"/>
        <v>9.0939705872101513</v>
      </c>
      <c r="AE91" s="4">
        <v>35.478099999999998</v>
      </c>
      <c r="AF91" s="1">
        <v>4.4561000000000002</v>
      </c>
      <c r="AG91" s="242">
        <v>86.151300000000006</v>
      </c>
      <c r="AH91" s="242">
        <v>11.4</v>
      </c>
      <c r="AI91" s="245">
        <v>76.649000000000001</v>
      </c>
    </row>
    <row r="92" spans="1:35">
      <c r="A92" s="24">
        <v>9</v>
      </c>
      <c r="B92" s="28" t="s">
        <v>36</v>
      </c>
      <c r="C92" s="28" t="s">
        <v>35</v>
      </c>
      <c r="D92" s="23">
        <v>2012</v>
      </c>
      <c r="E92" s="239">
        <v>33</v>
      </c>
      <c r="F92">
        <v>0.69589800000000002</v>
      </c>
      <c r="G92" s="17">
        <v>1700000000</v>
      </c>
      <c r="H92" s="242">
        <v>17924.7</v>
      </c>
      <c r="I92" s="4">
        <v>0.54</v>
      </c>
      <c r="J92" s="24">
        <v>15.516999999999999</v>
      </c>
      <c r="K92" s="26">
        <v>1.1342000000000001</v>
      </c>
      <c r="L92" s="24">
        <v>369</v>
      </c>
      <c r="M92">
        <v>17</v>
      </c>
      <c r="N92" s="27">
        <v>90.2</v>
      </c>
      <c r="O92" s="26">
        <v>1.8</v>
      </c>
      <c r="P92" s="25">
        <v>71.400000000000006</v>
      </c>
      <c r="Q92">
        <v>0.1</v>
      </c>
      <c r="R92">
        <v>0.7</v>
      </c>
      <c r="S92" s="14">
        <v>60948</v>
      </c>
      <c r="T92" s="224">
        <v>0</v>
      </c>
      <c r="U92" s="25">
        <v>91</v>
      </c>
      <c r="V92" s="24">
        <v>8711.7528999999995</v>
      </c>
      <c r="W92" s="22">
        <v>25</v>
      </c>
      <c r="X92" s="20">
        <v>15.516999999999999</v>
      </c>
      <c r="Y92" s="19">
        <f t="shared" si="3"/>
        <v>2.7419361971013467</v>
      </c>
      <c r="Z92" s="21">
        <v>369</v>
      </c>
      <c r="AA92" s="19">
        <f t="shared" si="4"/>
        <v>5.9107966440405271</v>
      </c>
      <c r="AB92" s="2">
        <v>17</v>
      </c>
      <c r="AC92" s="20">
        <v>8711.75</v>
      </c>
      <c r="AD92" s="19">
        <f t="shared" si="5"/>
        <v>9.0724279681496327</v>
      </c>
      <c r="AE92" s="4">
        <v>40.616999999999997</v>
      </c>
      <c r="AF92" s="1">
        <v>4.4507000000000003</v>
      </c>
      <c r="AG92" s="242">
        <v>85.686700000000002</v>
      </c>
      <c r="AH92" s="242">
        <v>14.2</v>
      </c>
      <c r="AI92" s="245">
        <v>77.004000000000005</v>
      </c>
    </row>
    <row r="93" spans="1:35">
      <c r="A93" s="24">
        <v>9</v>
      </c>
      <c r="B93" s="28" t="s">
        <v>36</v>
      </c>
      <c r="C93" s="28" t="s">
        <v>35</v>
      </c>
      <c r="D93" s="23">
        <v>2013</v>
      </c>
      <c r="E93" s="239">
        <v>33</v>
      </c>
      <c r="F93">
        <v>1.2450600000000001</v>
      </c>
      <c r="G93" s="17">
        <v>2900000000</v>
      </c>
      <c r="H93" s="242">
        <v>17644.900000000001</v>
      </c>
      <c r="I93" s="4">
        <v>0.59</v>
      </c>
      <c r="J93" s="24">
        <v>14.483000000000001</v>
      </c>
      <c r="K93" s="26">
        <v>1.1910000000000001</v>
      </c>
      <c r="L93" s="24">
        <v>383</v>
      </c>
      <c r="M93">
        <v>15.8</v>
      </c>
      <c r="N93" s="27">
        <v>91</v>
      </c>
      <c r="O93" s="26">
        <v>1.7</v>
      </c>
      <c r="P93" s="25">
        <v>64.5</v>
      </c>
      <c r="Q93">
        <v>0.1</v>
      </c>
      <c r="R93">
        <v>0.5</v>
      </c>
      <c r="S93" s="14">
        <v>56493</v>
      </c>
      <c r="T93" s="224">
        <v>0</v>
      </c>
      <c r="U93" s="25">
        <v>89</v>
      </c>
      <c r="V93" s="24">
        <v>8431.8984</v>
      </c>
      <c r="W93" s="22">
        <v>26.2</v>
      </c>
      <c r="X93" s="20">
        <v>14.483000000000001</v>
      </c>
      <c r="Y93" s="19">
        <f t="shared" si="3"/>
        <v>2.6729755478187194</v>
      </c>
      <c r="Z93" s="21">
        <v>383</v>
      </c>
      <c r="AA93" s="19">
        <f t="shared" si="4"/>
        <v>5.9480349891806457</v>
      </c>
      <c r="AB93" s="2">
        <v>15.8</v>
      </c>
      <c r="AC93" s="20">
        <v>8431.9</v>
      </c>
      <c r="AD93" s="19">
        <f t="shared" si="5"/>
        <v>9.0397774111282754</v>
      </c>
      <c r="AE93" s="4">
        <v>41.004600000000003</v>
      </c>
      <c r="AF93" s="1">
        <v>4.4434500000000003</v>
      </c>
      <c r="AG93" s="242">
        <v>85.067599999999999</v>
      </c>
      <c r="AH93" s="242">
        <v>16.600000000000001</v>
      </c>
      <c r="AI93" s="245">
        <v>77.355000000000004</v>
      </c>
    </row>
    <row r="94" spans="1:35">
      <c r="A94" s="24">
        <v>9</v>
      </c>
      <c r="B94" s="28" t="s">
        <v>36</v>
      </c>
      <c r="C94" s="28" t="s">
        <v>35</v>
      </c>
      <c r="D94" s="23">
        <v>2014</v>
      </c>
      <c r="E94" s="239">
        <v>32.200000000000003</v>
      </c>
      <c r="F94">
        <v>1.1531400000000001</v>
      </c>
      <c r="G94" s="17">
        <v>2700000000</v>
      </c>
      <c r="H94" s="242">
        <v>17903.5</v>
      </c>
      <c r="I94" s="4">
        <v>0.62</v>
      </c>
      <c r="J94" s="24">
        <v>15.148</v>
      </c>
      <c r="K94" s="26">
        <v>1.163</v>
      </c>
      <c r="L94" s="24">
        <v>395</v>
      </c>
      <c r="M94">
        <v>15.4</v>
      </c>
      <c r="N94" s="27">
        <v>84</v>
      </c>
      <c r="O94" s="26">
        <v>1.3</v>
      </c>
      <c r="P94" s="25">
        <v>68</v>
      </c>
      <c r="Q94">
        <v>0.2</v>
      </c>
      <c r="R94">
        <v>0.6</v>
      </c>
      <c r="S94" s="14">
        <v>64608</v>
      </c>
      <c r="T94" s="224">
        <v>0.09</v>
      </c>
      <c r="U94" s="25">
        <v>86</v>
      </c>
      <c r="V94" s="24">
        <v>8276.6327999999994</v>
      </c>
      <c r="W94" s="22">
        <v>26.3</v>
      </c>
      <c r="X94" s="20">
        <v>15.148</v>
      </c>
      <c r="Y94" s="19">
        <f t="shared" si="3"/>
        <v>2.7178685100395485</v>
      </c>
      <c r="Z94" s="21">
        <v>395</v>
      </c>
      <c r="AA94" s="19">
        <f t="shared" si="4"/>
        <v>5.978885764901122</v>
      </c>
      <c r="AB94" s="2">
        <v>15.4</v>
      </c>
      <c r="AC94" s="20">
        <v>8276.6299999999992</v>
      </c>
      <c r="AD94" s="19">
        <f t="shared" si="5"/>
        <v>9.0211911596994412</v>
      </c>
      <c r="AE94" s="4">
        <v>41.8718</v>
      </c>
      <c r="AF94" s="1">
        <v>4.4367799999999997</v>
      </c>
      <c r="AG94" s="242">
        <v>84.502799999999993</v>
      </c>
      <c r="AH94" s="242">
        <v>16.399999999999999</v>
      </c>
      <c r="AI94" s="245">
        <v>77.701999999999998</v>
      </c>
    </row>
    <row r="95" spans="1:35">
      <c r="A95" s="24">
        <v>9</v>
      </c>
      <c r="B95" s="28" t="s">
        <v>36</v>
      </c>
      <c r="C95" s="28" t="s">
        <v>35</v>
      </c>
      <c r="D95" s="23">
        <v>2015</v>
      </c>
      <c r="E95" s="239">
        <v>33.4</v>
      </c>
      <c r="F95">
        <v>0.65218500000000001</v>
      </c>
      <c r="G95" s="17">
        <v>1300000000</v>
      </c>
      <c r="H95" s="242">
        <v>17980.7</v>
      </c>
      <c r="I95" s="4">
        <v>0.55000000000000004</v>
      </c>
      <c r="J95" s="24">
        <v>14.628</v>
      </c>
      <c r="K95" s="26">
        <v>1.2181999999999999</v>
      </c>
      <c r="L95" s="24">
        <v>373</v>
      </c>
      <c r="M95">
        <v>15.8</v>
      </c>
      <c r="N95" s="27">
        <v>89.6</v>
      </c>
      <c r="O95" s="26">
        <v>1.8</v>
      </c>
      <c r="P95" s="25">
        <v>15.8</v>
      </c>
      <c r="Q95">
        <v>0.3</v>
      </c>
      <c r="R95">
        <v>0.6</v>
      </c>
      <c r="S95" s="14">
        <v>55509</v>
      </c>
      <c r="T95" s="224">
        <v>0.32</v>
      </c>
      <c r="U95" s="25">
        <v>84</v>
      </c>
      <c r="V95" s="24">
        <v>8837.6190999999999</v>
      </c>
      <c r="W95" s="22">
        <v>29.5</v>
      </c>
      <c r="X95" s="20">
        <v>14.628</v>
      </c>
      <c r="Y95" s="19">
        <f t="shared" si="3"/>
        <v>2.6829375002871347</v>
      </c>
      <c r="Z95" s="21">
        <v>373</v>
      </c>
      <c r="AA95" s="19">
        <f t="shared" si="4"/>
        <v>5.9215784196438159</v>
      </c>
      <c r="AB95" s="2">
        <v>15.8</v>
      </c>
      <c r="AC95" s="20">
        <v>8837.6200000000008</v>
      </c>
      <c r="AD95" s="19">
        <f t="shared" si="5"/>
        <v>9.0867728886133481</v>
      </c>
      <c r="AE95" s="4">
        <v>38.721800000000002</v>
      </c>
      <c r="AF95" s="1">
        <v>4.4302000000000001</v>
      </c>
      <c r="AG95" s="242">
        <v>83.947900000000004</v>
      </c>
      <c r="AH95" s="242">
        <v>17.5</v>
      </c>
      <c r="AI95" s="245">
        <v>78.046000000000006</v>
      </c>
    </row>
    <row r="96" spans="1:35">
      <c r="A96" s="24">
        <v>9</v>
      </c>
      <c r="B96" s="28" t="s">
        <v>36</v>
      </c>
      <c r="C96" s="28" t="s">
        <v>35</v>
      </c>
      <c r="D96" s="23">
        <v>2016</v>
      </c>
      <c r="E96" s="239">
        <v>32.299999999999997</v>
      </c>
      <c r="F96">
        <v>1.39751</v>
      </c>
      <c r="G96" s="17">
        <v>2700000000</v>
      </c>
      <c r="H96" s="242">
        <v>18049.900000000001</v>
      </c>
      <c r="I96" s="4">
        <v>0.52</v>
      </c>
      <c r="J96" s="24">
        <v>13.941000000000001</v>
      </c>
      <c r="K96" s="26">
        <v>1.2839</v>
      </c>
      <c r="L96" s="24">
        <v>412</v>
      </c>
      <c r="M96">
        <v>17.200001</v>
      </c>
      <c r="N96" s="27">
        <v>85.4</v>
      </c>
      <c r="O96" s="26">
        <v>2.1</v>
      </c>
      <c r="P96" s="25">
        <v>52.2</v>
      </c>
      <c r="Q96">
        <v>0.3</v>
      </c>
      <c r="R96">
        <v>0.6</v>
      </c>
      <c r="S96" s="14">
        <v>66723</v>
      </c>
      <c r="T96" s="224">
        <v>0.09</v>
      </c>
      <c r="U96" s="25">
        <v>84</v>
      </c>
      <c r="V96" s="24">
        <v>8811.1337999999996</v>
      </c>
      <c r="W96" s="22">
        <v>32.5</v>
      </c>
      <c r="X96" s="20">
        <v>13.941000000000001</v>
      </c>
      <c r="Y96" s="19">
        <f t="shared" si="3"/>
        <v>2.6348341387709509</v>
      </c>
      <c r="Z96" s="21">
        <v>412</v>
      </c>
      <c r="AA96" s="19">
        <f t="shared" si="4"/>
        <v>6.0210233493495267</v>
      </c>
      <c r="AB96" s="2">
        <v>17.2</v>
      </c>
      <c r="AC96" s="20">
        <v>8811.1299999999992</v>
      </c>
      <c r="AD96" s="19">
        <f t="shared" si="5"/>
        <v>9.083770974042304</v>
      </c>
      <c r="AE96" s="4">
        <v>38.819800000000001</v>
      </c>
      <c r="AF96" s="1">
        <v>4.4260400000000004</v>
      </c>
      <c r="AG96" s="242">
        <v>83.599500000000006</v>
      </c>
      <c r="AH96" s="242">
        <v>16.399999999999999</v>
      </c>
      <c r="AI96" s="245">
        <v>78.387</v>
      </c>
    </row>
    <row r="97" spans="1:35">
      <c r="A97" s="24">
        <v>9</v>
      </c>
      <c r="B97" s="28" t="s">
        <v>36</v>
      </c>
      <c r="C97" s="28" t="s">
        <v>35</v>
      </c>
      <c r="D97" s="23">
        <v>2017</v>
      </c>
      <c r="E97" s="239">
        <v>33.200000000000003</v>
      </c>
      <c r="F97">
        <v>1.7162999999999999</v>
      </c>
      <c r="G97" s="17">
        <v>3400000000</v>
      </c>
      <c r="H97" s="242">
        <v>18352.099999999999</v>
      </c>
      <c r="I97" s="4">
        <v>0.53</v>
      </c>
      <c r="J97" s="24">
        <v>13.236000000000001</v>
      </c>
      <c r="K97" s="26">
        <v>1.3152999999999999</v>
      </c>
      <c r="L97" s="24">
        <v>420</v>
      </c>
      <c r="M97">
        <v>18.899999999999999</v>
      </c>
      <c r="N97" s="27">
        <v>78.8</v>
      </c>
      <c r="O97" s="26">
        <v>2.5</v>
      </c>
      <c r="P97" s="25">
        <v>15.5</v>
      </c>
      <c r="Q97">
        <v>0.3</v>
      </c>
      <c r="R97">
        <v>0.6</v>
      </c>
      <c r="S97" s="14">
        <v>61594</v>
      </c>
      <c r="T97" s="224">
        <v>0.21</v>
      </c>
      <c r="U97" s="25">
        <v>88</v>
      </c>
      <c r="V97" s="24">
        <v>8258.8798999999999</v>
      </c>
      <c r="W97" s="22">
        <v>33.799999999999997</v>
      </c>
      <c r="X97" s="20">
        <v>13.236000000000001</v>
      </c>
      <c r="Y97" s="19">
        <f t="shared" si="3"/>
        <v>2.5829403900593659</v>
      </c>
      <c r="Z97" s="21">
        <v>420</v>
      </c>
      <c r="AA97" s="19">
        <f t="shared" si="4"/>
        <v>6.0402547112774139</v>
      </c>
      <c r="AB97" s="2">
        <v>18.899999999999999</v>
      </c>
      <c r="AC97" s="20">
        <v>8258.8799999999992</v>
      </c>
      <c r="AD97" s="19">
        <f t="shared" si="5"/>
        <v>9.0190442641010922</v>
      </c>
      <c r="AE97" s="4">
        <v>42.979100000000003</v>
      </c>
      <c r="AF97" s="1">
        <v>4.4240599999999999</v>
      </c>
      <c r="AG97" s="242">
        <v>83.434299999999993</v>
      </c>
      <c r="AH97" s="242">
        <v>16.399999999999999</v>
      </c>
      <c r="AI97" s="245">
        <v>78.724000000000004</v>
      </c>
    </row>
    <row r="98" spans="1:35">
      <c r="A98" s="24">
        <v>9</v>
      </c>
      <c r="B98" s="28" t="s">
        <v>36</v>
      </c>
      <c r="C98" s="28" t="s">
        <v>35</v>
      </c>
      <c r="D98" s="23">
        <v>2018</v>
      </c>
      <c r="E98" s="239">
        <v>33</v>
      </c>
      <c r="F98">
        <v>1.88723</v>
      </c>
      <c r="G98" s="17">
        <v>4000000000</v>
      </c>
      <c r="H98" s="242">
        <v>18769</v>
      </c>
      <c r="I98" s="4">
        <v>0.49</v>
      </c>
      <c r="J98" s="24">
        <v>12.987</v>
      </c>
      <c r="K98" s="26">
        <v>1.3757999999999999</v>
      </c>
      <c r="L98" s="24">
        <v>426</v>
      </c>
      <c r="M98">
        <v>20.100000000000001</v>
      </c>
      <c r="N98" s="27">
        <v>80.7</v>
      </c>
      <c r="O98" s="26">
        <v>3</v>
      </c>
      <c r="P98" s="25">
        <v>6.3</v>
      </c>
      <c r="Q98">
        <v>0.1</v>
      </c>
      <c r="R98">
        <v>0.7</v>
      </c>
      <c r="S98" s="14">
        <v>70128</v>
      </c>
      <c r="T98" s="224">
        <v>0</v>
      </c>
      <c r="U98" s="25">
        <v>94</v>
      </c>
      <c r="V98" s="24">
        <v>7262.9263000000001</v>
      </c>
      <c r="W98" s="22">
        <v>35.5</v>
      </c>
      <c r="X98" s="20">
        <v>12.987</v>
      </c>
      <c r="Y98" s="19">
        <f t="shared" si="3"/>
        <v>2.5639488571279534</v>
      </c>
      <c r="Z98" s="21">
        <v>426</v>
      </c>
      <c r="AA98" s="19">
        <f t="shared" si="4"/>
        <v>6.0544393462693709</v>
      </c>
      <c r="AB98" s="2">
        <v>20.100000000000001</v>
      </c>
      <c r="AC98" s="20">
        <v>7262.93</v>
      </c>
      <c r="AD98" s="19">
        <f t="shared" si="5"/>
        <v>8.8905386076690451</v>
      </c>
      <c r="AE98" s="4">
        <v>48.466700000000003</v>
      </c>
      <c r="AF98" s="1">
        <v>4.4220300000000003</v>
      </c>
      <c r="AG98" s="242">
        <v>83.265199999999993</v>
      </c>
      <c r="AH98" s="242">
        <v>17.899999999999999</v>
      </c>
      <c r="AI98" s="245">
        <v>79.058000000000007</v>
      </c>
    </row>
    <row r="99" spans="1:35">
      <c r="A99" s="24">
        <v>9</v>
      </c>
      <c r="B99" s="28" t="s">
        <v>36</v>
      </c>
      <c r="C99" s="28" t="s">
        <v>35</v>
      </c>
      <c r="D99" s="23">
        <v>2019</v>
      </c>
      <c r="E99" s="239">
        <v>33.700000000000003</v>
      </c>
      <c r="F99">
        <v>2.4117199999999999</v>
      </c>
      <c r="G99" s="17">
        <v>5000000000</v>
      </c>
      <c r="H99" s="242">
        <v>19216.7</v>
      </c>
      <c r="I99" s="4">
        <v>0.5</v>
      </c>
      <c r="J99" s="24">
        <v>12.8</v>
      </c>
      <c r="K99" s="26">
        <v>1.4764999999999999</v>
      </c>
      <c r="L99" s="24">
        <v>431</v>
      </c>
      <c r="M99">
        <v>21</v>
      </c>
      <c r="N99" s="27">
        <v>79</v>
      </c>
      <c r="O99" s="26">
        <v>3.3</v>
      </c>
      <c r="P99" s="25">
        <v>5.3</v>
      </c>
      <c r="Q99">
        <v>0.2</v>
      </c>
      <c r="R99">
        <v>0.8</v>
      </c>
      <c r="S99" s="14">
        <v>72533</v>
      </c>
      <c r="T99" s="224">
        <v>0.03</v>
      </c>
      <c r="U99" s="25">
        <v>93</v>
      </c>
      <c r="V99" s="24">
        <v>6266.9727000000003</v>
      </c>
      <c r="W99" s="22">
        <v>36.299999999999997</v>
      </c>
      <c r="X99" s="20">
        <v>12.8</v>
      </c>
      <c r="Y99" s="19">
        <f t="shared" si="3"/>
        <v>2.5494451709255714</v>
      </c>
      <c r="Z99" s="21">
        <v>431</v>
      </c>
      <c r="AA99" s="19">
        <f t="shared" si="4"/>
        <v>6.0661080901037474</v>
      </c>
      <c r="AB99" s="2">
        <v>21</v>
      </c>
      <c r="AC99" s="20"/>
      <c r="AD99" s="19" t="e">
        <f t="shared" si="5"/>
        <v>#NUM!</v>
      </c>
      <c r="AE99" s="4">
        <v>48.378300000000003</v>
      </c>
      <c r="AF99" s="1">
        <v>4.4209800000000001</v>
      </c>
      <c r="AG99" s="242">
        <v>83.177499999999995</v>
      </c>
      <c r="AH99" s="242">
        <v>18.5</v>
      </c>
      <c r="AI99" s="245">
        <v>79.388000000000005</v>
      </c>
    </row>
    <row r="100" spans="1:35">
      <c r="A100" s="24">
        <v>9</v>
      </c>
      <c r="B100" s="28" t="s">
        <v>36</v>
      </c>
      <c r="C100" s="28" t="s">
        <v>35</v>
      </c>
      <c r="D100" s="23">
        <v>2020</v>
      </c>
      <c r="E100" s="239">
        <v>34.299999999999997</v>
      </c>
      <c r="F100">
        <v>1.72638</v>
      </c>
      <c r="G100" s="17">
        <v>3300000000</v>
      </c>
      <c r="H100" s="242">
        <v>17487</v>
      </c>
      <c r="I100" s="4">
        <v>0.49</v>
      </c>
      <c r="J100" s="24">
        <v>11.805999999999999</v>
      </c>
      <c r="K100" s="26">
        <v>1.5230999999999999</v>
      </c>
      <c r="L100" s="24">
        <v>436</v>
      </c>
      <c r="M100">
        <v>18.100000000000001</v>
      </c>
      <c r="N100" s="27">
        <v>84.6</v>
      </c>
      <c r="O100" s="26">
        <v>4.2</v>
      </c>
      <c r="P100" s="25">
        <v>18.8</v>
      </c>
      <c r="Q100">
        <v>0.1</v>
      </c>
      <c r="R100">
        <v>0.6</v>
      </c>
      <c r="S100" s="14">
        <v>61139</v>
      </c>
      <c r="T100" s="224">
        <v>0.05</v>
      </c>
      <c r="U100" s="25">
        <v>84</v>
      </c>
      <c r="V100" s="24">
        <v>5271.0190000000002</v>
      </c>
      <c r="W100" s="22">
        <v>39.200000000000003</v>
      </c>
      <c r="X100" s="20">
        <v>11.805999999999999</v>
      </c>
      <c r="Y100" s="19">
        <f t="shared" si="3"/>
        <v>2.4686078768184974</v>
      </c>
      <c r="Z100" s="21">
        <v>436</v>
      </c>
      <c r="AA100" s="19">
        <f t="shared" si="4"/>
        <v>6.0776422433490342</v>
      </c>
      <c r="AB100" s="2">
        <v>18.100000000000001</v>
      </c>
      <c r="AC100" s="20"/>
      <c r="AD100" s="19" t="e">
        <f t="shared" si="5"/>
        <v>#NUM!</v>
      </c>
      <c r="AE100" s="4">
        <v>47.638300000000001</v>
      </c>
      <c r="AF100" s="1">
        <v>4.4188299999999998</v>
      </c>
      <c r="AG100" s="242">
        <v>82.999200000000002</v>
      </c>
      <c r="AH100" s="242">
        <v>20.100000000000001</v>
      </c>
      <c r="AI100" s="245">
        <v>79.715000000000003</v>
      </c>
    </row>
    <row r="101" spans="1:35">
      <c r="A101" s="24">
        <v>10</v>
      </c>
      <c r="B101" s="28" t="s">
        <v>34</v>
      </c>
      <c r="C101" s="28" t="s">
        <v>4</v>
      </c>
      <c r="D101" s="23">
        <v>2010</v>
      </c>
      <c r="E101" s="239">
        <v>13.5</v>
      </c>
      <c r="F101">
        <v>2.5636999999999999</v>
      </c>
      <c r="G101" s="17">
        <v>37000000000</v>
      </c>
      <c r="H101" s="242">
        <v>25766.3</v>
      </c>
      <c r="I101" s="4">
        <v>0.84</v>
      </c>
      <c r="J101" s="24">
        <v>13.397</v>
      </c>
      <c r="K101" s="26">
        <v>1.833</v>
      </c>
      <c r="L101" s="24">
        <v>488</v>
      </c>
      <c r="M101">
        <v>29.200001</v>
      </c>
      <c r="N101" s="27">
        <v>67.400000000000006</v>
      </c>
      <c r="O101" s="26">
        <v>1.4</v>
      </c>
      <c r="P101" s="25">
        <v>4470.3</v>
      </c>
      <c r="S101" s="14">
        <v>354615</v>
      </c>
      <c r="T101" s="224">
        <v>0.38</v>
      </c>
      <c r="U101" s="25">
        <v>100</v>
      </c>
      <c r="V101" s="24">
        <v>6200.9184999999998</v>
      </c>
      <c r="W101" s="22">
        <v>32.6</v>
      </c>
      <c r="X101" s="20">
        <v>13.397</v>
      </c>
      <c r="Y101" s="19">
        <f t="shared" si="3"/>
        <v>2.5950308012948486</v>
      </c>
      <c r="Z101" s="21">
        <v>488</v>
      </c>
      <c r="AA101" s="19">
        <f t="shared" si="4"/>
        <v>6.1903154058531475</v>
      </c>
      <c r="AB101" s="2">
        <v>29.2</v>
      </c>
      <c r="AC101" s="20">
        <v>6200.92</v>
      </c>
      <c r="AD101" s="19">
        <f t="shared" si="5"/>
        <v>8.732452947121681</v>
      </c>
      <c r="AE101" s="4">
        <v>40.716999999999999</v>
      </c>
      <c r="AF101" s="1">
        <v>4.53423</v>
      </c>
      <c r="AG101" s="242">
        <v>93.151899999999998</v>
      </c>
      <c r="AH101" s="242">
        <v>14.4</v>
      </c>
      <c r="AI101" s="245">
        <v>78.441999999999993</v>
      </c>
    </row>
    <row r="102" spans="1:35">
      <c r="A102" s="24">
        <v>10</v>
      </c>
      <c r="B102" s="28" t="s">
        <v>34</v>
      </c>
      <c r="C102" s="28" t="s">
        <v>4</v>
      </c>
      <c r="D102" s="23">
        <v>2011</v>
      </c>
      <c r="E102" s="239">
        <v>13.5</v>
      </c>
      <c r="F102">
        <v>1.80375</v>
      </c>
      <c r="G102" s="17">
        <v>27000000000</v>
      </c>
      <c r="H102" s="242">
        <v>25510.6</v>
      </c>
      <c r="I102" s="4">
        <v>0.83</v>
      </c>
      <c r="J102" s="24">
        <v>12.143000000000001</v>
      </c>
      <c r="K102" s="26">
        <v>2.0602999999999998</v>
      </c>
      <c r="L102" s="24">
        <v>498</v>
      </c>
      <c r="M102">
        <v>26.700001</v>
      </c>
      <c r="N102" s="27">
        <v>80.3</v>
      </c>
      <c r="O102" s="26">
        <v>9.9</v>
      </c>
      <c r="P102" s="25">
        <v>4464.8999999999996</v>
      </c>
      <c r="S102" s="14">
        <v>347090</v>
      </c>
      <c r="T102" s="224">
        <v>0.38</v>
      </c>
      <c r="U102" s="25">
        <v>98</v>
      </c>
      <c r="V102" s="24">
        <v>5625.6913999999997</v>
      </c>
      <c r="W102" s="22">
        <v>35.4</v>
      </c>
      <c r="X102" s="20">
        <v>12.143000000000001</v>
      </c>
      <c r="Y102" s="19">
        <f t="shared" si="3"/>
        <v>2.4967528720716818</v>
      </c>
      <c r="Z102" s="21">
        <v>498</v>
      </c>
      <c r="AA102" s="19">
        <f t="shared" si="4"/>
        <v>6.2106000770246528</v>
      </c>
      <c r="AB102" s="2">
        <v>26.7</v>
      </c>
      <c r="AC102" s="20">
        <v>5625.69</v>
      </c>
      <c r="AD102" s="19">
        <f t="shared" si="5"/>
        <v>8.6350988862163476</v>
      </c>
      <c r="AE102" s="4">
        <v>45.924399999999999</v>
      </c>
      <c r="AF102" s="1">
        <v>4.5380500000000001</v>
      </c>
      <c r="AG102" s="242">
        <v>93.507800000000003</v>
      </c>
      <c r="AH102" s="242">
        <v>14.7</v>
      </c>
      <c r="AI102" s="245">
        <v>78.673000000000002</v>
      </c>
    </row>
    <row r="103" spans="1:35">
      <c r="A103" s="24">
        <v>10</v>
      </c>
      <c r="B103" s="28" t="s">
        <v>34</v>
      </c>
      <c r="C103" s="28" t="s">
        <v>4</v>
      </c>
      <c r="D103" s="23">
        <v>2012</v>
      </c>
      <c r="E103" s="239">
        <v>14.5</v>
      </c>
      <c r="F103">
        <v>1.5663800000000001</v>
      </c>
      <c r="G103" s="17">
        <v>21000000000</v>
      </c>
      <c r="H103" s="242">
        <v>24763.599999999999</v>
      </c>
      <c r="I103" s="4">
        <v>0.83</v>
      </c>
      <c r="J103" s="24">
        <v>9.2240000000000002</v>
      </c>
      <c r="K103" s="26">
        <v>2.5129000000000001</v>
      </c>
      <c r="L103" s="24">
        <v>504</v>
      </c>
      <c r="M103">
        <v>29.799999</v>
      </c>
      <c r="N103" s="27">
        <v>84.5</v>
      </c>
      <c r="O103" s="26">
        <v>9.8000000000000007</v>
      </c>
      <c r="P103" s="25">
        <v>5813.4</v>
      </c>
      <c r="Q103">
        <v>0.3</v>
      </c>
      <c r="R103">
        <v>1.4</v>
      </c>
      <c r="S103" s="14">
        <v>343199</v>
      </c>
      <c r="T103" s="224">
        <v>0.39</v>
      </c>
      <c r="U103" s="25">
        <v>97</v>
      </c>
      <c r="V103" s="24">
        <v>5690.8247000000001</v>
      </c>
      <c r="W103" s="22">
        <v>41.5</v>
      </c>
      <c r="X103" s="20">
        <v>9.2240000000000002</v>
      </c>
      <c r="Y103" s="19">
        <f t="shared" si="3"/>
        <v>2.2218087829667579</v>
      </c>
      <c r="Z103" s="21">
        <v>504</v>
      </c>
      <c r="AA103" s="19">
        <f t="shared" si="4"/>
        <v>6.2225762680713688</v>
      </c>
      <c r="AB103" s="2">
        <v>29.8</v>
      </c>
      <c r="AC103" s="20">
        <v>5690.82</v>
      </c>
      <c r="AD103" s="19">
        <f t="shared" si="5"/>
        <v>8.6466096292152024</v>
      </c>
      <c r="AE103" s="4">
        <v>47.527500000000003</v>
      </c>
      <c r="AF103" s="1">
        <v>4.53803</v>
      </c>
      <c r="AG103" s="242">
        <v>93.506799999999998</v>
      </c>
      <c r="AH103" s="242">
        <v>15.8</v>
      </c>
      <c r="AI103" s="245">
        <v>78.902000000000001</v>
      </c>
    </row>
    <row r="104" spans="1:35">
      <c r="A104" s="24">
        <v>10</v>
      </c>
      <c r="B104" s="28" t="s">
        <v>34</v>
      </c>
      <c r="C104" s="28" t="s">
        <v>4</v>
      </c>
      <c r="D104" s="23">
        <v>2013</v>
      </c>
      <c r="E104" s="239">
        <v>14.5</v>
      </c>
      <c r="F104">
        <v>3.4608599999999998</v>
      </c>
      <c r="G104" s="17">
        <v>47000000000</v>
      </c>
      <c r="H104" s="242">
        <v>24490.2</v>
      </c>
      <c r="I104" s="4">
        <v>0.84</v>
      </c>
      <c r="J104" s="24">
        <v>8.3710003000000004</v>
      </c>
      <c r="K104" s="26">
        <v>2.6389</v>
      </c>
      <c r="L104" s="24">
        <v>515</v>
      </c>
      <c r="M104">
        <v>32.5</v>
      </c>
      <c r="N104" s="27">
        <v>82</v>
      </c>
      <c r="O104" s="26">
        <v>8.9</v>
      </c>
      <c r="P104" s="25">
        <v>6137.4</v>
      </c>
      <c r="Q104">
        <v>0.4</v>
      </c>
      <c r="R104">
        <v>1.6</v>
      </c>
      <c r="S104" s="14">
        <v>362476</v>
      </c>
      <c r="T104" s="224">
        <v>0.64</v>
      </c>
      <c r="U104" s="25">
        <v>97</v>
      </c>
      <c r="V104" s="24">
        <v>5911.8633</v>
      </c>
      <c r="W104" s="22">
        <v>41.7</v>
      </c>
      <c r="X104" s="20">
        <v>8.3710000000000004</v>
      </c>
      <c r="Y104" s="19">
        <f t="shared" si="3"/>
        <v>2.1247733516779195</v>
      </c>
      <c r="Z104" s="21">
        <v>515</v>
      </c>
      <c r="AA104" s="19">
        <f t="shared" si="4"/>
        <v>6.2441669006637364</v>
      </c>
      <c r="AB104" s="2">
        <v>32.5</v>
      </c>
      <c r="AC104" s="20">
        <v>5911.86</v>
      </c>
      <c r="AD104" s="19">
        <f t="shared" si="5"/>
        <v>8.6847157816981202</v>
      </c>
      <c r="AE104" s="4">
        <v>48.336300000000001</v>
      </c>
      <c r="AF104" s="1">
        <v>4.5347600000000003</v>
      </c>
      <c r="AG104" s="242">
        <v>93.200900000000004</v>
      </c>
      <c r="AH104" s="242">
        <v>16.899999999999999</v>
      </c>
      <c r="AI104" s="245">
        <v>79.132999999999996</v>
      </c>
    </row>
    <row r="105" spans="1:35">
      <c r="A105" s="24">
        <v>10</v>
      </c>
      <c r="B105" s="28" t="s">
        <v>34</v>
      </c>
      <c r="C105" s="28" t="s">
        <v>4</v>
      </c>
      <c r="D105" s="23">
        <v>2014</v>
      </c>
      <c r="E105" s="239">
        <v>14.7</v>
      </c>
      <c r="F105">
        <v>2.3164199999999999</v>
      </c>
      <c r="G105" s="17">
        <v>32000000000</v>
      </c>
      <c r="H105" s="242">
        <v>24937</v>
      </c>
      <c r="I105" s="4">
        <v>0.88</v>
      </c>
      <c r="J105" s="24">
        <v>8.6499995999999992</v>
      </c>
      <c r="K105" s="26">
        <v>2.6488999999999998</v>
      </c>
      <c r="L105" s="24">
        <v>524</v>
      </c>
      <c r="M105">
        <v>30.799999</v>
      </c>
      <c r="N105" s="27">
        <v>76.900000000000006</v>
      </c>
      <c r="O105" s="26">
        <v>7.7</v>
      </c>
      <c r="P105" s="25">
        <v>5949.4</v>
      </c>
      <c r="Q105">
        <v>0.4</v>
      </c>
      <c r="R105">
        <v>1.6</v>
      </c>
      <c r="S105" s="14">
        <v>364718</v>
      </c>
      <c r="T105" s="224">
        <v>0.47</v>
      </c>
      <c r="U105" s="25">
        <v>99</v>
      </c>
      <c r="V105" s="24">
        <v>5651.5137000000004</v>
      </c>
      <c r="W105" s="22">
        <v>43.3</v>
      </c>
      <c r="X105" s="20">
        <v>8.65</v>
      </c>
      <c r="Y105" s="19">
        <f t="shared" si="3"/>
        <v>2.157559320943788</v>
      </c>
      <c r="Z105" s="21">
        <v>524</v>
      </c>
      <c r="AA105" s="19">
        <f t="shared" si="4"/>
        <v>6.261491684321042</v>
      </c>
      <c r="AB105" s="2">
        <v>30.8</v>
      </c>
      <c r="AC105" s="20">
        <v>5651.51</v>
      </c>
      <c r="AD105" s="19">
        <f t="shared" si="5"/>
        <v>8.639678045070962</v>
      </c>
      <c r="AE105" s="4">
        <v>49.512500000000003</v>
      </c>
      <c r="AF105" s="1">
        <v>4.5317699999999999</v>
      </c>
      <c r="AG105" s="242">
        <v>92.922700000000006</v>
      </c>
      <c r="AH105" s="242">
        <v>17.3</v>
      </c>
      <c r="AI105" s="245">
        <v>79.366</v>
      </c>
    </row>
    <row r="106" spans="1:35">
      <c r="A106" s="24">
        <v>10</v>
      </c>
      <c r="B106" s="28" t="s">
        <v>34</v>
      </c>
      <c r="C106" s="28" t="s">
        <v>4</v>
      </c>
      <c r="D106" s="23">
        <v>2015</v>
      </c>
      <c r="E106" s="239">
        <v>15.5</v>
      </c>
      <c r="F106">
        <v>1.97132</v>
      </c>
      <c r="G106" s="17">
        <v>24000000000</v>
      </c>
      <c r="H106" s="242">
        <v>25969.8</v>
      </c>
      <c r="I106" s="4">
        <v>0.88</v>
      </c>
      <c r="J106" s="24">
        <v>9.2690000999999995</v>
      </c>
      <c r="K106" s="26">
        <v>2.6311</v>
      </c>
      <c r="L106" s="24">
        <v>499</v>
      </c>
      <c r="M106">
        <v>30</v>
      </c>
      <c r="N106" s="27">
        <v>75.7</v>
      </c>
      <c r="O106" s="26">
        <v>7.6</v>
      </c>
      <c r="P106" s="25">
        <v>6533.2</v>
      </c>
      <c r="Q106">
        <v>0.4</v>
      </c>
      <c r="R106">
        <v>1.6</v>
      </c>
      <c r="S106" s="14">
        <v>384276</v>
      </c>
      <c r="T106" s="224">
        <v>0.39</v>
      </c>
      <c r="U106" s="25">
        <v>101</v>
      </c>
      <c r="V106" s="24">
        <v>5934.1758</v>
      </c>
      <c r="W106" s="22">
        <v>43.7</v>
      </c>
      <c r="X106" s="20">
        <v>9.2690000000000001</v>
      </c>
      <c r="Y106" s="19">
        <f t="shared" si="3"/>
        <v>2.2266754988936954</v>
      </c>
      <c r="Z106" s="21">
        <v>499</v>
      </c>
      <c r="AA106" s="19">
        <f t="shared" si="4"/>
        <v>6.2126060957515188</v>
      </c>
      <c r="AB106" s="2">
        <v>30</v>
      </c>
      <c r="AC106" s="20">
        <v>5934.18</v>
      </c>
      <c r="AD106" s="19">
        <f t="shared" si="5"/>
        <v>8.6884841340610848</v>
      </c>
      <c r="AE106" s="4">
        <v>49.257399999999997</v>
      </c>
      <c r="AF106" s="1">
        <v>4.5320900000000002</v>
      </c>
      <c r="AG106" s="242">
        <v>92.952699999999993</v>
      </c>
      <c r="AH106" s="242">
        <v>16.3</v>
      </c>
      <c r="AI106" s="245">
        <v>79.602000000000004</v>
      </c>
    </row>
    <row r="107" spans="1:35">
      <c r="A107" s="24">
        <v>10</v>
      </c>
      <c r="B107" s="28" t="s">
        <v>34</v>
      </c>
      <c r="C107" s="28" t="s">
        <v>4</v>
      </c>
      <c r="D107" s="23">
        <v>2016</v>
      </c>
      <c r="E107" s="239">
        <v>14.7</v>
      </c>
      <c r="F107">
        <v>3.6172200000000001</v>
      </c>
      <c r="G107" s="17">
        <v>45000000000</v>
      </c>
      <c r="H107" s="242">
        <v>26704.3</v>
      </c>
      <c r="I107" s="4">
        <v>0.87</v>
      </c>
      <c r="J107" s="24">
        <v>9.6400003000000005</v>
      </c>
      <c r="K107" s="26">
        <v>2.7776000000000001</v>
      </c>
      <c r="L107" s="24">
        <v>509</v>
      </c>
      <c r="M107">
        <v>33.900002000000001</v>
      </c>
      <c r="N107" s="27">
        <v>87.8</v>
      </c>
      <c r="O107" s="26">
        <v>8.1999999999999993</v>
      </c>
      <c r="P107" s="25">
        <v>7546.6</v>
      </c>
      <c r="Q107">
        <v>0.4</v>
      </c>
      <c r="R107">
        <v>1.6</v>
      </c>
      <c r="S107" s="14">
        <v>405105</v>
      </c>
      <c r="T107" s="224">
        <v>0.59</v>
      </c>
      <c r="U107" s="25">
        <v>105</v>
      </c>
      <c r="V107" s="24">
        <v>5756.7114000000001</v>
      </c>
      <c r="W107" s="22">
        <v>42.9</v>
      </c>
      <c r="X107" s="20">
        <v>9.64</v>
      </c>
      <c r="Y107" s="19">
        <f t="shared" si="3"/>
        <v>2.2659211086224542</v>
      </c>
      <c r="Z107" s="21">
        <v>509</v>
      </c>
      <c r="AA107" s="19">
        <f t="shared" si="4"/>
        <v>6.2324480165505225</v>
      </c>
      <c r="AB107" s="2">
        <v>33.9</v>
      </c>
      <c r="AC107" s="20">
        <v>5756.71</v>
      </c>
      <c r="AD107" s="19">
        <f t="shared" si="5"/>
        <v>8.6581214099486257</v>
      </c>
      <c r="AE107" s="4">
        <v>48.342300000000002</v>
      </c>
      <c r="AF107" s="1">
        <v>4.5331299999999999</v>
      </c>
      <c r="AG107" s="242">
        <v>93.049300000000002</v>
      </c>
      <c r="AH107" s="242">
        <v>16.7</v>
      </c>
      <c r="AI107" s="245">
        <v>79.84</v>
      </c>
    </row>
    <row r="108" spans="1:35">
      <c r="A108" s="24">
        <v>10</v>
      </c>
      <c r="B108" s="28" t="s">
        <v>34</v>
      </c>
      <c r="C108" s="28" t="s">
        <v>4</v>
      </c>
      <c r="D108" s="23">
        <v>2017</v>
      </c>
      <c r="E108" s="239">
        <v>15.2</v>
      </c>
      <c r="F108">
        <v>2.5403899999999999</v>
      </c>
      <c r="G108" s="17">
        <v>34000000000</v>
      </c>
      <c r="H108" s="242">
        <v>27413.3</v>
      </c>
      <c r="I108" s="4">
        <v>0.9</v>
      </c>
      <c r="J108" s="24">
        <v>9.5539999000000009</v>
      </c>
      <c r="K108" s="26">
        <v>2.8016000000000001</v>
      </c>
      <c r="L108" s="24">
        <v>581</v>
      </c>
      <c r="M108">
        <v>36.099997999999999</v>
      </c>
      <c r="N108" s="27">
        <v>83.1</v>
      </c>
      <c r="O108" s="26">
        <v>8.8000000000000007</v>
      </c>
      <c r="P108" s="25">
        <v>9056.9</v>
      </c>
      <c r="Q108">
        <v>0.4</v>
      </c>
      <c r="R108">
        <v>1.6</v>
      </c>
      <c r="S108" s="14">
        <v>414861</v>
      </c>
      <c r="T108" s="224">
        <v>0.33</v>
      </c>
      <c r="U108" s="25">
        <v>105</v>
      </c>
      <c r="V108" s="24">
        <v>5361.4937</v>
      </c>
      <c r="W108" s="22">
        <v>45.7</v>
      </c>
      <c r="X108" s="20">
        <v>9.5540000000000003</v>
      </c>
      <c r="Y108" s="19">
        <f t="shared" si="3"/>
        <v>2.2569599149677702</v>
      </c>
      <c r="Z108" s="21"/>
      <c r="AA108" s="19" t="e">
        <f t="shared" si="4"/>
        <v>#NUM!</v>
      </c>
      <c r="AB108" s="2">
        <v>36.1</v>
      </c>
      <c r="AC108" s="20">
        <v>5361.49</v>
      </c>
      <c r="AD108" s="19">
        <f t="shared" si="5"/>
        <v>8.5869972005087831</v>
      </c>
      <c r="AE108" s="4">
        <v>50.804600000000001</v>
      </c>
      <c r="AF108" s="1">
        <v>4.5355100000000004</v>
      </c>
      <c r="AG108" s="242">
        <v>93.270899999999997</v>
      </c>
      <c r="AH108" s="242">
        <v>15.2</v>
      </c>
      <c r="AI108" s="245">
        <v>80.08</v>
      </c>
    </row>
    <row r="109" spans="1:35">
      <c r="A109" s="24">
        <v>10</v>
      </c>
      <c r="B109" s="28" t="s">
        <v>34</v>
      </c>
      <c r="C109" s="28" t="s">
        <v>4</v>
      </c>
      <c r="D109" s="23">
        <v>2018</v>
      </c>
      <c r="E109" s="239">
        <v>15.6</v>
      </c>
      <c r="F109">
        <v>4.4674800000000001</v>
      </c>
      <c r="G109" s="17">
        <v>64000000000</v>
      </c>
      <c r="H109" s="242">
        <v>27947.3</v>
      </c>
      <c r="I109" s="4">
        <v>0.85</v>
      </c>
      <c r="J109" s="24">
        <v>10.792999999999999</v>
      </c>
      <c r="K109" s="26">
        <v>2.6257999999999999</v>
      </c>
      <c r="L109" s="24">
        <v>653</v>
      </c>
      <c r="M109">
        <v>34.799999</v>
      </c>
      <c r="N109" s="27">
        <v>86.2</v>
      </c>
      <c r="O109" s="26">
        <v>8.9</v>
      </c>
      <c r="P109" s="25">
        <v>9202.2000000000007</v>
      </c>
      <c r="Q109">
        <v>0.4</v>
      </c>
      <c r="R109">
        <v>1.7</v>
      </c>
      <c r="S109" s="14">
        <v>426566</v>
      </c>
      <c r="T109" s="224">
        <v>0.39</v>
      </c>
      <c r="U109" s="25">
        <v>110</v>
      </c>
      <c r="V109" s="24">
        <v>4566.1918999999998</v>
      </c>
      <c r="W109" s="22">
        <v>42.8</v>
      </c>
      <c r="X109" s="20">
        <v>10.792999999999999</v>
      </c>
      <c r="Y109" s="19">
        <f t="shared" si="3"/>
        <v>2.3788977758432091</v>
      </c>
      <c r="Z109" s="21">
        <v>653</v>
      </c>
      <c r="AA109" s="19">
        <f t="shared" si="4"/>
        <v>6.481577129276431</v>
      </c>
      <c r="AB109" s="2">
        <v>34.799999999999997</v>
      </c>
      <c r="AC109" s="20">
        <v>4566.1899999999996</v>
      </c>
      <c r="AD109" s="19">
        <f t="shared" si="5"/>
        <v>8.4264344381381378</v>
      </c>
      <c r="AE109" s="4">
        <v>51.501399999999997</v>
      </c>
      <c r="AF109" s="1">
        <v>4.5397800000000004</v>
      </c>
      <c r="AG109" s="242">
        <v>93.669799999999995</v>
      </c>
      <c r="AH109" s="242">
        <v>16.899999999999999</v>
      </c>
      <c r="AI109" s="245">
        <v>80.320999999999998</v>
      </c>
    </row>
    <row r="110" spans="1:35">
      <c r="A110" s="24">
        <v>10</v>
      </c>
      <c r="B110" s="28" t="s">
        <v>34</v>
      </c>
      <c r="C110" s="28" t="s">
        <v>4</v>
      </c>
      <c r="D110" s="23">
        <v>2019</v>
      </c>
      <c r="E110" s="239">
        <v>16.100000000000001</v>
      </c>
      <c r="F110">
        <v>2.16052</v>
      </c>
      <c r="G110" s="17">
        <v>30000000000</v>
      </c>
      <c r="H110" s="242">
        <v>28291.599999999999</v>
      </c>
      <c r="I110" s="4">
        <v>0.81</v>
      </c>
      <c r="J110" s="24">
        <v>9.7670002</v>
      </c>
      <c r="K110" s="26">
        <v>2.7341000000000002</v>
      </c>
      <c r="L110" s="24">
        <v>652</v>
      </c>
      <c r="M110">
        <v>38</v>
      </c>
      <c r="N110" s="27">
        <v>79.7</v>
      </c>
      <c r="O110" s="26">
        <v>9</v>
      </c>
      <c r="P110" s="25">
        <v>5644.1</v>
      </c>
      <c r="Q110">
        <v>0.5</v>
      </c>
      <c r="R110">
        <v>1.8</v>
      </c>
      <c r="S110" s="14">
        <v>455530</v>
      </c>
      <c r="T110" s="224">
        <v>0.38</v>
      </c>
      <c r="U110" s="25">
        <v>110</v>
      </c>
      <c r="V110" s="24">
        <v>3770.8901000000001</v>
      </c>
      <c r="W110" s="22">
        <v>41.8</v>
      </c>
      <c r="X110" s="20">
        <v>9.7669999999999995</v>
      </c>
      <c r="Y110" s="19">
        <f t="shared" si="3"/>
        <v>2.2790093564653398</v>
      </c>
      <c r="Z110" s="21">
        <v>652</v>
      </c>
      <c r="AA110" s="19">
        <f t="shared" si="4"/>
        <v>6.4800445619266531</v>
      </c>
      <c r="AB110" s="2">
        <v>38</v>
      </c>
      <c r="AC110" s="20"/>
      <c r="AD110" s="19" t="e">
        <f t="shared" si="5"/>
        <v>#NUM!</v>
      </c>
      <c r="AE110" s="4">
        <v>50.357700000000001</v>
      </c>
      <c r="AF110" s="1">
        <v>4.5470199999999998</v>
      </c>
      <c r="AG110" s="242">
        <v>94.350800000000007</v>
      </c>
      <c r="AH110" s="242">
        <v>16.7</v>
      </c>
      <c r="AI110" s="245">
        <v>80.564999999999998</v>
      </c>
    </row>
    <row r="111" spans="1:35">
      <c r="A111" s="24">
        <v>10</v>
      </c>
      <c r="B111" s="28" t="s">
        <v>34</v>
      </c>
      <c r="C111" s="28" t="s">
        <v>4</v>
      </c>
      <c r="D111" s="23">
        <v>2020</v>
      </c>
      <c r="E111" s="239">
        <v>16.7</v>
      </c>
      <c r="F111">
        <v>2.9216600000000001</v>
      </c>
      <c r="G111" s="17">
        <v>38000000000</v>
      </c>
      <c r="H111" s="242">
        <v>25073.7</v>
      </c>
      <c r="I111" s="4">
        <v>0.83</v>
      </c>
      <c r="J111" s="24">
        <v>9.6309996000000009</v>
      </c>
      <c r="K111" s="26">
        <v>2.4935999999999998</v>
      </c>
      <c r="L111" s="24">
        <v>637</v>
      </c>
      <c r="M111">
        <v>38.900002000000001</v>
      </c>
      <c r="N111" s="27">
        <v>85.8</v>
      </c>
      <c r="O111" s="26">
        <v>9.3000000000000007</v>
      </c>
      <c r="P111" s="25">
        <v>4127.8</v>
      </c>
      <c r="Q111">
        <v>0.5</v>
      </c>
      <c r="R111">
        <v>2</v>
      </c>
      <c r="S111" s="14">
        <v>448860</v>
      </c>
      <c r="T111" s="224">
        <v>0.45</v>
      </c>
      <c r="U111" s="25">
        <v>104</v>
      </c>
      <c r="V111" s="24">
        <v>2975.5884000000001</v>
      </c>
      <c r="W111" s="22">
        <v>37.9</v>
      </c>
      <c r="X111" s="20">
        <v>9.6310000000000002</v>
      </c>
      <c r="Y111" s="19">
        <f t="shared" si="3"/>
        <v>2.2649870625787272</v>
      </c>
      <c r="Z111" s="21">
        <v>637</v>
      </c>
      <c r="AA111" s="19">
        <f t="shared" si="4"/>
        <v>6.4567696555721632</v>
      </c>
      <c r="AB111" s="2">
        <v>38.9</v>
      </c>
      <c r="AC111" s="20"/>
      <c r="AD111" s="19" t="e">
        <f t="shared" si="5"/>
        <v>#NUM!</v>
      </c>
      <c r="AE111" s="4">
        <v>49.195</v>
      </c>
      <c r="AF111" s="1">
        <v>4.5519299999999996</v>
      </c>
      <c r="AG111" s="242">
        <v>94.815399999999997</v>
      </c>
      <c r="AH111" s="242">
        <v>19.3</v>
      </c>
      <c r="AI111" s="245">
        <v>80.81</v>
      </c>
    </row>
    <row r="112" spans="1:35">
      <c r="A112" s="24">
        <v>11</v>
      </c>
      <c r="B112" s="28" t="s">
        <v>33</v>
      </c>
      <c r="C112" s="28" t="s">
        <v>32</v>
      </c>
      <c r="D112" s="23">
        <v>2010</v>
      </c>
      <c r="E112" s="239">
        <v>27.5</v>
      </c>
      <c r="F112">
        <v>4.8996000000000004</v>
      </c>
      <c r="G112" s="17">
        <v>12000000000</v>
      </c>
      <c r="H112" s="242">
        <v>43556.5</v>
      </c>
      <c r="I112" s="4">
        <v>0.64</v>
      </c>
      <c r="J112" s="24">
        <v>47.610999999999997</v>
      </c>
      <c r="K112" s="26">
        <v>0.87970000000000004</v>
      </c>
      <c r="L112" s="24">
        <v>455</v>
      </c>
      <c r="M112">
        <v>32.799999</v>
      </c>
      <c r="N112" s="27">
        <v>88.5</v>
      </c>
      <c r="O112" s="26">
        <v>1.7</v>
      </c>
      <c r="P112" s="25">
        <v>250.2</v>
      </c>
      <c r="S112" s="14">
        <v>43125</v>
      </c>
      <c r="T112" s="224">
        <v>2.81</v>
      </c>
      <c r="U112" s="25">
        <v>100</v>
      </c>
      <c r="V112" s="24">
        <v>10847.838</v>
      </c>
      <c r="W112" s="22">
        <v>22.1</v>
      </c>
      <c r="X112" s="20">
        <v>47.610999999999997</v>
      </c>
      <c r="Y112" s="19">
        <f t="shared" si="3"/>
        <v>3.8630638269766049</v>
      </c>
      <c r="Z112" s="21">
        <v>455</v>
      </c>
      <c r="AA112" s="19">
        <f t="shared" si="4"/>
        <v>6.1202974189509503</v>
      </c>
      <c r="AB112" s="2">
        <v>32.799999999999997</v>
      </c>
      <c r="AC112" s="20">
        <v>10847.8</v>
      </c>
      <c r="AD112" s="19">
        <f t="shared" si="5"/>
        <v>9.2917175734320505</v>
      </c>
      <c r="AE112" s="4">
        <v>55.454900000000002</v>
      </c>
      <c r="AF112" s="1">
        <v>2.8706499999999999</v>
      </c>
      <c r="AG112" s="242">
        <v>17.648399999999999</v>
      </c>
      <c r="AH112" s="242">
        <v>33.4</v>
      </c>
      <c r="AI112" s="245">
        <v>83.77</v>
      </c>
    </row>
    <row r="113" spans="1:35">
      <c r="A113" s="24">
        <v>11</v>
      </c>
      <c r="B113" s="28" t="s">
        <v>33</v>
      </c>
      <c r="C113" s="28" t="s">
        <v>32</v>
      </c>
      <c r="D113" s="23">
        <v>2011</v>
      </c>
      <c r="E113" s="239">
        <v>28</v>
      </c>
      <c r="F113">
        <v>-2.1840600000000001</v>
      </c>
      <c r="G113" s="17">
        <v>-6000000000</v>
      </c>
      <c r="H113" s="242">
        <v>44391.5</v>
      </c>
      <c r="I113" s="4">
        <v>0.62</v>
      </c>
      <c r="J113" s="24">
        <v>50.433998000000003</v>
      </c>
      <c r="K113" s="26">
        <v>0.92020000000000002</v>
      </c>
      <c r="L113" s="24">
        <v>448</v>
      </c>
      <c r="M113">
        <v>34.799999</v>
      </c>
      <c r="N113" s="27">
        <v>89.1</v>
      </c>
      <c r="O113" s="26">
        <v>11.4</v>
      </c>
      <c r="P113" s="25">
        <v>106.8</v>
      </c>
      <c r="S113" s="14">
        <v>43389</v>
      </c>
      <c r="T113" s="224">
        <v>1.45</v>
      </c>
      <c r="U113" s="25">
        <v>100</v>
      </c>
      <c r="V113" s="24">
        <v>10946.99</v>
      </c>
      <c r="W113" s="22">
        <v>22.7</v>
      </c>
      <c r="X113" s="20">
        <v>50.433999999999997</v>
      </c>
      <c r="Y113" s="19">
        <f t="shared" si="3"/>
        <v>3.9206655508094879</v>
      </c>
      <c r="Z113" s="21">
        <v>448</v>
      </c>
      <c r="AA113" s="19">
        <f t="shared" si="4"/>
        <v>6.1047932324149849</v>
      </c>
      <c r="AB113" s="2">
        <v>34.799999999999997</v>
      </c>
      <c r="AC113" s="20">
        <v>10947</v>
      </c>
      <c r="AD113" s="19">
        <f t="shared" si="5"/>
        <v>9.3008207251045576</v>
      </c>
      <c r="AE113" s="4">
        <v>59.393000000000001</v>
      </c>
      <c r="AF113" s="1">
        <v>2.8753099999999998</v>
      </c>
      <c r="AG113" s="242">
        <v>17.731000000000002</v>
      </c>
      <c r="AH113" s="242">
        <v>35.1</v>
      </c>
      <c r="AI113" s="245">
        <v>84.313000000000002</v>
      </c>
    </row>
    <row r="114" spans="1:35">
      <c r="A114" s="24">
        <v>11</v>
      </c>
      <c r="B114" s="28" t="s">
        <v>33</v>
      </c>
      <c r="C114" s="28" t="s">
        <v>32</v>
      </c>
      <c r="D114" s="23">
        <v>2012</v>
      </c>
      <c r="E114" s="239">
        <v>27</v>
      </c>
      <c r="F114">
        <v>1.9151199999999999</v>
      </c>
      <c r="G114" s="17">
        <v>4900000000</v>
      </c>
      <c r="H114" s="242">
        <v>43507.9</v>
      </c>
      <c r="I114" s="4">
        <v>0.66</v>
      </c>
      <c r="J114" s="24">
        <v>49.250999</v>
      </c>
      <c r="K114" s="26">
        <v>0.91439999999999999</v>
      </c>
      <c r="L114" s="24">
        <v>456</v>
      </c>
      <c r="M114">
        <v>33.299999</v>
      </c>
      <c r="N114" s="27">
        <v>89.4</v>
      </c>
      <c r="O114" s="26">
        <v>12.2</v>
      </c>
      <c r="P114" s="25">
        <v>133.19999999999999</v>
      </c>
      <c r="Q114">
        <v>0.4</v>
      </c>
      <c r="R114">
        <v>1.6</v>
      </c>
      <c r="S114" s="14">
        <v>43654</v>
      </c>
      <c r="T114" s="224">
        <v>2.17</v>
      </c>
      <c r="U114" s="25">
        <v>104</v>
      </c>
      <c r="V114" s="24">
        <v>10107.544</v>
      </c>
      <c r="W114" s="22">
        <v>20.7</v>
      </c>
      <c r="X114" s="20">
        <v>49.250999999999998</v>
      </c>
      <c r="Y114" s="19">
        <f t="shared" si="3"/>
        <v>3.8969296719804909</v>
      </c>
      <c r="Z114" s="21">
        <v>456</v>
      </c>
      <c r="AA114" s="19">
        <f t="shared" si="4"/>
        <v>6.1224928095143865</v>
      </c>
      <c r="AB114" s="2">
        <v>33.299999999999997</v>
      </c>
      <c r="AC114" s="20">
        <v>10107.5</v>
      </c>
      <c r="AD114" s="19">
        <f t="shared" si="5"/>
        <v>9.2210330015149253</v>
      </c>
      <c r="AE114" s="4">
        <v>58.088500000000003</v>
      </c>
      <c r="AF114" s="1">
        <v>2.8800699999999999</v>
      </c>
      <c r="AG114" s="242">
        <v>17.8156</v>
      </c>
      <c r="AH114" s="242">
        <v>38.700000000000003</v>
      </c>
      <c r="AI114" s="245">
        <v>84.840999999999994</v>
      </c>
    </row>
    <row r="115" spans="1:35">
      <c r="A115" s="24">
        <v>11</v>
      </c>
      <c r="B115" s="28" t="s">
        <v>33</v>
      </c>
      <c r="C115" s="28" t="s">
        <v>32</v>
      </c>
      <c r="D115" s="23">
        <v>2013</v>
      </c>
      <c r="E115" s="239">
        <v>26.5</v>
      </c>
      <c r="F115">
        <v>-1.8348899999999999</v>
      </c>
      <c r="G115" s="17">
        <v>-5000000000</v>
      </c>
      <c r="H115" s="242">
        <v>42883.6</v>
      </c>
      <c r="I115" s="4">
        <v>0.67</v>
      </c>
      <c r="J115" s="24">
        <v>54.707000999999998</v>
      </c>
      <c r="K115" s="26">
        <v>0.79820000000000002</v>
      </c>
      <c r="L115" s="24">
        <v>464</v>
      </c>
      <c r="M115">
        <v>32.5</v>
      </c>
      <c r="N115" s="27">
        <v>87.9</v>
      </c>
      <c r="O115" s="26">
        <v>7.9</v>
      </c>
      <c r="P115" s="25">
        <v>107.8</v>
      </c>
      <c r="Q115">
        <v>0.3</v>
      </c>
      <c r="R115">
        <v>1.5</v>
      </c>
      <c r="S115" s="14">
        <v>43299</v>
      </c>
      <c r="T115" s="224">
        <v>2.75</v>
      </c>
      <c r="U115" s="25">
        <v>105</v>
      </c>
      <c r="V115" s="24">
        <v>9492.3857000000007</v>
      </c>
      <c r="W115" s="22">
        <v>19.3</v>
      </c>
      <c r="X115" s="20">
        <v>54.707000000000001</v>
      </c>
      <c r="Y115" s="19">
        <f t="shared" si="3"/>
        <v>4.0019916719899209</v>
      </c>
      <c r="Z115" s="21">
        <v>464</v>
      </c>
      <c r="AA115" s="19">
        <f t="shared" si="4"/>
        <v>6.1398845522262553</v>
      </c>
      <c r="AB115" s="2">
        <v>32.5</v>
      </c>
      <c r="AC115" s="20">
        <v>9492.39</v>
      </c>
      <c r="AD115" s="19">
        <f t="shared" si="5"/>
        <v>9.1582457039429492</v>
      </c>
      <c r="AE115" s="4">
        <v>56.243099999999998</v>
      </c>
      <c r="AF115" s="1">
        <v>2.8846799999999999</v>
      </c>
      <c r="AG115" s="242">
        <v>17.8978</v>
      </c>
      <c r="AH115" s="242">
        <v>38.5</v>
      </c>
      <c r="AI115" s="245">
        <v>85.125</v>
      </c>
    </row>
    <row r="116" spans="1:35">
      <c r="A116" s="24">
        <v>11</v>
      </c>
      <c r="B116" s="28" t="s">
        <v>33</v>
      </c>
      <c r="C116" s="28" t="s">
        <v>32</v>
      </c>
      <c r="D116" s="23">
        <v>2014</v>
      </c>
      <c r="E116" s="239">
        <v>25.5</v>
      </c>
      <c r="F116">
        <v>6.4153700000000002</v>
      </c>
      <c r="G116" s="17">
        <v>18000000000</v>
      </c>
      <c r="H116" s="242">
        <v>42502.5</v>
      </c>
      <c r="I116" s="4">
        <v>0.64</v>
      </c>
      <c r="J116" s="24">
        <v>48.973998999999999</v>
      </c>
      <c r="K116" s="26">
        <v>0.91269999999999996</v>
      </c>
      <c r="L116" s="24">
        <v>473</v>
      </c>
      <c r="M116">
        <v>32.5</v>
      </c>
      <c r="N116" s="27">
        <v>87.8</v>
      </c>
      <c r="O116" s="26">
        <v>5.5</v>
      </c>
      <c r="P116" s="25">
        <v>221.5</v>
      </c>
      <c r="Q116">
        <v>0.4</v>
      </c>
      <c r="R116">
        <v>1.5</v>
      </c>
      <c r="S116" s="14">
        <v>42277</v>
      </c>
      <c r="T116" s="224">
        <v>2.81</v>
      </c>
      <c r="U116" s="25">
        <v>105</v>
      </c>
      <c r="V116" s="24">
        <v>10024.521000000001</v>
      </c>
      <c r="W116" s="22">
        <v>21.3</v>
      </c>
      <c r="X116" s="20">
        <v>48.973999999999997</v>
      </c>
      <c r="Y116" s="19">
        <f t="shared" si="3"/>
        <v>3.8912895450412335</v>
      </c>
      <c r="Z116" s="21">
        <v>473</v>
      </c>
      <c r="AA116" s="19">
        <f t="shared" si="4"/>
        <v>6.1590953884919326</v>
      </c>
      <c r="AB116" s="2">
        <v>32.5</v>
      </c>
      <c r="AC116" s="20">
        <v>10024.5</v>
      </c>
      <c r="AD116" s="19">
        <f t="shared" si="5"/>
        <v>9.212787375619234</v>
      </c>
      <c r="AE116" s="4">
        <v>55.250399999999999</v>
      </c>
      <c r="AF116" s="1">
        <v>2.8888199999999999</v>
      </c>
      <c r="AG116" s="242">
        <v>17.972000000000001</v>
      </c>
      <c r="AH116" s="242">
        <v>41.2</v>
      </c>
      <c r="AI116" s="245">
        <v>85.174999999999997</v>
      </c>
    </row>
    <row r="117" spans="1:35">
      <c r="A117" s="24">
        <v>11</v>
      </c>
      <c r="B117" s="28" t="s">
        <v>33</v>
      </c>
      <c r="C117" s="28" t="s">
        <v>32</v>
      </c>
      <c r="D117" s="23">
        <v>2015</v>
      </c>
      <c r="E117" s="239">
        <v>26.1</v>
      </c>
      <c r="F117">
        <v>7.5380099999999999</v>
      </c>
      <c r="G117" s="17">
        <v>18000000000</v>
      </c>
      <c r="H117" s="242">
        <v>42560.3</v>
      </c>
      <c r="I117" s="4">
        <v>0.66</v>
      </c>
      <c r="J117" s="24">
        <v>44.334000000000003</v>
      </c>
      <c r="K117" s="26">
        <v>0.94159999999999999</v>
      </c>
      <c r="L117" s="24">
        <v>475</v>
      </c>
      <c r="M117">
        <v>40.599997999999999</v>
      </c>
      <c r="N117" s="27">
        <v>92.5</v>
      </c>
      <c r="O117" s="26">
        <v>4.9000000000000004</v>
      </c>
      <c r="P117" s="25">
        <v>401.8</v>
      </c>
      <c r="Q117">
        <v>0.4</v>
      </c>
      <c r="R117">
        <v>1.5</v>
      </c>
      <c r="S117" s="14">
        <v>41962</v>
      </c>
      <c r="T117" s="224">
        <v>3.37</v>
      </c>
      <c r="U117" s="25">
        <v>103</v>
      </c>
      <c r="V117" s="24">
        <v>9470.6416000000008</v>
      </c>
      <c r="W117" s="22">
        <v>20.6</v>
      </c>
      <c r="X117" s="20">
        <v>44.334000000000003</v>
      </c>
      <c r="Y117" s="19">
        <f t="shared" si="3"/>
        <v>3.7917518770345655</v>
      </c>
      <c r="Z117" s="21">
        <v>475</v>
      </c>
      <c r="AA117" s="19">
        <f t="shared" si="4"/>
        <v>6.1633148040346413</v>
      </c>
      <c r="AB117" s="2">
        <v>40.6</v>
      </c>
      <c r="AC117" s="20">
        <v>9470.64</v>
      </c>
      <c r="AD117" s="19">
        <f t="shared" si="5"/>
        <v>9.1559517657339562</v>
      </c>
      <c r="AE117" s="4">
        <v>51.561500000000002</v>
      </c>
      <c r="AF117" s="1">
        <v>2.8920400000000002</v>
      </c>
      <c r="AG117" s="242">
        <v>18.030100000000001</v>
      </c>
      <c r="AH117" s="242">
        <v>43.2</v>
      </c>
      <c r="AI117" s="245">
        <v>85.224999999999994</v>
      </c>
    </row>
    <row r="118" spans="1:35">
      <c r="A118" s="24">
        <v>11</v>
      </c>
      <c r="B118" s="28" t="s">
        <v>33</v>
      </c>
      <c r="C118" s="28" t="s">
        <v>32</v>
      </c>
      <c r="D118" s="23">
        <v>2016</v>
      </c>
      <c r="E118" s="239">
        <v>25.3</v>
      </c>
      <c r="F118">
        <v>2.1895199999999999</v>
      </c>
      <c r="G118" s="17">
        <v>5200000000</v>
      </c>
      <c r="H118" s="242">
        <v>43529.7</v>
      </c>
      <c r="I118" s="4">
        <v>0.65</v>
      </c>
      <c r="J118" s="24">
        <v>47.283000999999999</v>
      </c>
      <c r="K118" s="26">
        <v>0.89670000000000005</v>
      </c>
      <c r="L118" s="24">
        <v>472</v>
      </c>
      <c r="M118">
        <v>42.099997999999999</v>
      </c>
      <c r="N118" s="27">
        <v>88.9</v>
      </c>
      <c r="O118" s="26">
        <v>3.8</v>
      </c>
      <c r="P118" s="25">
        <v>330.2</v>
      </c>
      <c r="Q118">
        <v>0.4</v>
      </c>
      <c r="R118">
        <v>1.4</v>
      </c>
      <c r="S118" s="14">
        <v>41816</v>
      </c>
      <c r="T118" s="224">
        <v>3.45</v>
      </c>
      <c r="U118" s="25">
        <v>103</v>
      </c>
      <c r="V118" s="24">
        <v>9681.5419999999995</v>
      </c>
      <c r="W118" s="22">
        <v>20.2</v>
      </c>
      <c r="X118" s="20">
        <v>47.283000000000001</v>
      </c>
      <c r="Y118" s="19">
        <f t="shared" si="3"/>
        <v>3.8561508228615136</v>
      </c>
      <c r="Z118" s="21">
        <v>472</v>
      </c>
      <c r="AA118" s="19">
        <f t="shared" si="4"/>
        <v>6.156978985585555</v>
      </c>
      <c r="AB118" s="2">
        <v>42.1</v>
      </c>
      <c r="AC118" s="20">
        <v>9681.5400000000009</v>
      </c>
      <c r="AD118" s="19">
        <f t="shared" si="5"/>
        <v>9.1779762585260976</v>
      </c>
      <c r="AE118" s="4">
        <v>49.731999999999999</v>
      </c>
      <c r="AF118" s="1">
        <v>2.8949199999999999</v>
      </c>
      <c r="AG118" s="242">
        <v>18.082000000000001</v>
      </c>
      <c r="AH118" s="242">
        <v>42.4</v>
      </c>
      <c r="AI118" s="245">
        <v>85.275000000000006</v>
      </c>
    </row>
    <row r="119" spans="1:35">
      <c r="A119" s="24">
        <v>11</v>
      </c>
      <c r="B119" s="28" t="s">
        <v>33</v>
      </c>
      <c r="C119" s="28" t="s">
        <v>32</v>
      </c>
      <c r="D119" s="23">
        <v>2017</v>
      </c>
      <c r="E119" s="239">
        <v>26</v>
      </c>
      <c r="F119">
        <v>6.6613699999999998</v>
      </c>
      <c r="G119" s="17">
        <v>17000000000</v>
      </c>
      <c r="H119" s="242">
        <v>44862.2</v>
      </c>
      <c r="I119" s="4">
        <v>0.65</v>
      </c>
      <c r="J119" s="24">
        <v>45.014000000000003</v>
      </c>
      <c r="K119" s="26">
        <v>0.95760000000000001</v>
      </c>
      <c r="L119" s="24">
        <v>449</v>
      </c>
      <c r="M119">
        <v>40.5</v>
      </c>
      <c r="N119" s="27">
        <v>90</v>
      </c>
      <c r="O119" s="26">
        <v>4.4000000000000004</v>
      </c>
      <c r="P119" s="25">
        <v>255.8</v>
      </c>
      <c r="Q119">
        <v>0.3</v>
      </c>
      <c r="R119">
        <v>1.5</v>
      </c>
      <c r="S119" s="14">
        <v>51148</v>
      </c>
      <c r="T119" s="224">
        <v>3.41</v>
      </c>
      <c r="U119" s="25">
        <v>101</v>
      </c>
      <c r="V119" s="24">
        <v>9177.7587999999996</v>
      </c>
      <c r="W119" s="22">
        <v>20.7</v>
      </c>
      <c r="X119" s="20">
        <v>45.014000000000003</v>
      </c>
      <c r="Y119" s="19">
        <f t="shared" si="3"/>
        <v>3.8069735524964043</v>
      </c>
      <c r="Z119" s="21">
        <v>449</v>
      </c>
      <c r="AA119" s="19">
        <f t="shared" si="4"/>
        <v>6.1070228877422545</v>
      </c>
      <c r="AB119" s="2">
        <v>40.5</v>
      </c>
      <c r="AC119" s="20">
        <v>9177.76</v>
      </c>
      <c r="AD119" s="19">
        <f t="shared" si="5"/>
        <v>9.1245384451249691</v>
      </c>
      <c r="AE119" s="4">
        <v>54.623199999999997</v>
      </c>
      <c r="AF119" s="1">
        <v>2.89723</v>
      </c>
      <c r="AG119" s="242">
        <v>18.123899999999999</v>
      </c>
      <c r="AH119" s="242">
        <v>44.4</v>
      </c>
      <c r="AI119" s="245">
        <v>85.325000000000003</v>
      </c>
    </row>
    <row r="120" spans="1:35">
      <c r="A120" s="24">
        <v>11</v>
      </c>
      <c r="B120" s="28" t="s">
        <v>33</v>
      </c>
      <c r="C120" s="28" t="s">
        <v>32</v>
      </c>
      <c r="D120" s="23">
        <v>2018</v>
      </c>
      <c r="E120" s="239">
        <v>26.1</v>
      </c>
      <c r="F120">
        <v>-3.84457</v>
      </c>
      <c r="G120" s="17">
        <v>-11000000000</v>
      </c>
      <c r="H120" s="242">
        <v>45337.2</v>
      </c>
      <c r="I120" s="4">
        <v>0.63</v>
      </c>
      <c r="J120" s="24">
        <v>49.93</v>
      </c>
      <c r="K120" s="26">
        <v>0.87250000000000005</v>
      </c>
      <c r="L120" s="24">
        <v>467</v>
      </c>
      <c r="M120">
        <v>42.299999</v>
      </c>
      <c r="N120" s="27">
        <v>89.7</v>
      </c>
      <c r="O120" s="26">
        <v>4.4000000000000004</v>
      </c>
      <c r="P120" s="25">
        <v>418.5</v>
      </c>
      <c r="Q120">
        <v>0.3</v>
      </c>
      <c r="R120">
        <v>1.8</v>
      </c>
      <c r="S120" s="14">
        <v>60513</v>
      </c>
      <c r="T120" s="224">
        <v>3.38</v>
      </c>
      <c r="U120" s="25">
        <v>103</v>
      </c>
      <c r="V120" s="24">
        <v>7878.7007000000003</v>
      </c>
      <c r="W120" s="22">
        <v>19.8</v>
      </c>
      <c r="X120" s="20">
        <v>49.93</v>
      </c>
      <c r="Y120" s="19">
        <f t="shared" si="3"/>
        <v>3.9106220245125178</v>
      </c>
      <c r="Z120" s="21">
        <v>467</v>
      </c>
      <c r="AA120" s="19">
        <f t="shared" si="4"/>
        <v>6.1463292576688975</v>
      </c>
      <c r="AB120" s="2">
        <v>42.3</v>
      </c>
      <c r="AC120" s="20">
        <v>7878.7</v>
      </c>
      <c r="AD120" s="19">
        <f t="shared" si="5"/>
        <v>8.9719181946228268</v>
      </c>
      <c r="AE120" s="4">
        <v>56.411200000000001</v>
      </c>
      <c r="AF120" s="1">
        <v>2.8985599999999998</v>
      </c>
      <c r="AG120" s="242">
        <v>18.1479</v>
      </c>
      <c r="AH120" s="242">
        <v>44.2</v>
      </c>
      <c r="AI120" s="245">
        <v>85.382000000000005</v>
      </c>
    </row>
    <row r="121" spans="1:35">
      <c r="A121" s="24">
        <v>11</v>
      </c>
      <c r="B121" s="28" t="s">
        <v>33</v>
      </c>
      <c r="C121" s="28" t="s">
        <v>32</v>
      </c>
      <c r="D121" s="23">
        <v>2019</v>
      </c>
      <c r="E121" s="239">
        <v>26.7</v>
      </c>
      <c r="F121">
        <v>6.0970800000000001</v>
      </c>
      <c r="G121" s="17">
        <v>16000000000</v>
      </c>
      <c r="H121" s="242">
        <v>45898.6</v>
      </c>
      <c r="I121" s="4">
        <v>0.64</v>
      </c>
      <c r="J121" s="24">
        <v>47.685001</v>
      </c>
      <c r="K121" s="26">
        <v>0.92779999999999996</v>
      </c>
      <c r="L121" s="24">
        <v>466</v>
      </c>
      <c r="M121">
        <v>43.5</v>
      </c>
      <c r="N121" s="27">
        <v>87.8</v>
      </c>
      <c r="O121" s="26">
        <v>4.5</v>
      </c>
      <c r="P121" s="25">
        <v>1010.4</v>
      </c>
      <c r="Q121">
        <v>0.3</v>
      </c>
      <c r="R121">
        <v>1.6</v>
      </c>
      <c r="S121" s="14">
        <v>47235</v>
      </c>
      <c r="T121" s="224">
        <v>2.97</v>
      </c>
      <c r="U121" s="25">
        <v>101</v>
      </c>
      <c r="V121" s="24">
        <v>6579.6426000000001</v>
      </c>
      <c r="W121" s="22">
        <v>19.5</v>
      </c>
      <c r="X121" s="20">
        <v>47.685000000000002</v>
      </c>
      <c r="Y121" s="19">
        <f t="shared" si="3"/>
        <v>3.8646168830308758</v>
      </c>
      <c r="Z121" s="21">
        <v>466</v>
      </c>
      <c r="AA121" s="19">
        <f t="shared" si="4"/>
        <v>6.1441856341256456</v>
      </c>
      <c r="AB121" s="2">
        <v>43.5</v>
      </c>
      <c r="AC121" s="20"/>
      <c r="AD121" s="19" t="e">
        <f t="shared" si="5"/>
        <v>#NUM!</v>
      </c>
      <c r="AE121" s="4">
        <v>55.122</v>
      </c>
      <c r="AF121" s="1">
        <v>2.8996300000000002</v>
      </c>
      <c r="AG121" s="242">
        <v>18.167400000000001</v>
      </c>
      <c r="AH121" s="242">
        <v>45.4</v>
      </c>
      <c r="AI121" s="245">
        <v>85.445999999999998</v>
      </c>
    </row>
    <row r="122" spans="1:35">
      <c r="A122" s="24">
        <v>11</v>
      </c>
      <c r="B122" s="28" t="s">
        <v>33</v>
      </c>
      <c r="C122" s="28" t="s">
        <v>32</v>
      </c>
      <c r="D122" s="23">
        <v>2020</v>
      </c>
      <c r="E122" s="239">
        <v>27.2</v>
      </c>
      <c r="F122">
        <v>-0.939114</v>
      </c>
      <c r="G122" s="17">
        <v>-2500000000</v>
      </c>
      <c r="H122" s="242">
        <v>44691</v>
      </c>
      <c r="I122" s="4">
        <v>0.65</v>
      </c>
      <c r="J122" s="24">
        <v>48.800998999999997</v>
      </c>
      <c r="K122" s="26">
        <v>0.90129999999999999</v>
      </c>
      <c r="L122" s="24">
        <v>502</v>
      </c>
      <c r="M122">
        <v>42.099997999999999</v>
      </c>
      <c r="N122" s="27">
        <v>90.8</v>
      </c>
      <c r="O122" s="26">
        <v>4.4000000000000004</v>
      </c>
      <c r="P122" s="25">
        <v>521.5</v>
      </c>
      <c r="Q122">
        <v>0.3</v>
      </c>
      <c r="R122">
        <v>1.5</v>
      </c>
      <c r="S122" s="14">
        <v>41951</v>
      </c>
      <c r="T122" s="224">
        <v>2.71</v>
      </c>
      <c r="U122" s="25">
        <v>99</v>
      </c>
      <c r="V122" s="24">
        <v>5280.5844999999999</v>
      </c>
      <c r="W122" s="22">
        <v>18.8</v>
      </c>
      <c r="X122" s="20">
        <v>48.801000000000002</v>
      </c>
      <c r="Y122" s="19">
        <f t="shared" si="3"/>
        <v>3.887750804452426</v>
      </c>
      <c r="Z122" s="21">
        <v>502</v>
      </c>
      <c r="AA122" s="19">
        <f t="shared" si="4"/>
        <v>6.2186001196917289</v>
      </c>
      <c r="AB122" s="2">
        <v>42.1</v>
      </c>
      <c r="AC122" s="20"/>
      <c r="AD122" s="19" t="e">
        <f t="shared" si="5"/>
        <v>#NUM!</v>
      </c>
      <c r="AE122" s="4">
        <v>49.810299999999998</v>
      </c>
      <c r="AF122" s="1">
        <v>2.90103</v>
      </c>
      <c r="AG122" s="242">
        <v>18.192900000000002</v>
      </c>
      <c r="AH122" s="242">
        <v>47.3</v>
      </c>
      <c r="AI122" s="245">
        <v>85.516999999999996</v>
      </c>
    </row>
    <row r="123" spans="1:35">
      <c r="A123" s="24">
        <v>12</v>
      </c>
      <c r="B123" s="28" t="s">
        <v>31</v>
      </c>
      <c r="C123" s="28" t="s">
        <v>30</v>
      </c>
      <c r="D123" s="23">
        <v>2010</v>
      </c>
      <c r="E123" s="239">
        <v>17.5</v>
      </c>
      <c r="F123">
        <v>1.4696199999999999</v>
      </c>
      <c r="G123" s="17">
        <v>39000000000</v>
      </c>
      <c r="H123" s="242">
        <v>35578.199999999997</v>
      </c>
      <c r="I123" s="4">
        <v>0.8</v>
      </c>
      <c r="J123" s="24">
        <v>14.840999999999999</v>
      </c>
      <c r="K123" s="26">
        <v>2.6598999999999999</v>
      </c>
      <c r="L123" s="24">
        <v>505</v>
      </c>
      <c r="M123">
        <v>36</v>
      </c>
      <c r="N123" s="27">
        <v>77.400000000000006</v>
      </c>
      <c r="O123" s="26">
        <v>17.5</v>
      </c>
      <c r="P123" s="25">
        <v>9241.1</v>
      </c>
      <c r="S123" s="14">
        <v>472910</v>
      </c>
      <c r="T123" s="224">
        <v>0.73</v>
      </c>
      <c r="U123" s="25">
        <v>100</v>
      </c>
      <c r="V123" s="24">
        <v>5882.3456999999999</v>
      </c>
      <c r="W123" s="22">
        <v>34.6</v>
      </c>
      <c r="X123" s="20">
        <v>14.840999999999999</v>
      </c>
      <c r="Y123" s="19">
        <f t="shared" si="3"/>
        <v>2.6973936209136813</v>
      </c>
      <c r="Z123" s="21">
        <v>505</v>
      </c>
      <c r="AA123" s="19">
        <f t="shared" si="4"/>
        <v>6.2245584292753602</v>
      </c>
      <c r="AB123" s="2">
        <v>36</v>
      </c>
      <c r="AC123" s="20">
        <v>5882.35</v>
      </c>
      <c r="AD123" s="19">
        <f t="shared" si="5"/>
        <v>8.6797116209138867</v>
      </c>
      <c r="AE123" s="4">
        <v>42.884999999999998</v>
      </c>
      <c r="AF123" s="1">
        <v>4.7770799999999998</v>
      </c>
      <c r="AG123" s="242">
        <v>118.75700000000001</v>
      </c>
      <c r="AH123" s="242">
        <v>11.9</v>
      </c>
      <c r="AI123" s="245">
        <v>78.369</v>
      </c>
    </row>
    <row r="124" spans="1:35">
      <c r="A124" s="24">
        <v>12</v>
      </c>
      <c r="B124" s="28" t="s">
        <v>31</v>
      </c>
      <c r="C124" s="28" t="s">
        <v>30</v>
      </c>
      <c r="D124" s="23">
        <v>2011</v>
      </c>
      <c r="E124" s="239">
        <v>17.5</v>
      </c>
      <c r="F124">
        <v>1.5400499999999999</v>
      </c>
      <c r="G124" s="17">
        <v>44000000000</v>
      </c>
      <c r="H124" s="242">
        <v>36270</v>
      </c>
      <c r="I124" s="4">
        <v>0.81</v>
      </c>
      <c r="J124" s="24">
        <v>15.612</v>
      </c>
      <c r="K124" s="26">
        <v>2.6530999999999998</v>
      </c>
      <c r="L124" s="24">
        <v>506</v>
      </c>
      <c r="M124">
        <v>36.799999</v>
      </c>
      <c r="N124" s="27">
        <v>77.900000000000006</v>
      </c>
      <c r="O124" s="26">
        <v>16.899999999999999</v>
      </c>
      <c r="P124" s="25">
        <v>8699.4</v>
      </c>
      <c r="S124" s="14">
        <v>465081</v>
      </c>
      <c r="T124" s="224">
        <v>0.57999999999999996</v>
      </c>
      <c r="U124" s="25">
        <v>98</v>
      </c>
      <c r="V124" s="24">
        <v>5781.2529000000004</v>
      </c>
      <c r="W124" s="22">
        <v>37.299999999999997</v>
      </c>
      <c r="X124" s="20">
        <v>15.612</v>
      </c>
      <c r="Y124" s="19">
        <f t="shared" si="3"/>
        <v>2.7480398493183684</v>
      </c>
      <c r="Z124" s="21">
        <v>506</v>
      </c>
      <c r="AA124" s="19">
        <f t="shared" si="4"/>
        <v>6.2265366692874657</v>
      </c>
      <c r="AB124" s="2">
        <v>36.799999999999997</v>
      </c>
      <c r="AC124" s="20">
        <v>5781.25</v>
      </c>
      <c r="AD124" s="19">
        <f t="shared" si="5"/>
        <v>8.6623752012607351</v>
      </c>
      <c r="AE124" s="4">
        <v>45.864600000000003</v>
      </c>
      <c r="AF124" s="1">
        <v>4.7819099999999999</v>
      </c>
      <c r="AG124" s="242">
        <v>119.33199999999999</v>
      </c>
      <c r="AH124" s="242">
        <v>10.6</v>
      </c>
      <c r="AI124" s="245">
        <v>78.622</v>
      </c>
    </row>
    <row r="125" spans="1:35">
      <c r="A125" s="24">
        <v>12</v>
      </c>
      <c r="B125" s="28" t="s">
        <v>31</v>
      </c>
      <c r="C125" s="28" t="s">
        <v>30</v>
      </c>
      <c r="D125" s="23">
        <v>2012</v>
      </c>
      <c r="E125" s="239">
        <v>18.5</v>
      </c>
      <c r="F125">
        <v>1.2279</v>
      </c>
      <c r="G125" s="17">
        <v>33000000000</v>
      </c>
      <c r="H125" s="242">
        <v>36161.300000000003</v>
      </c>
      <c r="I125" s="4">
        <v>0.77</v>
      </c>
      <c r="J125" s="24">
        <v>14.821999999999999</v>
      </c>
      <c r="K125" s="26">
        <v>2.7191000000000001</v>
      </c>
      <c r="L125" s="24">
        <v>493</v>
      </c>
      <c r="M125">
        <v>37.700001</v>
      </c>
      <c r="N125" s="27">
        <v>76.7</v>
      </c>
      <c r="O125" s="26">
        <v>16.8</v>
      </c>
      <c r="P125" s="25">
        <v>8494.2999999999993</v>
      </c>
      <c r="Q125">
        <v>1</v>
      </c>
      <c r="R125">
        <v>1.8</v>
      </c>
      <c r="S125" s="14">
        <v>487496</v>
      </c>
      <c r="T125" s="224">
        <v>0.8</v>
      </c>
      <c r="U125" s="25">
        <v>100</v>
      </c>
      <c r="V125" s="24">
        <v>5403.9058000000005</v>
      </c>
      <c r="W125" s="22">
        <v>37.5</v>
      </c>
      <c r="X125" s="20">
        <v>14.821999999999999</v>
      </c>
      <c r="Y125" s="19">
        <f t="shared" si="3"/>
        <v>2.6961125635291672</v>
      </c>
      <c r="Z125" s="21">
        <v>493</v>
      </c>
      <c r="AA125" s="19">
        <f t="shared" si="4"/>
        <v>6.2005091740426899</v>
      </c>
      <c r="AB125" s="2">
        <v>37.700000000000003</v>
      </c>
      <c r="AC125" s="20">
        <v>5403.91</v>
      </c>
      <c r="AD125" s="19">
        <f t="shared" si="5"/>
        <v>8.5948780446112796</v>
      </c>
      <c r="AE125" s="4">
        <v>46.333199999999998</v>
      </c>
      <c r="AF125" s="1">
        <v>4.78674</v>
      </c>
      <c r="AG125" s="242">
        <v>119.91</v>
      </c>
      <c r="AH125" s="242">
        <v>12.3</v>
      </c>
      <c r="AI125" s="245">
        <v>78.878</v>
      </c>
    </row>
    <row r="126" spans="1:35">
      <c r="A126" s="24">
        <v>12</v>
      </c>
      <c r="B126" s="28" t="s">
        <v>31</v>
      </c>
      <c r="C126" s="28" t="s">
        <v>30</v>
      </c>
      <c r="D126" s="23">
        <v>2013</v>
      </c>
      <c r="E126" s="239">
        <v>18.5</v>
      </c>
      <c r="F126">
        <v>1.1882299999999999</v>
      </c>
      <c r="G126" s="17">
        <v>33000000000</v>
      </c>
      <c r="H126" s="242">
        <v>36256.1</v>
      </c>
      <c r="I126" s="4">
        <v>0.75</v>
      </c>
      <c r="J126" s="24">
        <v>14.484999999999999</v>
      </c>
      <c r="K126" s="26">
        <v>2.7343999999999999</v>
      </c>
      <c r="L126" s="24">
        <v>482</v>
      </c>
      <c r="M126">
        <v>38.700001</v>
      </c>
      <c r="N126" s="27">
        <v>78.7</v>
      </c>
      <c r="O126" s="26">
        <v>17.2</v>
      </c>
      <c r="P126" s="25">
        <v>7832</v>
      </c>
      <c r="Q126">
        <v>0.9</v>
      </c>
      <c r="R126">
        <v>1.8</v>
      </c>
      <c r="S126" s="14">
        <v>487874</v>
      </c>
      <c r="T126" s="224">
        <v>0.6</v>
      </c>
      <c r="U126" s="25">
        <v>101</v>
      </c>
      <c r="V126" s="24">
        <v>5380.1171999999997</v>
      </c>
      <c r="W126" s="22">
        <v>37.4</v>
      </c>
      <c r="X126" s="20">
        <v>14.484999999999999</v>
      </c>
      <c r="Y126" s="19">
        <f t="shared" si="3"/>
        <v>2.6731136312213137</v>
      </c>
      <c r="Z126" s="21">
        <v>482</v>
      </c>
      <c r="AA126" s="19">
        <f t="shared" si="4"/>
        <v>6.1779441140506002</v>
      </c>
      <c r="AB126" s="2">
        <v>38.700000000000003</v>
      </c>
      <c r="AC126" s="20">
        <v>5380.12</v>
      </c>
      <c r="AD126" s="19">
        <f t="shared" si="5"/>
        <v>8.590465957739795</v>
      </c>
      <c r="AE126" s="4">
        <v>44.8294</v>
      </c>
      <c r="AF126" s="1">
        <v>4.7919099999999997</v>
      </c>
      <c r="AG126" s="242">
        <v>120.532</v>
      </c>
      <c r="AH126" s="242">
        <v>13.4</v>
      </c>
      <c r="AI126" s="245">
        <v>79.135000000000005</v>
      </c>
    </row>
    <row r="127" spans="1:35">
      <c r="A127" s="24">
        <v>12</v>
      </c>
      <c r="B127" s="28" t="s">
        <v>31</v>
      </c>
      <c r="C127" s="28" t="s">
        <v>30</v>
      </c>
      <c r="D127" s="23">
        <v>2014</v>
      </c>
      <c r="E127" s="239">
        <v>18.3</v>
      </c>
      <c r="F127">
        <v>0.17697399999999999</v>
      </c>
      <c r="G127" s="17">
        <v>5100000000</v>
      </c>
      <c r="H127" s="242">
        <v>36444.400000000001</v>
      </c>
      <c r="I127" s="4">
        <v>0.77</v>
      </c>
      <c r="J127" s="24">
        <v>14.532999999999999</v>
      </c>
      <c r="K127" s="26">
        <v>2.7926000000000002</v>
      </c>
      <c r="L127" s="24">
        <v>500</v>
      </c>
      <c r="M127">
        <v>39.700001</v>
      </c>
      <c r="N127" s="27">
        <v>80.8</v>
      </c>
      <c r="O127" s="26">
        <v>17.8</v>
      </c>
      <c r="P127" s="25">
        <v>11130.9</v>
      </c>
      <c r="Q127">
        <v>0.8</v>
      </c>
      <c r="R127">
        <v>1.8</v>
      </c>
      <c r="S127" s="14">
        <v>488181</v>
      </c>
      <c r="T127" s="224">
        <v>1.04</v>
      </c>
      <c r="U127" s="25">
        <v>103</v>
      </c>
      <c r="V127" s="24">
        <v>5351.8433000000005</v>
      </c>
      <c r="W127" s="22">
        <v>36.799999999999997</v>
      </c>
      <c r="X127" s="20">
        <v>14.532999999999999</v>
      </c>
      <c r="Y127" s="19">
        <f t="shared" si="3"/>
        <v>2.6764219256440334</v>
      </c>
      <c r="Z127" s="21">
        <v>500</v>
      </c>
      <c r="AA127" s="19">
        <f t="shared" si="4"/>
        <v>6.2146080984221914</v>
      </c>
      <c r="AB127" s="2">
        <v>39.700000000000003</v>
      </c>
      <c r="AC127" s="20">
        <v>5351.84</v>
      </c>
      <c r="AD127" s="19">
        <f t="shared" si="5"/>
        <v>8.5851957059949715</v>
      </c>
      <c r="AE127" s="4">
        <v>43.967399999999998</v>
      </c>
      <c r="AF127" s="1">
        <v>4.7966600000000001</v>
      </c>
      <c r="AG127" s="242">
        <v>121.105</v>
      </c>
      <c r="AH127" s="242">
        <v>13.2</v>
      </c>
      <c r="AI127" s="245">
        <v>79.394000000000005</v>
      </c>
    </row>
    <row r="128" spans="1:35">
      <c r="A128" s="24">
        <v>12</v>
      </c>
      <c r="B128" s="28" t="s">
        <v>31</v>
      </c>
      <c r="C128" s="28" t="s">
        <v>30</v>
      </c>
      <c r="D128" s="23">
        <v>2015</v>
      </c>
      <c r="E128" s="239">
        <v>19.3</v>
      </c>
      <c r="F128">
        <v>1.76596</v>
      </c>
      <c r="G128" s="17">
        <v>43000000000</v>
      </c>
      <c r="H128" s="242">
        <v>36702.400000000001</v>
      </c>
      <c r="I128" s="4">
        <v>0.8</v>
      </c>
      <c r="J128" s="24">
        <v>13.553000000000001</v>
      </c>
      <c r="K128" s="26">
        <v>2.9815</v>
      </c>
      <c r="L128" s="24">
        <v>504</v>
      </c>
      <c r="M128">
        <v>40.700001</v>
      </c>
      <c r="N128" s="27">
        <v>81.900000000000006</v>
      </c>
      <c r="O128" s="26">
        <v>18.8</v>
      </c>
      <c r="P128" s="25">
        <v>13625.4</v>
      </c>
      <c r="Q128">
        <v>0.9</v>
      </c>
      <c r="R128">
        <v>1.8</v>
      </c>
      <c r="S128" s="14">
        <v>453890</v>
      </c>
      <c r="T128" s="224">
        <v>0.59</v>
      </c>
      <c r="U128" s="25">
        <v>102</v>
      </c>
      <c r="V128" s="24">
        <v>5484.6854999999996</v>
      </c>
      <c r="W128" s="22">
        <v>38.799999999999997</v>
      </c>
      <c r="X128" s="20">
        <v>13.553000000000001</v>
      </c>
      <c r="Y128" s="19">
        <f t="shared" si="3"/>
        <v>2.6066079250338792</v>
      </c>
      <c r="Z128" s="21">
        <v>504</v>
      </c>
      <c r="AA128" s="19">
        <f t="shared" si="4"/>
        <v>6.2225762680713688</v>
      </c>
      <c r="AB128" s="2">
        <v>40.700000000000003</v>
      </c>
      <c r="AC128" s="20">
        <v>5484.69</v>
      </c>
      <c r="AD128" s="19">
        <f t="shared" si="5"/>
        <v>8.6097158533363896</v>
      </c>
      <c r="AE128" s="4">
        <v>44.095399999999998</v>
      </c>
      <c r="AF128" s="1">
        <v>4.8002200000000004</v>
      </c>
      <c r="AG128" s="242">
        <v>121.53700000000001</v>
      </c>
      <c r="AH128" s="242">
        <v>13.3</v>
      </c>
      <c r="AI128" s="245">
        <v>79.655000000000001</v>
      </c>
    </row>
    <row r="129" spans="1:35">
      <c r="A129" s="24">
        <v>12</v>
      </c>
      <c r="B129" s="28" t="s">
        <v>31</v>
      </c>
      <c r="C129" s="28" t="s">
        <v>30</v>
      </c>
      <c r="D129" s="23">
        <v>2016</v>
      </c>
      <c r="E129" s="239">
        <v>18.5</v>
      </c>
      <c r="F129">
        <v>1.4419999999999999</v>
      </c>
      <c r="G129" s="17">
        <v>36000000000</v>
      </c>
      <c r="H129" s="242">
        <v>36920.5</v>
      </c>
      <c r="I129" s="4">
        <v>0.8</v>
      </c>
      <c r="J129" s="24">
        <v>13.778</v>
      </c>
      <c r="K129" s="26">
        <v>3.0510000000000002</v>
      </c>
      <c r="L129" s="24">
        <v>510</v>
      </c>
      <c r="M129">
        <v>39.700001</v>
      </c>
      <c r="N129" s="27">
        <v>81.900000000000006</v>
      </c>
      <c r="O129" s="26">
        <v>19.3</v>
      </c>
      <c r="P129" s="25">
        <v>19405.3</v>
      </c>
      <c r="Q129">
        <v>0.9</v>
      </c>
      <c r="R129">
        <v>1.6</v>
      </c>
      <c r="S129" s="14">
        <v>470463</v>
      </c>
      <c r="T129" s="224">
        <v>0.55000000000000004</v>
      </c>
      <c r="U129" s="25">
        <v>102</v>
      </c>
      <c r="V129" s="24">
        <v>5303.9364999999998</v>
      </c>
      <c r="W129" s="22">
        <v>39.4</v>
      </c>
      <c r="X129" s="20">
        <v>13.778</v>
      </c>
      <c r="Y129" s="19">
        <f t="shared" si="3"/>
        <v>2.6230731171710042</v>
      </c>
      <c r="Z129" s="21">
        <v>510</v>
      </c>
      <c r="AA129" s="19">
        <f t="shared" si="4"/>
        <v>6.2344107257183712</v>
      </c>
      <c r="AB129" s="2">
        <v>39.700000000000003</v>
      </c>
      <c r="AC129" s="20">
        <v>5303.94</v>
      </c>
      <c r="AD129" s="19">
        <f t="shared" si="5"/>
        <v>8.5762052195845193</v>
      </c>
      <c r="AE129" s="4">
        <v>43.265599999999999</v>
      </c>
      <c r="AF129" s="1">
        <v>4.8028599999999999</v>
      </c>
      <c r="AG129" s="242">
        <v>121.858</v>
      </c>
      <c r="AH129" s="242">
        <v>14.2</v>
      </c>
      <c r="AI129" s="245">
        <v>79.917000000000002</v>
      </c>
    </row>
    <row r="130" spans="1:35">
      <c r="A130" s="24">
        <v>12</v>
      </c>
      <c r="B130" s="28" t="s">
        <v>31</v>
      </c>
      <c r="C130" s="28" t="s">
        <v>30</v>
      </c>
      <c r="D130" s="23">
        <v>2017</v>
      </c>
      <c r="E130" s="239">
        <v>19.100000000000001</v>
      </c>
      <c r="F130">
        <v>1.6892799999999999</v>
      </c>
      <c r="G130" s="17">
        <v>44000000000</v>
      </c>
      <c r="H130" s="242">
        <v>37580.6</v>
      </c>
      <c r="I130" s="4">
        <v>0.83</v>
      </c>
      <c r="J130" s="24">
        <v>14.528</v>
      </c>
      <c r="K130" s="26">
        <v>2.8744000000000001</v>
      </c>
      <c r="L130" s="24">
        <v>551</v>
      </c>
      <c r="M130">
        <v>40.200001</v>
      </c>
      <c r="N130" s="27">
        <v>81.900000000000006</v>
      </c>
      <c r="O130" s="26">
        <v>18.7</v>
      </c>
      <c r="P130" s="25">
        <v>13003.8</v>
      </c>
      <c r="Q130">
        <v>0.9</v>
      </c>
      <c r="R130">
        <v>1.8</v>
      </c>
      <c r="S130" s="14">
        <v>515908</v>
      </c>
      <c r="T130" s="224">
        <v>0.56999999999999995</v>
      </c>
      <c r="U130" s="25">
        <v>102</v>
      </c>
      <c r="V130" s="24">
        <v>5159.8446999999996</v>
      </c>
      <c r="W130" s="22">
        <v>38.200000000000003</v>
      </c>
      <c r="X130" s="20">
        <v>14.528</v>
      </c>
      <c r="Y130" s="19">
        <f t="shared" ref="Y130:Y193" si="6">LN(X130)</f>
        <v>2.6760778218589376</v>
      </c>
      <c r="Z130" s="21">
        <v>551</v>
      </c>
      <c r="AA130" s="19">
        <f t="shared" ref="AA130:AA193" si="7">LN(Z130)</f>
        <v>6.3117348091529148</v>
      </c>
      <c r="AB130" s="2">
        <v>40.200000000000003</v>
      </c>
      <c r="AC130" s="20">
        <v>5159.84</v>
      </c>
      <c r="AD130" s="19">
        <f t="shared" ref="AD130:AD193" si="8">LN(AC130)</f>
        <v>8.5486608502429196</v>
      </c>
      <c r="AE130" s="4">
        <v>44.599899999999998</v>
      </c>
      <c r="AF130" s="1">
        <v>4.8057600000000003</v>
      </c>
      <c r="AG130" s="242">
        <v>122.212</v>
      </c>
      <c r="AH130" s="242">
        <v>14.1</v>
      </c>
      <c r="AI130" s="245">
        <v>80.180000000000007</v>
      </c>
    </row>
    <row r="131" spans="1:35">
      <c r="A131" s="24">
        <v>12</v>
      </c>
      <c r="B131" s="28" t="s">
        <v>31</v>
      </c>
      <c r="C131" s="28" t="s">
        <v>30</v>
      </c>
      <c r="D131" s="23">
        <v>2018</v>
      </c>
      <c r="E131" s="239">
        <v>19.2</v>
      </c>
      <c r="F131">
        <v>2.7859400000000001</v>
      </c>
      <c r="G131" s="17">
        <v>77000000000</v>
      </c>
      <c r="H131" s="242">
        <v>38062.400000000001</v>
      </c>
      <c r="I131" s="4">
        <v>0.82</v>
      </c>
      <c r="J131" s="24">
        <v>14.301</v>
      </c>
      <c r="K131" s="26">
        <v>2.9617</v>
      </c>
      <c r="L131" s="24">
        <v>566</v>
      </c>
      <c r="M131">
        <v>40.700001</v>
      </c>
      <c r="N131" s="27">
        <v>74.2</v>
      </c>
      <c r="O131" s="26">
        <v>19.5</v>
      </c>
      <c r="P131" s="25">
        <v>14802.1</v>
      </c>
      <c r="Q131">
        <v>0.8</v>
      </c>
      <c r="R131">
        <v>1.7</v>
      </c>
      <c r="S131" s="14">
        <v>518745</v>
      </c>
      <c r="T131" s="224">
        <v>0.55000000000000004</v>
      </c>
      <c r="U131" s="25">
        <v>103</v>
      </c>
      <c r="V131" s="24">
        <v>4622.2641999999996</v>
      </c>
      <c r="W131" s="22">
        <v>38.6</v>
      </c>
      <c r="X131" s="20">
        <v>14.301</v>
      </c>
      <c r="Y131" s="19">
        <f t="shared" si="6"/>
        <v>2.6603294648907982</v>
      </c>
      <c r="Z131" s="21">
        <v>566</v>
      </c>
      <c r="AA131" s="19">
        <f t="shared" si="7"/>
        <v>6.3385940782031831</v>
      </c>
      <c r="AB131" s="2">
        <v>40.700000000000003</v>
      </c>
      <c r="AC131" s="20">
        <v>4622.26</v>
      </c>
      <c r="AD131" s="19">
        <f t="shared" si="8"/>
        <v>8.4386390419566588</v>
      </c>
      <c r="AE131" s="4">
        <v>45.25</v>
      </c>
      <c r="AF131" s="1">
        <v>4.8093399999999997</v>
      </c>
      <c r="AG131" s="242">
        <v>122.651</v>
      </c>
      <c r="AH131" s="242">
        <v>15.2</v>
      </c>
      <c r="AI131" s="245">
        <v>80.444000000000003</v>
      </c>
    </row>
    <row r="132" spans="1:35">
      <c r="A132" s="24">
        <v>12</v>
      </c>
      <c r="B132" s="28" t="s">
        <v>31</v>
      </c>
      <c r="C132" s="28" t="s">
        <v>30</v>
      </c>
      <c r="D132" s="23">
        <v>2019</v>
      </c>
      <c r="E132" s="239">
        <v>19.899999999999999</v>
      </c>
      <c r="F132">
        <v>1.9648699999999999</v>
      </c>
      <c r="G132" s="17">
        <v>53000000000</v>
      </c>
      <c r="H132" s="242">
        <v>38705.199999999997</v>
      </c>
      <c r="I132" s="4">
        <v>0.81</v>
      </c>
      <c r="J132" s="24">
        <v>14.329000000000001</v>
      </c>
      <c r="K132" s="26">
        <v>2.9371999999999998</v>
      </c>
      <c r="L132" s="24">
        <v>609</v>
      </c>
      <c r="M132">
        <v>41</v>
      </c>
      <c r="N132" s="27">
        <v>76.5</v>
      </c>
      <c r="O132" s="26">
        <v>17.100000000000001</v>
      </c>
      <c r="P132" s="25">
        <v>9718.5</v>
      </c>
      <c r="Q132">
        <v>0.8</v>
      </c>
      <c r="R132">
        <v>1.6</v>
      </c>
      <c r="S132" s="14">
        <v>524507</v>
      </c>
      <c r="T132" s="224">
        <v>0.78</v>
      </c>
      <c r="U132" s="25">
        <v>100</v>
      </c>
      <c r="V132" s="24">
        <v>4084.6835999999998</v>
      </c>
      <c r="W132" s="22">
        <v>37.5</v>
      </c>
      <c r="X132" s="20">
        <v>14.329000000000001</v>
      </c>
      <c r="Y132" s="19">
        <f t="shared" si="6"/>
        <v>2.662285455734466</v>
      </c>
      <c r="Z132" s="21">
        <v>609</v>
      </c>
      <c r="AA132" s="19">
        <f t="shared" si="7"/>
        <v>6.4118182677098972</v>
      </c>
      <c r="AB132" s="2">
        <v>41</v>
      </c>
      <c r="AC132" s="20"/>
      <c r="AD132" s="19" t="e">
        <f t="shared" si="8"/>
        <v>#NUM!</v>
      </c>
      <c r="AE132" s="4">
        <v>45.012900000000002</v>
      </c>
      <c r="AF132" s="1">
        <v>4.8126699999999998</v>
      </c>
      <c r="AG132" s="242">
        <v>123.059</v>
      </c>
      <c r="AH132" s="242">
        <v>15.5</v>
      </c>
      <c r="AI132" s="245">
        <v>80.709000000000003</v>
      </c>
    </row>
    <row r="133" spans="1:35">
      <c r="A133" s="24">
        <v>12</v>
      </c>
      <c r="B133" s="28" t="s">
        <v>31</v>
      </c>
      <c r="C133" s="28" t="s">
        <v>30</v>
      </c>
      <c r="D133" s="23">
        <v>2020</v>
      </c>
      <c r="E133" s="239">
        <v>20.399999999999999</v>
      </c>
      <c r="F133">
        <v>0.73147200000000001</v>
      </c>
      <c r="G133" s="17">
        <v>19000000000</v>
      </c>
      <c r="H133" s="242">
        <v>35709.199999999997</v>
      </c>
      <c r="I133" s="4">
        <v>0.81</v>
      </c>
      <c r="J133" s="24">
        <v>45.669998</v>
      </c>
      <c r="K133" s="26">
        <v>2.988</v>
      </c>
      <c r="L133" s="24">
        <v>630</v>
      </c>
      <c r="M133">
        <v>41.700001</v>
      </c>
      <c r="N133" s="27">
        <v>79.8</v>
      </c>
      <c r="O133" s="26">
        <v>16.2</v>
      </c>
      <c r="P133" s="25">
        <v>7103.1</v>
      </c>
      <c r="Q133">
        <v>0.9</v>
      </c>
      <c r="R133">
        <v>1.7</v>
      </c>
      <c r="S133" s="14">
        <v>521357</v>
      </c>
      <c r="T133" s="224">
        <v>0.4</v>
      </c>
      <c r="U133" s="25">
        <v>96</v>
      </c>
      <c r="V133" s="24">
        <v>3547.1030000000001</v>
      </c>
      <c r="W133" s="22">
        <v>36.700000000000003</v>
      </c>
      <c r="X133" s="20">
        <v>45.67</v>
      </c>
      <c r="Y133" s="19">
        <f t="shared" si="6"/>
        <v>3.8214416271969078</v>
      </c>
      <c r="Z133" s="21">
        <v>630</v>
      </c>
      <c r="AA133" s="19">
        <f t="shared" si="7"/>
        <v>6.4457198193855785</v>
      </c>
      <c r="AB133" s="2">
        <v>41.7</v>
      </c>
      <c r="AC133" s="20"/>
      <c r="AD133" s="19" t="e">
        <f t="shared" si="8"/>
        <v>#NUM!</v>
      </c>
      <c r="AE133" s="4">
        <v>40.406500000000001</v>
      </c>
      <c r="AF133" s="1">
        <v>4.8159099999999997</v>
      </c>
      <c r="AG133" s="242">
        <v>123.459</v>
      </c>
      <c r="AH133" s="242">
        <v>16.8</v>
      </c>
      <c r="AI133" s="245">
        <v>80.974999999999994</v>
      </c>
    </row>
    <row r="134" spans="1:35">
      <c r="A134" s="24">
        <v>13</v>
      </c>
      <c r="B134" s="28" t="s">
        <v>29</v>
      </c>
      <c r="C134" s="28" t="s">
        <v>28</v>
      </c>
      <c r="D134" s="23">
        <v>2010</v>
      </c>
      <c r="E134" s="239">
        <v>34</v>
      </c>
      <c r="F134">
        <v>2.6195400000000002</v>
      </c>
      <c r="G134" s="17">
        <v>1500000000</v>
      </c>
      <c r="H134" s="242">
        <v>11965.5</v>
      </c>
      <c r="I134" s="4">
        <v>0.48</v>
      </c>
      <c r="J134" s="24">
        <v>13.129</v>
      </c>
      <c r="K134" s="26">
        <v>1.0183</v>
      </c>
      <c r="L134" s="24">
        <v>534</v>
      </c>
      <c r="M134">
        <v>4.0999999000000003</v>
      </c>
      <c r="N134" s="27">
        <v>77.3</v>
      </c>
      <c r="O134" s="26">
        <v>1.6</v>
      </c>
      <c r="P134" s="25">
        <v>143.69999999999999</v>
      </c>
      <c r="S134" s="14">
        <v>43225</v>
      </c>
      <c r="T134" s="224">
        <v>0.23</v>
      </c>
      <c r="U134" s="25">
        <v>100</v>
      </c>
      <c r="V134" s="24">
        <v>4813.0078000000003</v>
      </c>
      <c r="W134" s="22">
        <v>26.8</v>
      </c>
      <c r="X134" s="20">
        <v>13.129</v>
      </c>
      <c r="Y134" s="19">
        <f t="shared" si="6"/>
        <v>2.5748235239519732</v>
      </c>
      <c r="Z134" s="21">
        <v>534</v>
      </c>
      <c r="AA134" s="19">
        <f t="shared" si="7"/>
        <v>6.280395838960195</v>
      </c>
      <c r="AB134" s="2">
        <v>4.0999999999999996</v>
      </c>
      <c r="AC134" s="20">
        <v>4813.01</v>
      </c>
      <c r="AD134" s="19">
        <f t="shared" si="8"/>
        <v>8.4790779470071627</v>
      </c>
      <c r="AE134" s="4">
        <v>54.038800000000002</v>
      </c>
      <c r="AF134" s="1">
        <v>4.3406000000000002</v>
      </c>
      <c r="AG134" s="242">
        <v>76.753399999999999</v>
      </c>
      <c r="AH134" s="242">
        <v>29.8</v>
      </c>
      <c r="AI134" s="245">
        <v>55.155000000000001</v>
      </c>
    </row>
    <row r="135" spans="1:35">
      <c r="A135" s="24">
        <v>13</v>
      </c>
      <c r="B135" s="28" t="s">
        <v>29</v>
      </c>
      <c r="C135" s="28" t="s">
        <v>28</v>
      </c>
      <c r="D135" s="23">
        <v>2011</v>
      </c>
      <c r="E135" s="239">
        <v>35.5</v>
      </c>
      <c r="F135">
        <v>1.9855400000000001</v>
      </c>
      <c r="G135" s="17">
        <v>1200000000</v>
      </c>
      <c r="H135" s="242">
        <v>11995.1</v>
      </c>
      <c r="I135" s="4">
        <v>0.48</v>
      </c>
      <c r="J135" s="24">
        <v>14.028</v>
      </c>
      <c r="K135" s="26">
        <v>1.0214000000000001</v>
      </c>
      <c r="L135" s="24">
        <v>534</v>
      </c>
      <c r="M135">
        <v>8.3000001999999995</v>
      </c>
      <c r="N135" s="27">
        <v>84.5</v>
      </c>
      <c r="O135" s="26">
        <v>2.4</v>
      </c>
      <c r="P135" s="25">
        <v>1261.3</v>
      </c>
      <c r="S135" s="14">
        <v>42060</v>
      </c>
      <c r="T135" s="224">
        <v>0.16</v>
      </c>
      <c r="U135" s="25">
        <v>102</v>
      </c>
      <c r="V135" s="24">
        <v>4633.2191999999995</v>
      </c>
      <c r="W135" s="22">
        <v>27.3</v>
      </c>
      <c r="X135" s="20">
        <v>14.028</v>
      </c>
      <c r="Y135" s="19">
        <f t="shared" si="6"/>
        <v>2.6410553322779315</v>
      </c>
      <c r="Z135" s="21">
        <v>534</v>
      </c>
      <c r="AA135" s="19">
        <f t="shared" si="7"/>
        <v>6.280395838960195</v>
      </c>
      <c r="AB135" s="2">
        <v>8.3000000000000007</v>
      </c>
      <c r="AC135" s="20">
        <v>4633.22</v>
      </c>
      <c r="AD135" s="19">
        <f t="shared" si="8"/>
        <v>8.4410073697198573</v>
      </c>
      <c r="AE135" s="4">
        <v>57.231900000000003</v>
      </c>
      <c r="AF135" s="1">
        <v>4.3371399999999998</v>
      </c>
      <c r="AG135" s="242">
        <v>76.488900000000001</v>
      </c>
      <c r="AH135" s="242">
        <v>27.2</v>
      </c>
      <c r="AI135" s="245">
        <v>55.322000000000003</v>
      </c>
    </row>
    <row r="136" spans="1:35">
      <c r="A136" s="24">
        <v>13</v>
      </c>
      <c r="B136" s="28" t="s">
        <v>29</v>
      </c>
      <c r="C136" s="28" t="s">
        <v>28</v>
      </c>
      <c r="D136" s="23">
        <v>2012</v>
      </c>
      <c r="E136" s="239">
        <v>37.5</v>
      </c>
      <c r="F136">
        <v>2.5457000000000001</v>
      </c>
      <c r="G136" s="17">
        <v>1500000000</v>
      </c>
      <c r="H136" s="242">
        <v>11780.5</v>
      </c>
      <c r="I136" s="4">
        <v>0.5</v>
      </c>
      <c r="J136" s="24">
        <v>12.949</v>
      </c>
      <c r="K136" s="26">
        <v>1.0851999999999999</v>
      </c>
      <c r="L136" s="24">
        <v>534</v>
      </c>
      <c r="M136">
        <v>14.7</v>
      </c>
      <c r="N136" s="27">
        <v>92.3</v>
      </c>
      <c r="O136" s="26">
        <v>3.5</v>
      </c>
      <c r="P136" s="25">
        <v>1237.2</v>
      </c>
      <c r="Q136">
        <v>0.4</v>
      </c>
      <c r="R136">
        <v>1.5</v>
      </c>
      <c r="S136" s="14">
        <v>42218</v>
      </c>
      <c r="T136" s="224">
        <v>0.04</v>
      </c>
      <c r="U136" s="25">
        <v>105</v>
      </c>
      <c r="V136" s="24">
        <v>4524.5366000000004</v>
      </c>
      <c r="W136" s="22">
        <v>28.4</v>
      </c>
      <c r="X136" s="20">
        <v>12.949</v>
      </c>
      <c r="Y136" s="19">
        <f t="shared" si="6"/>
        <v>2.561018565086703</v>
      </c>
      <c r="Z136" s="21">
        <v>534</v>
      </c>
      <c r="AA136" s="19">
        <f t="shared" si="7"/>
        <v>6.280395838960195</v>
      </c>
      <c r="AB136" s="2">
        <v>14.7</v>
      </c>
      <c r="AC136" s="20">
        <v>4524.54</v>
      </c>
      <c r="AD136" s="19">
        <f t="shared" si="8"/>
        <v>8.4172711935079931</v>
      </c>
      <c r="AE136" s="4">
        <v>57.6922</v>
      </c>
      <c r="AF136" s="1">
        <v>4.3323999999999998</v>
      </c>
      <c r="AG136" s="242">
        <v>76.126900000000006</v>
      </c>
      <c r="AH136" s="242">
        <v>29.4</v>
      </c>
      <c r="AI136" s="245">
        <v>55.506</v>
      </c>
    </row>
    <row r="137" spans="1:35">
      <c r="A137" s="24">
        <v>13</v>
      </c>
      <c r="B137" s="28" t="s">
        <v>29</v>
      </c>
      <c r="C137" s="28" t="s">
        <v>28</v>
      </c>
      <c r="D137" s="23">
        <v>2013</v>
      </c>
      <c r="E137" s="239">
        <v>37</v>
      </c>
      <c r="F137">
        <v>1.59378</v>
      </c>
      <c r="G137" s="17">
        <v>950000000</v>
      </c>
      <c r="H137" s="242">
        <v>11839.2</v>
      </c>
      <c r="I137" s="4">
        <v>0.49</v>
      </c>
      <c r="J137" s="24">
        <v>13.071</v>
      </c>
      <c r="K137" s="26">
        <v>1.0516000000000001</v>
      </c>
      <c r="L137" s="24">
        <v>527</v>
      </c>
      <c r="M137">
        <v>14.9</v>
      </c>
      <c r="N137" s="27">
        <v>97.4</v>
      </c>
      <c r="O137" s="26">
        <v>3.9</v>
      </c>
      <c r="P137" s="25">
        <v>1855.1</v>
      </c>
      <c r="Q137">
        <v>0.5</v>
      </c>
      <c r="R137">
        <v>1.6</v>
      </c>
      <c r="S137" s="14">
        <v>42218</v>
      </c>
      <c r="T137" s="224">
        <v>0</v>
      </c>
      <c r="U137" s="25">
        <v>107</v>
      </c>
      <c r="V137" s="24">
        <v>4589.1782000000003</v>
      </c>
      <c r="W137" s="22">
        <v>27.6</v>
      </c>
      <c r="X137" s="20">
        <v>13.071</v>
      </c>
      <c r="Y137" s="19">
        <f t="shared" si="6"/>
        <v>2.5703960358034146</v>
      </c>
      <c r="Z137" s="21">
        <v>527</v>
      </c>
      <c r="AA137" s="19">
        <f t="shared" si="7"/>
        <v>6.2672005485413624</v>
      </c>
      <c r="AB137" s="2">
        <v>14.9</v>
      </c>
      <c r="AC137" s="20">
        <v>4589.18</v>
      </c>
      <c r="AD137" s="19">
        <f t="shared" si="8"/>
        <v>8.4314566378574423</v>
      </c>
      <c r="AE137" s="4">
        <v>57.944200000000002</v>
      </c>
      <c r="AF137" s="1">
        <v>4.3261799999999999</v>
      </c>
      <c r="AG137" s="242">
        <v>75.654399999999995</v>
      </c>
      <c r="AH137" s="242">
        <v>32.799999999999997</v>
      </c>
      <c r="AI137" s="245">
        <v>55.706000000000003</v>
      </c>
    </row>
    <row r="138" spans="1:35">
      <c r="A138" s="24">
        <v>13</v>
      </c>
      <c r="B138" s="28" t="s">
        <v>29</v>
      </c>
      <c r="C138" s="28" t="s">
        <v>28</v>
      </c>
      <c r="D138" s="23">
        <v>2014</v>
      </c>
      <c r="E138" s="239">
        <v>37.5</v>
      </c>
      <c r="F138">
        <v>5.3474700000000004</v>
      </c>
      <c r="G138" s="17">
        <v>3200000000</v>
      </c>
      <c r="H138" s="242">
        <v>11863.9</v>
      </c>
      <c r="I138" s="4">
        <v>0.49</v>
      </c>
      <c r="J138" s="24">
        <v>11.771000000000001</v>
      </c>
      <c r="K138" s="26">
        <v>1.1405000000000001</v>
      </c>
      <c r="L138" s="24">
        <v>520</v>
      </c>
      <c r="M138">
        <v>16.399999999999999</v>
      </c>
      <c r="N138" s="27">
        <v>95.7</v>
      </c>
      <c r="O138" s="26">
        <v>4.8</v>
      </c>
      <c r="P138" s="25">
        <v>2129.1999999999998</v>
      </c>
      <c r="Q138">
        <v>0.6</v>
      </c>
      <c r="R138">
        <v>1.8</v>
      </c>
      <c r="S138" s="14">
        <v>45261</v>
      </c>
      <c r="T138" s="224">
        <v>0</v>
      </c>
      <c r="U138" s="25">
        <v>111</v>
      </c>
      <c r="V138" s="24">
        <v>4624.0727999999999</v>
      </c>
      <c r="W138" s="22">
        <v>28.3</v>
      </c>
      <c r="X138" s="20">
        <v>11.771000000000001</v>
      </c>
      <c r="Y138" s="19">
        <f t="shared" si="6"/>
        <v>2.4656388794303434</v>
      </c>
      <c r="Z138" s="21">
        <v>520</v>
      </c>
      <c r="AA138" s="19">
        <f t="shared" si="7"/>
        <v>6.253828811575473</v>
      </c>
      <c r="AB138" s="2">
        <v>16.399999999999999</v>
      </c>
      <c r="AC138" s="20">
        <v>4624.07</v>
      </c>
      <c r="AD138" s="19">
        <f t="shared" si="8"/>
        <v>8.4390305486459329</v>
      </c>
      <c r="AE138" s="4">
        <v>61.470700000000001</v>
      </c>
      <c r="AF138" s="1">
        <v>4.3185099999999998</v>
      </c>
      <c r="AG138" s="242">
        <v>75.076800000000006</v>
      </c>
      <c r="AH138" s="242">
        <v>33.6</v>
      </c>
      <c r="AI138" s="245">
        <v>55.923000000000002</v>
      </c>
    </row>
    <row r="139" spans="1:35">
      <c r="A139" s="24">
        <v>13</v>
      </c>
      <c r="B139" s="28" t="s">
        <v>29</v>
      </c>
      <c r="C139" s="28" t="s">
        <v>28</v>
      </c>
      <c r="D139" s="23">
        <v>2015</v>
      </c>
      <c r="E139" s="239">
        <v>38.5</v>
      </c>
      <c r="F139">
        <v>0.95805099999999999</v>
      </c>
      <c r="G139" s="17">
        <v>490000000</v>
      </c>
      <c r="H139" s="242">
        <v>12285.3</v>
      </c>
      <c r="I139" s="4">
        <v>0.48</v>
      </c>
      <c r="J139" s="24">
        <v>13.605</v>
      </c>
      <c r="K139" s="26">
        <v>1.1072</v>
      </c>
      <c r="L139" s="24">
        <v>517</v>
      </c>
      <c r="M139">
        <v>18</v>
      </c>
      <c r="N139" s="27">
        <v>92.5</v>
      </c>
      <c r="O139" s="26">
        <v>4.5999999999999996</v>
      </c>
      <c r="P139" s="25">
        <v>2509.6999999999998</v>
      </c>
      <c r="Q139">
        <v>0.6</v>
      </c>
      <c r="R139">
        <v>1.8</v>
      </c>
      <c r="S139" s="14">
        <v>44872</v>
      </c>
      <c r="T139" s="224">
        <v>0</v>
      </c>
      <c r="U139" s="25">
        <v>114</v>
      </c>
      <c r="V139" s="24">
        <v>4885.9018999999998</v>
      </c>
      <c r="W139" s="22">
        <v>29.5</v>
      </c>
      <c r="X139" s="20">
        <v>13.605</v>
      </c>
      <c r="Y139" s="19">
        <f t="shared" si="6"/>
        <v>2.6104373722352094</v>
      </c>
      <c r="Z139" s="21">
        <v>517</v>
      </c>
      <c r="AA139" s="19">
        <f t="shared" si="7"/>
        <v>6.2480428745084291</v>
      </c>
      <c r="AB139" s="2">
        <v>18</v>
      </c>
      <c r="AC139" s="20">
        <v>4885.8999999999996</v>
      </c>
      <c r="AD139" s="19">
        <f t="shared" si="8"/>
        <v>8.4941087849688639</v>
      </c>
      <c r="AE139" s="4">
        <v>65.671700000000001</v>
      </c>
      <c r="AF139" s="1">
        <v>4.3065699999999998</v>
      </c>
      <c r="AG139" s="242">
        <v>74.185599999999994</v>
      </c>
      <c r="AH139" s="242">
        <v>33.1</v>
      </c>
      <c r="AI139" s="245">
        <v>56.155000000000001</v>
      </c>
    </row>
    <row r="140" spans="1:35">
      <c r="A140" s="24">
        <v>13</v>
      </c>
      <c r="B140" s="28" t="s">
        <v>29</v>
      </c>
      <c r="C140" s="28" t="s">
        <v>28</v>
      </c>
      <c r="D140" s="23">
        <v>2016</v>
      </c>
      <c r="E140" s="239">
        <v>37.4</v>
      </c>
      <c r="F140">
        <v>2.9901399999999998</v>
      </c>
      <c r="G140" s="17">
        <v>1600000000</v>
      </c>
      <c r="H140" s="242">
        <v>12849.3</v>
      </c>
      <c r="I140" s="4">
        <v>0.5</v>
      </c>
      <c r="J140" s="24">
        <v>13.266</v>
      </c>
      <c r="K140" s="26">
        <v>1.1203000000000001</v>
      </c>
      <c r="L140" s="24">
        <v>516</v>
      </c>
      <c r="M140">
        <v>21</v>
      </c>
      <c r="N140" s="27">
        <v>96.3</v>
      </c>
      <c r="O140" s="26">
        <v>4.5999999999999996</v>
      </c>
      <c r="P140" s="25">
        <v>2638.9</v>
      </c>
      <c r="Q140">
        <v>0.6</v>
      </c>
      <c r="R140">
        <v>1.9</v>
      </c>
      <c r="S140" s="14">
        <v>44088</v>
      </c>
      <c r="T140" s="224">
        <v>0.52</v>
      </c>
      <c r="U140" s="25">
        <v>120</v>
      </c>
      <c r="V140" s="24">
        <v>4679.7280000000001</v>
      </c>
      <c r="W140" s="22">
        <v>31</v>
      </c>
      <c r="X140" s="20">
        <v>13.266</v>
      </c>
      <c r="Y140" s="19">
        <f t="shared" si="6"/>
        <v>2.5852043711033641</v>
      </c>
      <c r="Z140" s="21">
        <v>516</v>
      </c>
      <c r="AA140" s="19">
        <f t="shared" si="7"/>
        <v>6.2461067654815627</v>
      </c>
      <c r="AB140" s="2">
        <v>21</v>
      </c>
      <c r="AC140" s="20">
        <v>4679.7299999999996</v>
      </c>
      <c r="AD140" s="19">
        <f t="shared" si="8"/>
        <v>8.4509956949397349</v>
      </c>
      <c r="AE140" s="4">
        <v>67.830399999999997</v>
      </c>
      <c r="AF140" s="1">
        <v>4.2957099999999997</v>
      </c>
      <c r="AG140" s="242">
        <v>73.384100000000004</v>
      </c>
      <c r="AH140" s="242">
        <v>31.8</v>
      </c>
      <c r="AI140" s="245">
        <v>56.402999999999999</v>
      </c>
    </row>
    <row r="141" spans="1:35">
      <c r="A141" s="24">
        <v>13</v>
      </c>
      <c r="B141" s="28" t="s">
        <v>29</v>
      </c>
      <c r="C141" s="28" t="s">
        <v>28</v>
      </c>
      <c r="D141" s="23">
        <v>2017</v>
      </c>
      <c r="E141" s="239">
        <v>38.200000000000003</v>
      </c>
      <c r="F141">
        <v>3.24</v>
      </c>
      <c r="G141" s="17">
        <v>1800000000</v>
      </c>
      <c r="H141" s="242">
        <v>13485.9</v>
      </c>
      <c r="I141" s="4">
        <v>0.5</v>
      </c>
      <c r="J141" s="24">
        <v>13.731999999999999</v>
      </c>
      <c r="K141" s="26">
        <v>1.1726000000000001</v>
      </c>
      <c r="L141" s="24">
        <v>553</v>
      </c>
      <c r="M141">
        <v>23.6</v>
      </c>
      <c r="N141" s="27">
        <v>95.2</v>
      </c>
      <c r="O141" s="26">
        <v>5.0999999999999996</v>
      </c>
      <c r="P141" s="25">
        <v>3144</v>
      </c>
      <c r="Q141">
        <v>0.7</v>
      </c>
      <c r="R141">
        <v>1.9</v>
      </c>
      <c r="S141" s="14">
        <v>46104</v>
      </c>
      <c r="T141" s="224">
        <v>0</v>
      </c>
      <c r="U141" s="25">
        <v>125</v>
      </c>
      <c r="V141" s="24">
        <v>4775.0897999999997</v>
      </c>
      <c r="W141" s="22">
        <v>31.8</v>
      </c>
      <c r="X141" s="20">
        <v>13.731999999999999</v>
      </c>
      <c r="Y141" s="19">
        <f t="shared" si="6"/>
        <v>2.6197288755954458</v>
      </c>
      <c r="Z141" s="21">
        <v>553</v>
      </c>
      <c r="AA141" s="19">
        <f t="shared" si="7"/>
        <v>6.315358001522335</v>
      </c>
      <c r="AB141" s="2">
        <v>23.6</v>
      </c>
      <c r="AC141" s="20">
        <v>4775.09</v>
      </c>
      <c r="AD141" s="19">
        <f t="shared" si="8"/>
        <v>8.4711681009047446</v>
      </c>
      <c r="AE141" s="4">
        <v>72.790099999999995</v>
      </c>
      <c r="AF141" s="1">
        <v>4.2796399999999997</v>
      </c>
      <c r="AG141" s="242">
        <v>72.214399999999998</v>
      </c>
      <c r="AH141" s="242">
        <v>29.8</v>
      </c>
      <c r="AI141" s="245">
        <v>56.667000000000002</v>
      </c>
    </row>
    <row r="142" spans="1:35">
      <c r="A142" s="24">
        <v>13</v>
      </c>
      <c r="B142" s="28" t="s">
        <v>29</v>
      </c>
      <c r="C142" s="28" t="s">
        <v>28</v>
      </c>
      <c r="D142" s="23">
        <v>2018</v>
      </c>
      <c r="E142" s="239">
        <v>38.299999999999997</v>
      </c>
      <c r="F142">
        <v>2.6691099999999999</v>
      </c>
      <c r="G142" s="17">
        <v>1600000000</v>
      </c>
      <c r="H142" s="242">
        <v>14060.7</v>
      </c>
      <c r="I142" s="4">
        <v>0.48</v>
      </c>
      <c r="J142" s="24">
        <v>13.914999999999999</v>
      </c>
      <c r="K142" s="26">
        <v>1.1776</v>
      </c>
      <c r="L142" s="24">
        <v>558</v>
      </c>
      <c r="M142">
        <v>25.299999</v>
      </c>
      <c r="N142" s="27">
        <v>91.2</v>
      </c>
      <c r="O142" s="26">
        <v>5</v>
      </c>
      <c r="P142" s="25">
        <v>3314.5</v>
      </c>
      <c r="Q142">
        <v>0.8</v>
      </c>
      <c r="R142">
        <v>2.4</v>
      </c>
      <c r="S142" s="14">
        <v>51368</v>
      </c>
      <c r="T142" s="224">
        <v>0</v>
      </c>
      <c r="U142" s="25">
        <v>130</v>
      </c>
      <c r="V142" s="24">
        <v>4637.5825000000004</v>
      </c>
      <c r="W142" s="22">
        <v>31.4</v>
      </c>
      <c r="X142" s="20">
        <v>13.914999999999999</v>
      </c>
      <c r="Y142" s="19">
        <f t="shared" si="6"/>
        <v>2.6329673949778543</v>
      </c>
      <c r="Z142" s="21">
        <v>558</v>
      </c>
      <c r="AA142" s="19">
        <f t="shared" si="7"/>
        <v>6.3243589623813108</v>
      </c>
      <c r="AB142" s="2">
        <v>25.3</v>
      </c>
      <c r="AC142" s="20">
        <v>4637.58</v>
      </c>
      <c r="AD142" s="19">
        <f t="shared" si="8"/>
        <v>8.4419479574407532</v>
      </c>
      <c r="AE142" s="4">
        <v>73.952299999999994</v>
      </c>
      <c r="AF142" s="1">
        <v>4.2665300000000004</v>
      </c>
      <c r="AG142" s="242">
        <v>71.273899999999998</v>
      </c>
      <c r="AH142" s="242">
        <v>32.799999999999997</v>
      </c>
      <c r="AI142" s="245">
        <v>56.947000000000003</v>
      </c>
    </row>
    <row r="143" spans="1:35">
      <c r="A143" s="24">
        <v>13</v>
      </c>
      <c r="B143" s="28" t="s">
        <v>29</v>
      </c>
      <c r="C143" s="28" t="s">
        <v>28</v>
      </c>
      <c r="D143" s="23">
        <v>2019</v>
      </c>
      <c r="E143" s="239">
        <v>39.299999999999997</v>
      </c>
      <c r="F143">
        <v>6.4727699999999997</v>
      </c>
      <c r="G143" s="17">
        <v>4000000000</v>
      </c>
      <c r="H143" s="242">
        <v>14641.2</v>
      </c>
      <c r="I143" s="4">
        <v>0.49</v>
      </c>
      <c r="J143" s="24">
        <v>14.221</v>
      </c>
      <c r="K143" s="26">
        <v>1.1801999999999999</v>
      </c>
      <c r="L143" s="24">
        <v>557</v>
      </c>
      <c r="M143">
        <v>30.200001</v>
      </c>
      <c r="N143" s="27">
        <v>92.3</v>
      </c>
      <c r="O143" s="26">
        <v>5.4</v>
      </c>
      <c r="P143" s="25">
        <v>2818.8</v>
      </c>
      <c r="Q143">
        <v>0.6</v>
      </c>
      <c r="R143">
        <v>2.5</v>
      </c>
      <c r="S143" s="14">
        <v>58574</v>
      </c>
      <c r="T143" s="224">
        <v>0</v>
      </c>
      <c r="U143" s="25">
        <v>128</v>
      </c>
      <c r="V143" s="24">
        <v>6274.7025999999996</v>
      </c>
      <c r="W143" s="22">
        <v>32.700000000000003</v>
      </c>
      <c r="X143" s="20">
        <v>14.221</v>
      </c>
      <c r="Y143" s="19">
        <f t="shared" si="6"/>
        <v>2.6547197453905591</v>
      </c>
      <c r="Z143" s="21">
        <v>557</v>
      </c>
      <c r="AA143" s="19">
        <f t="shared" si="7"/>
        <v>6.3225652399272843</v>
      </c>
      <c r="AB143" s="2">
        <v>30.2</v>
      </c>
      <c r="AC143" s="20">
        <v>6274.7</v>
      </c>
      <c r="AD143" s="19">
        <f t="shared" si="8"/>
        <v>8.7442809540921687</v>
      </c>
      <c r="AE143" s="4">
        <v>73.762500000000003</v>
      </c>
      <c r="AF143" s="1">
        <v>4.2566100000000002</v>
      </c>
      <c r="AG143" s="242">
        <v>70.5702</v>
      </c>
      <c r="AH143" s="242">
        <v>31.6</v>
      </c>
      <c r="AI143" s="245">
        <v>57.241999999999997</v>
      </c>
    </row>
    <row r="144" spans="1:35">
      <c r="A144" s="24">
        <v>13</v>
      </c>
      <c r="B144" s="28" t="s">
        <v>29</v>
      </c>
      <c r="C144" s="28" t="s">
        <v>28</v>
      </c>
      <c r="D144" s="23">
        <v>2020</v>
      </c>
      <c r="E144" s="239">
        <v>39.9</v>
      </c>
      <c r="F144">
        <v>2.5390999999999999</v>
      </c>
      <c r="G144" s="17">
        <v>1500000000</v>
      </c>
      <c r="H144" s="242">
        <v>13545</v>
      </c>
      <c r="I144" s="4">
        <v>0.49</v>
      </c>
      <c r="J144" s="24">
        <v>13.231999999999999</v>
      </c>
      <c r="K144" s="26">
        <v>1.0625</v>
      </c>
      <c r="L144" s="24">
        <v>555</v>
      </c>
      <c r="M144">
        <v>29.5</v>
      </c>
      <c r="N144" s="27">
        <v>94.9</v>
      </c>
      <c r="O144" s="26">
        <v>5.5</v>
      </c>
      <c r="P144" s="25">
        <v>2889.1</v>
      </c>
      <c r="Q144">
        <v>0.8</v>
      </c>
      <c r="R144">
        <v>2.4</v>
      </c>
      <c r="S144" s="14">
        <v>50818</v>
      </c>
      <c r="T144" s="224">
        <v>0</v>
      </c>
      <c r="U144" s="25">
        <v>122</v>
      </c>
      <c r="V144" s="24">
        <v>6376.3872000000001</v>
      </c>
      <c r="W144" s="22">
        <v>33.799999999999997</v>
      </c>
      <c r="X144" s="20">
        <v>13.231999999999999</v>
      </c>
      <c r="Y144" s="19">
        <f t="shared" si="6"/>
        <v>2.5826381382813355</v>
      </c>
      <c r="Z144" s="21">
        <v>555</v>
      </c>
      <c r="AA144" s="19">
        <f t="shared" si="7"/>
        <v>6.3189681137464344</v>
      </c>
      <c r="AB144" s="2">
        <v>29.5</v>
      </c>
      <c r="AC144" s="20">
        <v>6376.39</v>
      </c>
      <c r="AD144" s="19">
        <f t="shared" si="8"/>
        <v>8.7603573854752188</v>
      </c>
      <c r="AE144" s="4">
        <v>75.949700000000007</v>
      </c>
      <c r="AF144" s="1">
        <v>4.2477299999999998</v>
      </c>
      <c r="AG144" s="242">
        <v>69.9465</v>
      </c>
      <c r="AH144" s="242">
        <v>32.4</v>
      </c>
      <c r="AI144" s="245">
        <v>57.552999999999997</v>
      </c>
    </row>
    <row r="145" spans="1:35">
      <c r="A145" s="24">
        <v>14</v>
      </c>
      <c r="B145" s="28" t="s">
        <v>27</v>
      </c>
      <c r="C145" s="28" t="s">
        <v>26</v>
      </c>
      <c r="D145" s="23">
        <v>2010</v>
      </c>
      <c r="E145" s="239">
        <v>33</v>
      </c>
      <c r="F145">
        <v>-15.8522</v>
      </c>
      <c r="G145" s="17">
        <v>-21000000000</v>
      </c>
      <c r="H145" s="242">
        <v>11307.7</v>
      </c>
      <c r="I145" s="4">
        <v>0.56000000000000005</v>
      </c>
      <c r="J145" s="24">
        <v>9.2609996999999993</v>
      </c>
      <c r="K145" s="26">
        <v>1.0295000000000001</v>
      </c>
      <c r="L145" s="24">
        <v>399</v>
      </c>
      <c r="M145">
        <v>19.600000000000001</v>
      </c>
      <c r="N145" s="27">
        <v>82.3</v>
      </c>
      <c r="O145" s="26">
        <v>5.2</v>
      </c>
      <c r="P145" s="25">
        <v>306.10000000000002</v>
      </c>
      <c r="S145" s="14">
        <v>140978</v>
      </c>
      <c r="T145" s="224">
        <v>0.63</v>
      </c>
      <c r="U145" s="25">
        <v>100</v>
      </c>
      <c r="V145" s="24">
        <v>5116.5703000000003</v>
      </c>
      <c r="W145" s="22">
        <v>28.9</v>
      </c>
      <c r="X145" s="20">
        <v>9.2609999999999992</v>
      </c>
      <c r="Y145" s="19">
        <f t="shared" si="6"/>
        <v>2.2258120341881318</v>
      </c>
      <c r="Z145" s="21">
        <v>399</v>
      </c>
      <c r="AA145" s="19">
        <f t="shared" si="7"/>
        <v>5.9889614168898637</v>
      </c>
      <c r="AB145" s="2">
        <v>19.600000000000001</v>
      </c>
      <c r="AC145" s="20">
        <v>5116.57</v>
      </c>
      <c r="AD145" s="19">
        <f t="shared" si="8"/>
        <v>8.5402395716606243</v>
      </c>
      <c r="AE145" s="4">
        <v>138.953</v>
      </c>
      <c r="AF145" s="1">
        <v>4.7046599999999996</v>
      </c>
      <c r="AG145" s="242">
        <v>110.461</v>
      </c>
      <c r="AH145" s="242">
        <v>13.5</v>
      </c>
      <c r="AI145" s="245">
        <v>68.911000000000001</v>
      </c>
    </row>
    <row r="146" spans="1:35">
      <c r="A146" s="24">
        <v>14</v>
      </c>
      <c r="B146" s="28" t="s">
        <v>27</v>
      </c>
      <c r="C146" s="28" t="s">
        <v>26</v>
      </c>
      <c r="D146" s="23">
        <v>2011</v>
      </c>
      <c r="E146" s="239">
        <v>34.5</v>
      </c>
      <c r="F146">
        <v>7.4423700000000004</v>
      </c>
      <c r="G146" s="17">
        <v>11000000000</v>
      </c>
      <c r="H146" s="242">
        <v>11551.5</v>
      </c>
      <c r="I146" s="4">
        <v>0.53</v>
      </c>
      <c r="J146" s="24">
        <v>9.0299996999999994</v>
      </c>
      <c r="K146" s="26">
        <v>1.0444</v>
      </c>
      <c r="L146" s="24">
        <v>415</v>
      </c>
      <c r="M146">
        <v>22</v>
      </c>
      <c r="N146" s="27">
        <v>87.7</v>
      </c>
      <c r="O146" s="26">
        <v>5.4</v>
      </c>
      <c r="P146" s="25">
        <v>663.5</v>
      </c>
      <c r="S146" s="14">
        <v>121637</v>
      </c>
      <c r="T146" s="224">
        <v>0.46</v>
      </c>
      <c r="U146" s="25">
        <v>100</v>
      </c>
      <c r="V146" s="24">
        <v>4982.5775999999996</v>
      </c>
      <c r="W146" s="22">
        <v>29.5</v>
      </c>
      <c r="X146" s="20">
        <v>9.0299999999999994</v>
      </c>
      <c r="Y146" s="19">
        <f t="shared" si="6"/>
        <v>2.200552367428894</v>
      </c>
      <c r="Z146" s="21">
        <v>415</v>
      </c>
      <c r="AA146" s="19">
        <f t="shared" si="7"/>
        <v>6.0282785202306979</v>
      </c>
      <c r="AB146" s="2">
        <v>22</v>
      </c>
      <c r="AC146" s="20">
        <v>4982.58</v>
      </c>
      <c r="AD146" s="19">
        <f t="shared" si="8"/>
        <v>8.5137031081547381</v>
      </c>
      <c r="AE146" s="4">
        <v>151.29499999999999</v>
      </c>
      <c r="AF146" s="1">
        <v>4.7018300000000002</v>
      </c>
      <c r="AG146" s="242">
        <v>110.148</v>
      </c>
      <c r="AH146" s="242">
        <v>14.7</v>
      </c>
      <c r="AI146" s="245">
        <v>69.358000000000004</v>
      </c>
    </row>
    <row r="147" spans="1:35">
      <c r="A147" s="24">
        <v>14</v>
      </c>
      <c r="B147" s="28" t="s">
        <v>27</v>
      </c>
      <c r="C147" s="28" t="s">
        <v>26</v>
      </c>
      <c r="D147" s="23">
        <v>2012</v>
      </c>
      <c r="E147" s="239">
        <v>37.5</v>
      </c>
      <c r="F147">
        <v>8.2833199999999998</v>
      </c>
      <c r="G147" s="17">
        <v>11000000000</v>
      </c>
      <c r="H147" s="242">
        <v>11466.1</v>
      </c>
      <c r="I147" s="4">
        <v>0.47</v>
      </c>
      <c r="J147" s="24">
        <v>8.1809998000000004</v>
      </c>
      <c r="K147" s="26">
        <v>1.1774</v>
      </c>
      <c r="L147" s="24">
        <v>405</v>
      </c>
      <c r="M147">
        <v>25.5</v>
      </c>
      <c r="N147" s="27">
        <v>81.5</v>
      </c>
      <c r="O147" s="26">
        <v>6</v>
      </c>
      <c r="P147" s="25">
        <v>397.6</v>
      </c>
      <c r="Q147">
        <v>0.5</v>
      </c>
      <c r="R147">
        <v>2.4</v>
      </c>
      <c r="S147" s="14">
        <v>112989</v>
      </c>
      <c r="T147" s="224">
        <v>0.34</v>
      </c>
      <c r="U147" s="25">
        <v>96</v>
      </c>
      <c r="V147" s="24">
        <v>5101.1772000000001</v>
      </c>
      <c r="W147" s="22">
        <v>31.4</v>
      </c>
      <c r="X147" s="20">
        <v>8.1809999999999992</v>
      </c>
      <c r="Y147" s="19">
        <f t="shared" si="6"/>
        <v>2.1018143925315611</v>
      </c>
      <c r="Z147" s="21">
        <v>405</v>
      </c>
      <c r="AA147" s="19">
        <f t="shared" si="7"/>
        <v>6.0038870671065387</v>
      </c>
      <c r="AB147" s="2">
        <v>25.5</v>
      </c>
      <c r="AC147" s="20">
        <v>5101.18</v>
      </c>
      <c r="AD147" s="19">
        <f t="shared" si="8"/>
        <v>8.5372271644989368</v>
      </c>
      <c r="AE147" s="4">
        <v>154.28899999999999</v>
      </c>
      <c r="AF147" s="1">
        <v>4.6966599999999996</v>
      </c>
      <c r="AG147" s="242">
        <v>109.581</v>
      </c>
      <c r="AH147" s="242">
        <v>16.5</v>
      </c>
      <c r="AI147" s="245">
        <v>69.677999999999997</v>
      </c>
    </row>
    <row r="148" spans="1:35">
      <c r="A148" s="24">
        <v>14</v>
      </c>
      <c r="B148" s="28" t="s">
        <v>27</v>
      </c>
      <c r="C148" s="28" t="s">
        <v>26</v>
      </c>
      <c r="D148" s="23">
        <v>2013</v>
      </c>
      <c r="E148" s="239">
        <v>37.5</v>
      </c>
      <c r="F148">
        <v>-2.7490899999999998</v>
      </c>
      <c r="G148" s="17">
        <v>-3700000000</v>
      </c>
      <c r="H148" s="242">
        <v>11705</v>
      </c>
      <c r="I148" s="4">
        <v>0.47</v>
      </c>
      <c r="J148" s="24">
        <v>9.6619997000000009</v>
      </c>
      <c r="K148" s="26">
        <v>1.0465</v>
      </c>
      <c r="L148" s="24">
        <v>379</v>
      </c>
      <c r="M148">
        <v>26.4</v>
      </c>
      <c r="N148" s="27">
        <v>87.7</v>
      </c>
      <c r="O148" s="26">
        <v>6.1</v>
      </c>
      <c r="P148" s="25">
        <v>809.7</v>
      </c>
      <c r="Q148">
        <v>0.4</v>
      </c>
      <c r="R148">
        <v>2.1</v>
      </c>
      <c r="S148" s="14">
        <v>99999</v>
      </c>
      <c r="T148" s="224">
        <v>0.13</v>
      </c>
      <c r="U148" s="25">
        <v>94</v>
      </c>
      <c r="V148" s="24">
        <v>5338.21</v>
      </c>
      <c r="W148" s="22">
        <v>30.2</v>
      </c>
      <c r="X148" s="20">
        <v>9.6620000000000008</v>
      </c>
      <c r="Y148" s="19">
        <f t="shared" si="6"/>
        <v>2.2682006661322149</v>
      </c>
      <c r="Z148" s="21">
        <v>379</v>
      </c>
      <c r="AA148" s="19">
        <f t="shared" si="7"/>
        <v>5.9375362050824263</v>
      </c>
      <c r="AB148" s="2">
        <v>26.4</v>
      </c>
      <c r="AC148" s="20">
        <v>5338.21</v>
      </c>
      <c r="AD148" s="19">
        <f t="shared" si="8"/>
        <v>8.5826456697676452</v>
      </c>
      <c r="AE148" s="4">
        <v>153.01300000000001</v>
      </c>
      <c r="AF148" s="1">
        <v>4.6939099999999998</v>
      </c>
      <c r="AG148" s="242">
        <v>109.28</v>
      </c>
      <c r="AH148" s="242">
        <v>17.2</v>
      </c>
      <c r="AI148" s="245">
        <v>69.953000000000003</v>
      </c>
    </row>
    <row r="149" spans="1:35">
      <c r="A149" s="24">
        <v>14</v>
      </c>
      <c r="B149" s="28" t="s">
        <v>27</v>
      </c>
      <c r="C149" s="28" t="s">
        <v>26</v>
      </c>
      <c r="D149" s="23">
        <v>2014</v>
      </c>
      <c r="E149" s="239">
        <v>37.799999999999997</v>
      </c>
      <c r="F149">
        <v>9.1326400000000003</v>
      </c>
      <c r="G149" s="17">
        <v>13000000000</v>
      </c>
      <c r="H149" s="242">
        <v>12233.3</v>
      </c>
      <c r="I149" s="4">
        <v>0.43</v>
      </c>
      <c r="J149" s="24">
        <v>12.811</v>
      </c>
      <c r="K149" s="26">
        <v>0.84870000000000001</v>
      </c>
      <c r="L149" s="24">
        <v>384</v>
      </c>
      <c r="M149">
        <v>30.5</v>
      </c>
      <c r="N149" s="27">
        <v>87</v>
      </c>
      <c r="O149" s="26">
        <v>5.3</v>
      </c>
      <c r="P149" s="25">
        <v>819.4</v>
      </c>
      <c r="Q149">
        <v>0.7</v>
      </c>
      <c r="R149">
        <v>1.9</v>
      </c>
      <c r="S149" s="14">
        <v>94592</v>
      </c>
      <c r="T149" s="224">
        <v>0.28999999999999998</v>
      </c>
      <c r="U149" s="25">
        <v>99</v>
      </c>
      <c r="V149" s="24">
        <v>5328.9277000000002</v>
      </c>
      <c r="W149" s="22">
        <v>27.5</v>
      </c>
      <c r="X149" s="20">
        <v>12.811</v>
      </c>
      <c r="Y149" s="19">
        <f t="shared" si="6"/>
        <v>2.5503041768742967</v>
      </c>
      <c r="Z149" s="21">
        <v>384</v>
      </c>
      <c r="AA149" s="19">
        <f t="shared" si="7"/>
        <v>5.9506425525877269</v>
      </c>
      <c r="AB149" s="2">
        <v>30.5</v>
      </c>
      <c r="AC149" s="20">
        <v>5328.93</v>
      </c>
      <c r="AD149" s="19">
        <f t="shared" si="8"/>
        <v>8.5809057465377752</v>
      </c>
      <c r="AE149" s="4">
        <v>152.81399999999999</v>
      </c>
      <c r="AF149" s="1">
        <v>4.6831800000000001</v>
      </c>
      <c r="AG149" s="242">
        <v>108.114</v>
      </c>
      <c r="AH149" s="242">
        <v>15.7</v>
      </c>
      <c r="AI149" s="245">
        <v>70.227000000000004</v>
      </c>
    </row>
    <row r="150" spans="1:35">
      <c r="A150" s="24">
        <v>14</v>
      </c>
      <c r="B150" s="28" t="s">
        <v>27</v>
      </c>
      <c r="C150" s="28" t="s">
        <v>26</v>
      </c>
      <c r="D150" s="23">
        <v>2015</v>
      </c>
      <c r="E150" s="239">
        <v>39</v>
      </c>
      <c r="F150">
        <v>-4.3696999999999999</v>
      </c>
      <c r="G150" s="17">
        <v>-5500000000</v>
      </c>
      <c r="H150" s="242">
        <v>12717</v>
      </c>
      <c r="I150" s="4">
        <v>0.43</v>
      </c>
      <c r="J150" s="24">
        <v>12.672000000000001</v>
      </c>
      <c r="K150" s="26">
        <v>0.89539999999999997</v>
      </c>
      <c r="L150" s="24">
        <v>391</v>
      </c>
      <c r="M150">
        <v>32.200001</v>
      </c>
      <c r="N150" s="27">
        <v>83.3</v>
      </c>
      <c r="O150" s="26">
        <v>5.7</v>
      </c>
      <c r="P150" s="25">
        <v>758</v>
      </c>
      <c r="Q150">
        <v>0.7</v>
      </c>
      <c r="R150">
        <v>1.8</v>
      </c>
      <c r="S150" s="14">
        <v>102645</v>
      </c>
      <c r="T150" s="224">
        <v>0.24</v>
      </c>
      <c r="U150" s="25">
        <v>104</v>
      </c>
      <c r="V150" s="24">
        <v>5554.6635999999999</v>
      </c>
      <c r="W150" s="22">
        <v>26.7</v>
      </c>
      <c r="X150" s="20">
        <v>12.672000000000001</v>
      </c>
      <c r="Y150" s="19">
        <f t="shared" si="6"/>
        <v>2.5393948350720699</v>
      </c>
      <c r="Z150" s="21">
        <v>391</v>
      </c>
      <c r="AA150" s="19">
        <f t="shared" si="7"/>
        <v>5.9687075599853658</v>
      </c>
      <c r="AB150" s="2">
        <v>32.200000000000003</v>
      </c>
      <c r="AC150" s="20">
        <v>5554.66</v>
      </c>
      <c r="AD150" s="19">
        <f t="shared" si="8"/>
        <v>8.6223924940799481</v>
      </c>
      <c r="AE150" s="4">
        <v>152.18600000000001</v>
      </c>
      <c r="AF150" s="1">
        <v>4.6808100000000001</v>
      </c>
      <c r="AG150" s="242">
        <v>107.857</v>
      </c>
      <c r="AH150" s="242">
        <v>15.6</v>
      </c>
      <c r="AI150" s="245">
        <v>70.5</v>
      </c>
    </row>
    <row r="151" spans="1:35">
      <c r="A151" s="24">
        <v>14</v>
      </c>
      <c r="B151" s="28" t="s">
        <v>27</v>
      </c>
      <c r="C151" s="28" t="s">
        <v>26</v>
      </c>
      <c r="D151" s="23">
        <v>2016</v>
      </c>
      <c r="E151" s="239">
        <v>37.6</v>
      </c>
      <c r="F151">
        <v>54.0032</v>
      </c>
      <c r="G151" s="17">
        <v>69000000000</v>
      </c>
      <c r="H151" s="242">
        <v>13035.4</v>
      </c>
      <c r="I151" s="4">
        <v>0.43</v>
      </c>
      <c r="J151" s="24">
        <v>12.068</v>
      </c>
      <c r="K151" s="26">
        <v>0.95579999999999998</v>
      </c>
      <c r="L151" s="24">
        <v>407</v>
      </c>
      <c r="M151">
        <v>34.700001</v>
      </c>
      <c r="N151" s="27">
        <v>84</v>
      </c>
      <c r="O151" s="26">
        <v>6.3</v>
      </c>
      <c r="P151" s="25">
        <v>112.9</v>
      </c>
      <c r="Q151">
        <v>0.8</v>
      </c>
      <c r="R151">
        <v>2</v>
      </c>
      <c r="S151" s="14">
        <v>110391</v>
      </c>
      <c r="T151" s="224">
        <v>0.32</v>
      </c>
      <c r="U151" s="25">
        <v>107</v>
      </c>
      <c r="V151" s="24">
        <v>5612.0268999999998</v>
      </c>
      <c r="W151" s="22">
        <v>28.1</v>
      </c>
      <c r="X151" s="20">
        <v>12.068</v>
      </c>
      <c r="Y151" s="19">
        <f t="shared" si="6"/>
        <v>2.4905573212968148</v>
      </c>
      <c r="Z151" s="21">
        <v>407</v>
      </c>
      <c r="AA151" s="19">
        <f t="shared" si="7"/>
        <v>6.0088131854425946</v>
      </c>
      <c r="AB151" s="2">
        <v>34.700000000000003</v>
      </c>
      <c r="AC151" s="20">
        <v>5612.03</v>
      </c>
      <c r="AD151" s="19">
        <f t="shared" si="8"/>
        <v>8.6326677868958743</v>
      </c>
      <c r="AE151" s="4">
        <v>152.24299999999999</v>
      </c>
      <c r="AF151" s="1">
        <v>4.6778599999999999</v>
      </c>
      <c r="AG151" s="242">
        <v>107.539</v>
      </c>
      <c r="AH151" s="242">
        <v>15.3</v>
      </c>
      <c r="AI151" s="245">
        <v>70.778999999999996</v>
      </c>
    </row>
    <row r="152" spans="1:35">
      <c r="A152" s="24">
        <v>14</v>
      </c>
      <c r="B152" s="28" t="s">
        <v>27</v>
      </c>
      <c r="C152" s="28" t="s">
        <v>26</v>
      </c>
      <c r="D152" s="23">
        <v>2017</v>
      </c>
      <c r="E152" s="239">
        <v>38.4</v>
      </c>
      <c r="F152">
        <v>-8.6448</v>
      </c>
      <c r="G152" s="17">
        <v>-12000000000</v>
      </c>
      <c r="H152" s="242">
        <v>13628.4</v>
      </c>
      <c r="I152" s="4">
        <v>0.43</v>
      </c>
      <c r="J152" s="24">
        <v>13.926</v>
      </c>
      <c r="K152" s="26">
        <v>0.88939999999999997</v>
      </c>
      <c r="L152" s="24">
        <v>390</v>
      </c>
      <c r="M152">
        <v>35</v>
      </c>
      <c r="N152" s="27">
        <v>84.2</v>
      </c>
      <c r="O152" s="26">
        <v>6.7</v>
      </c>
      <c r="P152" s="25">
        <v>61.9</v>
      </c>
      <c r="Q152">
        <v>0.8</v>
      </c>
      <c r="R152">
        <v>2.2000000000000002</v>
      </c>
      <c r="S152" s="14">
        <v>114922</v>
      </c>
      <c r="T152" s="224">
        <v>0.1</v>
      </c>
      <c r="U152" s="25">
        <v>109</v>
      </c>
      <c r="V152" s="24">
        <v>5472.4209000000001</v>
      </c>
      <c r="W152" s="22">
        <v>29.6</v>
      </c>
      <c r="X152" s="20">
        <v>13.926</v>
      </c>
      <c r="Y152" s="19">
        <f t="shared" si="6"/>
        <v>2.633757596520355</v>
      </c>
      <c r="Z152" s="21">
        <v>390</v>
      </c>
      <c r="AA152" s="19">
        <f t="shared" si="7"/>
        <v>5.9661467391236922</v>
      </c>
      <c r="AB152" s="2">
        <v>35</v>
      </c>
      <c r="AC152" s="20">
        <v>5472.42</v>
      </c>
      <c r="AD152" s="19">
        <f t="shared" si="8"/>
        <v>8.6074762107428846</v>
      </c>
      <c r="AE152" s="4">
        <v>154.65100000000001</v>
      </c>
      <c r="AF152" s="1">
        <v>4.6752000000000002</v>
      </c>
      <c r="AG152" s="242">
        <v>107.254</v>
      </c>
      <c r="AH152" s="242">
        <v>14.6</v>
      </c>
      <c r="AI152" s="245">
        <v>71.061999999999998</v>
      </c>
    </row>
    <row r="153" spans="1:35">
      <c r="A153" s="24">
        <v>14</v>
      </c>
      <c r="B153" s="28" t="s">
        <v>27</v>
      </c>
      <c r="C153" s="28" t="s">
        <v>26</v>
      </c>
      <c r="D153" s="23">
        <v>2018</v>
      </c>
      <c r="E153" s="239">
        <v>38.4</v>
      </c>
      <c r="F153">
        <v>-40.262900000000002</v>
      </c>
      <c r="G153" s="17">
        <v>-65000000000</v>
      </c>
      <c r="H153" s="242">
        <v>14377.4</v>
      </c>
      <c r="I153" s="4">
        <v>0.43</v>
      </c>
      <c r="J153" s="24">
        <v>15.906000000000001</v>
      </c>
      <c r="K153" s="26">
        <v>0.81920000000000004</v>
      </c>
      <c r="L153" s="24">
        <v>398</v>
      </c>
      <c r="M153">
        <v>37.400002000000001</v>
      </c>
      <c r="N153" s="27">
        <v>83.5</v>
      </c>
      <c r="O153" s="26">
        <v>6.9</v>
      </c>
      <c r="P153" s="25">
        <v>18</v>
      </c>
      <c r="Q153">
        <v>0.8</v>
      </c>
      <c r="R153">
        <v>2.5</v>
      </c>
      <c r="S153" s="14">
        <v>119781</v>
      </c>
      <c r="T153" s="224">
        <v>0.2</v>
      </c>
      <c r="U153" s="25">
        <v>113</v>
      </c>
      <c r="V153" s="24">
        <v>5177.5141999999996</v>
      </c>
      <c r="W153" s="22">
        <v>29.5</v>
      </c>
      <c r="X153" s="20">
        <v>15.906000000000001</v>
      </c>
      <c r="Y153" s="19">
        <f t="shared" si="6"/>
        <v>2.7666963965349436</v>
      </c>
      <c r="Z153" s="21">
        <v>398</v>
      </c>
      <c r="AA153" s="19">
        <f t="shared" si="7"/>
        <v>5.9864520052844377</v>
      </c>
      <c r="AB153" s="2">
        <v>37.4</v>
      </c>
      <c r="AC153" s="20">
        <v>5177.51</v>
      </c>
      <c r="AD153" s="19">
        <f t="shared" si="8"/>
        <v>8.5520795247019645</v>
      </c>
      <c r="AE153" s="4">
        <v>152.863</v>
      </c>
      <c r="AF153" s="1">
        <v>4.6739300000000004</v>
      </c>
      <c r="AG153" s="242">
        <v>107.11799999999999</v>
      </c>
      <c r="AH153" s="242">
        <v>13.6</v>
      </c>
      <c r="AI153" s="245">
        <v>71.350999999999999</v>
      </c>
    </row>
    <row r="154" spans="1:35">
      <c r="A154" s="24">
        <v>14</v>
      </c>
      <c r="B154" s="28" t="s">
        <v>27</v>
      </c>
      <c r="C154" s="28" t="s">
        <v>26</v>
      </c>
      <c r="D154" s="23">
        <v>2019</v>
      </c>
      <c r="E154" s="239">
        <v>39.200000000000003</v>
      </c>
      <c r="F154">
        <v>59.910400000000003</v>
      </c>
      <c r="G154" s="17">
        <v>98000000000</v>
      </c>
      <c r="H154" s="242">
        <v>15083.6</v>
      </c>
      <c r="I154" s="4">
        <v>0.44</v>
      </c>
      <c r="J154" s="24">
        <v>16.698</v>
      </c>
      <c r="K154" s="26">
        <v>0.82740000000000002</v>
      </c>
      <c r="L154" s="24">
        <v>409</v>
      </c>
      <c r="M154">
        <v>35.900002000000001</v>
      </c>
      <c r="N154" s="27">
        <v>83.7</v>
      </c>
      <c r="O154" s="26">
        <v>5.5</v>
      </c>
      <c r="P154" s="25">
        <v>7.2</v>
      </c>
      <c r="Q154">
        <v>0.8</v>
      </c>
      <c r="R154">
        <v>1.8</v>
      </c>
      <c r="S154" s="14">
        <v>109768</v>
      </c>
      <c r="T154" s="224">
        <v>0.31</v>
      </c>
      <c r="U154" s="25">
        <v>113</v>
      </c>
      <c r="V154" s="24">
        <v>4882.6073999999999</v>
      </c>
      <c r="W154" s="22">
        <v>27.1</v>
      </c>
      <c r="X154" s="20">
        <v>16.698</v>
      </c>
      <c r="Y154" s="19">
        <f t="shared" si="6"/>
        <v>2.8152889517718087</v>
      </c>
      <c r="Z154" s="21">
        <v>409</v>
      </c>
      <c r="AA154" s="19">
        <f t="shared" si="7"/>
        <v>6.0137151560428022</v>
      </c>
      <c r="AB154" s="2">
        <v>35.9</v>
      </c>
      <c r="AC154" s="20"/>
      <c r="AD154" s="19" t="e">
        <f t="shared" si="8"/>
        <v>#NUM!</v>
      </c>
      <c r="AE154" s="4">
        <v>148.99700000000001</v>
      </c>
      <c r="AF154" s="1">
        <v>4.6734799999999996</v>
      </c>
      <c r="AG154" s="242">
        <v>107.069</v>
      </c>
      <c r="AH154" s="242">
        <v>13.6</v>
      </c>
      <c r="AI154" s="245">
        <v>71.644000000000005</v>
      </c>
    </row>
    <row r="155" spans="1:35">
      <c r="A155" s="24">
        <v>14</v>
      </c>
      <c r="B155" s="28" t="s">
        <v>27</v>
      </c>
      <c r="C155" s="28" t="s">
        <v>26</v>
      </c>
      <c r="D155" s="23">
        <v>2020</v>
      </c>
      <c r="E155" s="239">
        <v>39.9</v>
      </c>
      <c r="F155">
        <v>106.428</v>
      </c>
      <c r="G155" s="17">
        <v>170000000000</v>
      </c>
      <c r="H155" s="242">
        <v>14437.8</v>
      </c>
      <c r="I155" s="4">
        <v>0.47</v>
      </c>
      <c r="J155" s="24">
        <v>14.297000000000001</v>
      </c>
      <c r="K155" s="26">
        <v>0.91420000000000001</v>
      </c>
      <c r="L155" s="24">
        <v>424</v>
      </c>
      <c r="M155">
        <v>32</v>
      </c>
      <c r="N155" s="27">
        <v>81.900000000000006</v>
      </c>
      <c r="O155" s="26">
        <v>5.0999999999999996</v>
      </c>
      <c r="P155" s="25">
        <v>648.1</v>
      </c>
      <c r="Q155">
        <v>0.7</v>
      </c>
      <c r="R155">
        <v>1.8</v>
      </c>
      <c r="S155" s="14">
        <v>105907</v>
      </c>
      <c r="T155" s="224">
        <v>0</v>
      </c>
      <c r="U155" s="25">
        <v>111</v>
      </c>
      <c r="V155" s="24">
        <v>4587.7007000000003</v>
      </c>
      <c r="W155" s="22">
        <v>26.8</v>
      </c>
      <c r="X155" s="20">
        <v>14.297000000000001</v>
      </c>
      <c r="Y155" s="19">
        <f t="shared" si="6"/>
        <v>2.6600497250470272</v>
      </c>
      <c r="Z155" s="21">
        <v>424</v>
      </c>
      <c r="AA155" s="19">
        <f t="shared" si="7"/>
        <v>6.0497334552319577</v>
      </c>
      <c r="AB155" s="2">
        <v>32</v>
      </c>
      <c r="AC155" s="20"/>
      <c r="AD155" s="19" t="e">
        <f t="shared" si="8"/>
        <v>#NUM!</v>
      </c>
      <c r="AE155" s="4">
        <v>150.471</v>
      </c>
      <c r="AF155" s="1">
        <v>4.6713300000000002</v>
      </c>
      <c r="AG155" s="242">
        <v>106.839</v>
      </c>
      <c r="AH155" s="242">
        <v>14.8</v>
      </c>
      <c r="AI155" s="245">
        <v>71.941999999999993</v>
      </c>
    </row>
    <row r="156" spans="1:35">
      <c r="A156" s="24">
        <v>15</v>
      </c>
      <c r="B156" s="28" t="s">
        <v>25</v>
      </c>
      <c r="C156" s="28" t="s">
        <v>24</v>
      </c>
      <c r="D156" s="23">
        <v>2010</v>
      </c>
      <c r="E156" s="239">
        <v>18.5</v>
      </c>
      <c r="F156">
        <v>17.004899999999999</v>
      </c>
      <c r="G156" s="17">
        <v>38000000000</v>
      </c>
      <c r="H156" s="242">
        <v>47040.4</v>
      </c>
      <c r="I156" s="4">
        <v>0.73</v>
      </c>
      <c r="J156" s="24">
        <v>16.177</v>
      </c>
      <c r="K156" s="26">
        <v>1.7444</v>
      </c>
      <c r="L156" s="24">
        <v>461</v>
      </c>
      <c r="M156">
        <v>35.700001</v>
      </c>
      <c r="N156" s="27">
        <v>80.3</v>
      </c>
      <c r="O156" s="26">
        <v>1.9</v>
      </c>
      <c r="P156" s="25">
        <v>185.4</v>
      </c>
      <c r="S156" s="14">
        <v>22354</v>
      </c>
      <c r="T156" s="224">
        <v>0.46</v>
      </c>
      <c r="U156" s="25">
        <v>100</v>
      </c>
      <c r="V156" s="24">
        <v>11844.579</v>
      </c>
      <c r="W156" s="22">
        <v>28.5</v>
      </c>
      <c r="X156" s="20">
        <v>16.177</v>
      </c>
      <c r="Y156" s="19">
        <f t="shared" si="6"/>
        <v>2.7835904803475571</v>
      </c>
      <c r="Z156" s="21">
        <v>461</v>
      </c>
      <c r="AA156" s="19">
        <f t="shared" si="7"/>
        <v>6.1333980429966486</v>
      </c>
      <c r="AB156" s="2">
        <v>35.700000000000003</v>
      </c>
      <c r="AC156" s="20">
        <v>11844.6</v>
      </c>
      <c r="AD156" s="19">
        <f t="shared" si="8"/>
        <v>9.379627346499678</v>
      </c>
      <c r="AE156" s="4">
        <v>79.632599999999996</v>
      </c>
      <c r="AF156" s="1">
        <v>4.1925999999999997</v>
      </c>
      <c r="AG156" s="242">
        <v>66.194699999999997</v>
      </c>
      <c r="AH156" s="242">
        <v>5.3</v>
      </c>
      <c r="AI156" s="245">
        <v>61.542000000000002</v>
      </c>
    </row>
    <row r="157" spans="1:35">
      <c r="A157" s="24">
        <v>15</v>
      </c>
      <c r="B157" s="28" t="s">
        <v>25</v>
      </c>
      <c r="C157" s="28" t="s">
        <v>24</v>
      </c>
      <c r="D157" s="23">
        <v>2011</v>
      </c>
      <c r="E157" s="239">
        <v>18.5</v>
      </c>
      <c r="F157">
        <v>9.8200099999999999</v>
      </c>
      <c r="G157" s="17">
        <v>24000000000</v>
      </c>
      <c r="H157" s="242">
        <v>47607.9</v>
      </c>
      <c r="I157" s="4">
        <v>0.66</v>
      </c>
      <c r="J157" s="24">
        <v>15.039</v>
      </c>
      <c r="K157" s="26">
        <v>2.0495000000000001</v>
      </c>
      <c r="L157" s="24">
        <v>468</v>
      </c>
      <c r="M157">
        <v>36.099997999999999</v>
      </c>
      <c r="N157" s="27">
        <v>82.1</v>
      </c>
      <c r="O157" s="26">
        <v>2.2000000000000002</v>
      </c>
      <c r="P157" s="25">
        <v>14.2</v>
      </c>
      <c r="S157" s="14">
        <v>22818</v>
      </c>
      <c r="T157" s="224">
        <v>0.82</v>
      </c>
      <c r="U157" s="25">
        <v>104</v>
      </c>
      <c r="V157" s="24">
        <v>11850.786</v>
      </c>
      <c r="W157" s="22">
        <v>31.3</v>
      </c>
      <c r="X157" s="20">
        <v>15.039</v>
      </c>
      <c r="Y157" s="19">
        <f t="shared" si="6"/>
        <v>2.7106468269494761</v>
      </c>
      <c r="Z157" s="21">
        <v>468</v>
      </c>
      <c r="AA157" s="19">
        <f t="shared" si="7"/>
        <v>6.1484682959176471</v>
      </c>
      <c r="AB157" s="2">
        <v>36.1</v>
      </c>
      <c r="AC157" s="20">
        <v>11850.8</v>
      </c>
      <c r="AD157" s="19">
        <f t="shared" si="8"/>
        <v>9.3801506548330664</v>
      </c>
      <c r="AE157" s="4">
        <v>79.700100000000006</v>
      </c>
      <c r="AF157" s="1">
        <v>4.1969599999999998</v>
      </c>
      <c r="AG157" s="242">
        <v>66.483999999999995</v>
      </c>
      <c r="AH157" s="242">
        <v>7</v>
      </c>
      <c r="AI157" s="245">
        <v>61.741999999999997</v>
      </c>
    </row>
    <row r="158" spans="1:35">
      <c r="A158" s="24">
        <v>15</v>
      </c>
      <c r="B158" s="28" t="s">
        <v>25</v>
      </c>
      <c r="C158" s="28" t="s">
        <v>24</v>
      </c>
      <c r="D158" s="23">
        <v>2012</v>
      </c>
      <c r="E158" s="239">
        <v>20.5</v>
      </c>
      <c r="F158">
        <v>25.56</v>
      </c>
      <c r="G158" s="17">
        <v>58000000000</v>
      </c>
      <c r="H158" s="242">
        <v>47217.4</v>
      </c>
      <c r="I158" s="4">
        <v>0.68</v>
      </c>
      <c r="J158" s="24">
        <v>15.635</v>
      </c>
      <c r="K158" s="26">
        <v>2.0381</v>
      </c>
      <c r="L158" s="24">
        <v>457</v>
      </c>
      <c r="M158">
        <v>36.599997999999999</v>
      </c>
      <c r="N158" s="27">
        <v>83.4</v>
      </c>
      <c r="O158" s="26">
        <v>1.9</v>
      </c>
      <c r="P158" s="25">
        <v>2.2999999999999998</v>
      </c>
      <c r="Q158">
        <v>0.3</v>
      </c>
      <c r="R158">
        <v>6.1</v>
      </c>
      <c r="S158" s="14">
        <v>23458</v>
      </c>
      <c r="T158" s="224">
        <v>0.3</v>
      </c>
      <c r="U158" s="25">
        <v>105</v>
      </c>
      <c r="V158" s="24">
        <v>11901.032999999999</v>
      </c>
      <c r="W158" s="22">
        <v>30.9</v>
      </c>
      <c r="X158" s="20">
        <v>15.635</v>
      </c>
      <c r="Y158" s="19">
        <f t="shared" si="6"/>
        <v>2.7495119909098045</v>
      </c>
      <c r="Z158" s="21">
        <v>457</v>
      </c>
      <c r="AA158" s="19">
        <f t="shared" si="7"/>
        <v>6.1246833908942051</v>
      </c>
      <c r="AB158" s="2">
        <v>36.6</v>
      </c>
      <c r="AC158" s="20">
        <v>11901</v>
      </c>
      <c r="AD158" s="19">
        <f t="shared" si="8"/>
        <v>9.3843777091824396</v>
      </c>
      <c r="AE158" s="4">
        <v>78.999099999999999</v>
      </c>
      <c r="AF158" s="1">
        <v>4.2012</v>
      </c>
      <c r="AG158" s="242">
        <v>66.766300000000001</v>
      </c>
      <c r="AH158" s="242">
        <v>6.9</v>
      </c>
      <c r="AI158" s="245">
        <v>61.942</v>
      </c>
    </row>
    <row r="159" spans="1:35">
      <c r="A159" s="24">
        <v>15</v>
      </c>
      <c r="B159" s="28" t="s">
        <v>25</v>
      </c>
      <c r="C159" s="28" t="s">
        <v>24</v>
      </c>
      <c r="D159" s="23">
        <v>2013</v>
      </c>
      <c r="E159" s="239">
        <v>20.5</v>
      </c>
      <c r="F159">
        <v>29.815000000000001</v>
      </c>
      <c r="G159" s="17">
        <v>73000000000</v>
      </c>
      <c r="H159" s="242">
        <v>47999.1</v>
      </c>
      <c r="I159" s="4">
        <v>0.71</v>
      </c>
      <c r="J159" s="24">
        <v>17.295000000000002</v>
      </c>
      <c r="K159" s="26">
        <v>1.9456</v>
      </c>
      <c r="L159" s="24">
        <v>454</v>
      </c>
      <c r="M159">
        <v>38.199998999999998</v>
      </c>
      <c r="N159" s="27">
        <v>83.3</v>
      </c>
      <c r="O159" s="26">
        <v>1.9</v>
      </c>
      <c r="P159" s="25">
        <v>19.100000000000001</v>
      </c>
      <c r="Q159">
        <v>0.3</v>
      </c>
      <c r="R159">
        <v>6</v>
      </c>
      <c r="S159" s="14">
        <v>24219</v>
      </c>
      <c r="T159" s="224">
        <v>0.53</v>
      </c>
      <c r="U159" s="25">
        <v>102</v>
      </c>
      <c r="V159" s="24">
        <v>12312.768</v>
      </c>
      <c r="W159" s="22">
        <v>30.9</v>
      </c>
      <c r="X159" s="20">
        <v>17.295000000000002</v>
      </c>
      <c r="Y159" s="19">
        <f t="shared" si="6"/>
        <v>2.8504174423891322</v>
      </c>
      <c r="Z159" s="21">
        <v>454</v>
      </c>
      <c r="AA159" s="19">
        <f t="shared" si="7"/>
        <v>6.1180971980413483</v>
      </c>
      <c r="AC159" s="20">
        <v>12312.8</v>
      </c>
      <c r="AD159" s="19">
        <f t="shared" si="8"/>
        <v>9.4183946506657445</v>
      </c>
      <c r="AE159" s="4">
        <v>77.587299999999999</v>
      </c>
      <c r="AF159" s="1">
        <v>4.2064599999999999</v>
      </c>
      <c r="AG159" s="242">
        <v>67.118799999999993</v>
      </c>
      <c r="AH159" s="242">
        <v>7.7</v>
      </c>
      <c r="AI159" s="245">
        <v>62.140999999999998</v>
      </c>
    </row>
    <row r="160" spans="1:35">
      <c r="A160" s="24">
        <v>15</v>
      </c>
      <c r="B160" s="28" t="s">
        <v>25</v>
      </c>
      <c r="C160" s="28" t="s">
        <v>24</v>
      </c>
      <c r="D160" s="23">
        <v>2014</v>
      </c>
      <c r="E160" s="239">
        <v>20.2</v>
      </c>
      <c r="F160">
        <v>39.321199999999997</v>
      </c>
      <c r="G160" s="17">
        <v>100000000000</v>
      </c>
      <c r="H160" s="242">
        <v>52098.1</v>
      </c>
      <c r="I160" s="4">
        <v>0.7</v>
      </c>
      <c r="J160" s="24">
        <v>16.541</v>
      </c>
      <c r="K160" s="26">
        <v>2.1812999999999998</v>
      </c>
      <c r="L160" s="24">
        <v>430</v>
      </c>
      <c r="M160">
        <v>39.799999</v>
      </c>
      <c r="N160" s="27">
        <v>83.7</v>
      </c>
      <c r="O160" s="26">
        <v>2.2000000000000002</v>
      </c>
      <c r="P160" s="25">
        <v>128.80000000000001</v>
      </c>
      <c r="Q160">
        <v>0.2</v>
      </c>
      <c r="R160">
        <v>5.5</v>
      </c>
      <c r="S160" s="14">
        <v>26019</v>
      </c>
      <c r="T160" s="224">
        <v>0.83</v>
      </c>
      <c r="U160" s="25">
        <v>108</v>
      </c>
      <c r="V160" s="24">
        <v>13099.977999999999</v>
      </c>
      <c r="W160" s="22">
        <v>31.1</v>
      </c>
      <c r="X160" s="20">
        <v>16.541</v>
      </c>
      <c r="Y160" s="19">
        <f t="shared" si="6"/>
        <v>2.8058421472600843</v>
      </c>
      <c r="Z160" s="21">
        <v>430</v>
      </c>
      <c r="AA160" s="19">
        <f t="shared" si="7"/>
        <v>6.0637852086876078</v>
      </c>
      <c r="AB160" s="2">
        <v>39.799999999999997</v>
      </c>
      <c r="AC160" s="20">
        <v>13100</v>
      </c>
      <c r="AD160" s="19">
        <f t="shared" si="8"/>
        <v>9.480367509189243</v>
      </c>
      <c r="AE160" s="4">
        <v>76.117999999999995</v>
      </c>
      <c r="AF160" s="1">
        <v>4.2137700000000002</v>
      </c>
      <c r="AG160" s="242">
        <v>67.6113</v>
      </c>
      <c r="AH160" s="242">
        <v>8.8000000000000007</v>
      </c>
      <c r="AI160" s="245">
        <v>62.34</v>
      </c>
    </row>
    <row r="161" spans="1:35">
      <c r="A161" s="24">
        <v>15</v>
      </c>
      <c r="B161" s="28" t="s">
        <v>25</v>
      </c>
      <c r="C161" s="28" t="s">
        <v>24</v>
      </c>
      <c r="D161" s="23">
        <v>2015</v>
      </c>
      <c r="E161" s="239">
        <v>21</v>
      </c>
      <c r="F161">
        <v>74.745199999999997</v>
      </c>
      <c r="G161" s="17">
        <v>230000000000</v>
      </c>
      <c r="H161" s="242">
        <v>64311.8</v>
      </c>
      <c r="I161" s="4">
        <v>0.67</v>
      </c>
      <c r="J161" s="24">
        <v>13.846</v>
      </c>
      <c r="K161" s="26">
        <v>2.6347</v>
      </c>
      <c r="L161" s="24">
        <v>403</v>
      </c>
      <c r="M161">
        <v>40.25</v>
      </c>
      <c r="N161" s="27">
        <v>83.2</v>
      </c>
      <c r="O161" s="26">
        <v>2.1</v>
      </c>
      <c r="P161" s="25">
        <v>127</v>
      </c>
      <c r="Q161">
        <v>0.2</v>
      </c>
      <c r="R161">
        <v>4.2</v>
      </c>
      <c r="S161" s="14">
        <v>27163</v>
      </c>
      <c r="T161" s="224">
        <v>0.31</v>
      </c>
      <c r="U161" s="25">
        <v>104</v>
      </c>
      <c r="V161" s="24">
        <v>13499.369000000001</v>
      </c>
      <c r="W161" s="22">
        <v>32.1</v>
      </c>
      <c r="X161" s="20">
        <v>13.846</v>
      </c>
      <c r="Y161" s="19">
        <f t="shared" si="6"/>
        <v>2.6279963822558337</v>
      </c>
      <c r="Z161" s="21">
        <v>403</v>
      </c>
      <c r="AA161" s="19">
        <f t="shared" si="7"/>
        <v>5.9989365619466826</v>
      </c>
      <c r="AC161" s="20">
        <v>13499.4</v>
      </c>
      <c r="AD161" s="19">
        <f t="shared" si="8"/>
        <v>9.510400518994393</v>
      </c>
      <c r="AE161" s="4">
        <v>66.251199999999997</v>
      </c>
      <c r="AF161" s="1">
        <v>4.2232200000000004</v>
      </c>
      <c r="AG161" s="242">
        <v>68.253100000000003</v>
      </c>
      <c r="AH161" s="242">
        <v>9.5</v>
      </c>
      <c r="AI161" s="245">
        <v>62.537999999999997</v>
      </c>
    </row>
    <row r="162" spans="1:35">
      <c r="A162" s="24">
        <v>15</v>
      </c>
      <c r="B162" s="28" t="s">
        <v>25</v>
      </c>
      <c r="C162" s="28" t="s">
        <v>24</v>
      </c>
      <c r="D162" s="23">
        <v>2016</v>
      </c>
      <c r="E162" s="239">
        <v>20.2</v>
      </c>
      <c r="F162">
        <v>26.099599999999999</v>
      </c>
      <c r="G162" s="17">
        <v>80000000000</v>
      </c>
      <c r="H162" s="242">
        <v>64367.4</v>
      </c>
      <c r="I162" s="4">
        <v>0.67</v>
      </c>
      <c r="J162" s="24">
        <v>16.716000000000001</v>
      </c>
      <c r="K162" s="26">
        <v>2.4965999999999999</v>
      </c>
      <c r="L162" s="24">
        <v>382</v>
      </c>
      <c r="M162">
        <v>40.700001</v>
      </c>
      <c r="N162" s="27">
        <v>85.1</v>
      </c>
      <c r="O162" s="26">
        <v>2</v>
      </c>
      <c r="P162" s="25">
        <v>88.3</v>
      </c>
      <c r="Q162">
        <v>0.1</v>
      </c>
      <c r="R162">
        <v>4.0999999999999996</v>
      </c>
      <c r="S162" s="14">
        <v>28227</v>
      </c>
      <c r="T162" s="224">
        <v>1.04</v>
      </c>
      <c r="U162" s="25">
        <v>99</v>
      </c>
      <c r="V162" s="24">
        <v>13548.052</v>
      </c>
      <c r="W162" s="22">
        <v>29.9</v>
      </c>
      <c r="X162" s="20">
        <v>16.716000000000001</v>
      </c>
      <c r="Y162" s="19">
        <f t="shared" si="6"/>
        <v>2.8163663445856688</v>
      </c>
      <c r="Z162" s="21">
        <v>382</v>
      </c>
      <c r="AA162" s="19">
        <f t="shared" si="7"/>
        <v>5.9454206086065753</v>
      </c>
      <c r="AB162" s="2">
        <v>40.700000000000003</v>
      </c>
      <c r="AC162" s="20">
        <v>13548.1</v>
      </c>
      <c r="AD162" s="19">
        <f t="shared" si="8"/>
        <v>9.5140015950736938</v>
      </c>
      <c r="AE162" s="4">
        <v>69.357500000000002</v>
      </c>
      <c r="AF162" s="1">
        <v>4.2345100000000002</v>
      </c>
      <c r="AG162" s="242">
        <v>69.027900000000002</v>
      </c>
      <c r="AH162" s="242">
        <v>8.6</v>
      </c>
      <c r="AI162" s="245">
        <v>62.737000000000002</v>
      </c>
    </row>
    <row r="163" spans="1:35">
      <c r="A163" s="24">
        <v>15</v>
      </c>
      <c r="B163" s="28" t="s">
        <v>25</v>
      </c>
      <c r="C163" s="28" t="s">
        <v>24</v>
      </c>
      <c r="D163" s="23">
        <v>2017</v>
      </c>
      <c r="E163" s="239">
        <v>21</v>
      </c>
      <c r="F163">
        <v>20.406700000000001</v>
      </c>
      <c r="G163" s="17">
        <v>71000000000</v>
      </c>
      <c r="H163" s="242">
        <v>70069.100000000006</v>
      </c>
      <c r="I163" s="4">
        <v>0.69</v>
      </c>
      <c r="J163" s="24">
        <v>17.326000000000001</v>
      </c>
      <c r="K163" s="26">
        <v>2.593</v>
      </c>
      <c r="L163" s="24">
        <v>402</v>
      </c>
      <c r="M163">
        <v>40.400002000000001</v>
      </c>
      <c r="N163" s="27">
        <v>83.8</v>
      </c>
      <c r="O163" s="26">
        <v>1.9</v>
      </c>
      <c r="P163" s="25">
        <v>21.3</v>
      </c>
      <c r="Q163">
        <v>0.2</v>
      </c>
      <c r="R163">
        <v>3.8</v>
      </c>
      <c r="S163" s="14">
        <v>30489</v>
      </c>
      <c r="T163" s="224">
        <v>0.78</v>
      </c>
      <c r="U163" s="25">
        <v>105</v>
      </c>
      <c r="V163" s="24">
        <v>12963.296</v>
      </c>
      <c r="W163" s="22">
        <v>29.8</v>
      </c>
      <c r="X163" s="20">
        <v>17.326000000000001</v>
      </c>
      <c r="Y163" s="19">
        <f t="shared" si="6"/>
        <v>2.8522082634679484</v>
      </c>
      <c r="Z163" s="21">
        <v>402</v>
      </c>
      <c r="AA163" s="19">
        <f t="shared" si="7"/>
        <v>5.9964520886190211</v>
      </c>
      <c r="AB163" s="2">
        <v>40.4</v>
      </c>
      <c r="AC163" s="20">
        <v>12963.3</v>
      </c>
      <c r="AD163" s="19">
        <f t="shared" si="8"/>
        <v>9.4698775671232731</v>
      </c>
      <c r="AE163" s="4">
        <v>66.150800000000004</v>
      </c>
      <c r="AF163" s="1">
        <v>4.2454000000000001</v>
      </c>
      <c r="AG163" s="242">
        <v>69.783500000000004</v>
      </c>
      <c r="AH163" s="242">
        <v>10.1</v>
      </c>
      <c r="AI163" s="245">
        <v>62.947000000000003</v>
      </c>
    </row>
    <row r="164" spans="1:35">
      <c r="A164" s="24">
        <v>15</v>
      </c>
      <c r="B164" s="28" t="s">
        <v>25</v>
      </c>
      <c r="C164" s="28" t="s">
        <v>24</v>
      </c>
      <c r="D164" s="23">
        <v>2018</v>
      </c>
      <c r="E164" s="239">
        <v>21.3</v>
      </c>
      <c r="F164">
        <v>20.3766</v>
      </c>
      <c r="G164" s="17">
        <v>81000000000</v>
      </c>
      <c r="H164" s="242">
        <v>74427.600000000006</v>
      </c>
      <c r="I164" s="4">
        <v>0.67</v>
      </c>
      <c r="J164" s="24">
        <v>17.277000000000001</v>
      </c>
      <c r="K164" s="26">
        <v>2.6223999999999998</v>
      </c>
      <c r="L164" s="24">
        <v>379</v>
      </c>
      <c r="M164">
        <v>37.700001</v>
      </c>
      <c r="N164" s="27">
        <v>82.9</v>
      </c>
      <c r="O164" s="26">
        <v>1.9</v>
      </c>
      <c r="P164" s="25">
        <v>8.9</v>
      </c>
      <c r="Q164">
        <v>0.2</v>
      </c>
      <c r="R164">
        <v>3.5</v>
      </c>
      <c r="S164" s="14">
        <v>30721</v>
      </c>
      <c r="T164" s="224">
        <v>0.38</v>
      </c>
      <c r="U164" s="25">
        <v>99</v>
      </c>
      <c r="V164" s="24">
        <v>10273.424000000001</v>
      </c>
      <c r="W164" s="22">
        <v>30.7</v>
      </c>
      <c r="X164" s="20">
        <v>17.277000000000001</v>
      </c>
      <c r="Y164" s="19">
        <f t="shared" si="6"/>
        <v>2.8493761371926452</v>
      </c>
      <c r="Z164" s="21">
        <v>379</v>
      </c>
      <c r="AA164" s="19">
        <f t="shared" si="7"/>
        <v>5.9375362050824263</v>
      </c>
      <c r="AB164" s="2">
        <v>37.700000000000003</v>
      </c>
      <c r="AC164" s="20">
        <v>10273.4</v>
      </c>
      <c r="AD164" s="19">
        <f t="shared" si="8"/>
        <v>9.2373133094776083</v>
      </c>
      <c r="AE164" s="4">
        <v>68.897499999999994</v>
      </c>
      <c r="AF164" s="1">
        <v>4.25779</v>
      </c>
      <c r="AG164" s="242">
        <v>70.653499999999994</v>
      </c>
      <c r="AH164" s="242">
        <v>10.8</v>
      </c>
      <c r="AI164" s="245">
        <v>63.17</v>
      </c>
    </row>
    <row r="165" spans="1:35">
      <c r="A165" s="24">
        <v>15</v>
      </c>
      <c r="B165" s="28" t="s">
        <v>25</v>
      </c>
      <c r="C165" s="28" t="s">
        <v>24</v>
      </c>
      <c r="D165" s="23">
        <v>2019</v>
      </c>
      <c r="E165" s="239">
        <v>22</v>
      </c>
      <c r="F165">
        <v>7.6763199999999996</v>
      </c>
      <c r="G165" s="17">
        <v>31000000000</v>
      </c>
      <c r="H165" s="242">
        <v>77117.2</v>
      </c>
      <c r="I165" s="4">
        <v>0.66</v>
      </c>
      <c r="J165" s="24">
        <v>21.285</v>
      </c>
      <c r="K165" s="26">
        <v>2.6993</v>
      </c>
      <c r="L165" s="24">
        <v>386</v>
      </c>
      <c r="M165">
        <v>37.400002000000001</v>
      </c>
      <c r="N165" s="27">
        <v>84.9</v>
      </c>
      <c r="O165" s="26">
        <v>1.8</v>
      </c>
      <c r="P165" s="25">
        <v>4.4000000000000004</v>
      </c>
      <c r="Q165">
        <v>0.5</v>
      </c>
      <c r="R165">
        <v>3.3</v>
      </c>
      <c r="S165" s="14">
        <v>32165</v>
      </c>
      <c r="T165" s="224">
        <v>1.1000000000000001</v>
      </c>
      <c r="U165" s="25">
        <v>95</v>
      </c>
      <c r="V165" s="24">
        <v>7583.5518000000002</v>
      </c>
      <c r="W165" s="22">
        <v>28.6</v>
      </c>
      <c r="X165" s="20">
        <v>21.285</v>
      </c>
      <c r="Y165" s="19">
        <f t="shared" si="6"/>
        <v>3.0580025992801159</v>
      </c>
      <c r="Z165" s="21">
        <v>386</v>
      </c>
      <c r="AA165" s="19">
        <f t="shared" si="7"/>
        <v>5.955837369464831</v>
      </c>
      <c r="AB165" s="2">
        <v>37.4</v>
      </c>
      <c r="AC165" s="20"/>
      <c r="AD165" s="19" t="e">
        <f t="shared" si="8"/>
        <v>#NUM!</v>
      </c>
      <c r="AE165" s="4">
        <v>66.497799999999998</v>
      </c>
      <c r="AF165" s="1">
        <v>4.2714600000000003</v>
      </c>
      <c r="AG165" s="242">
        <v>71.626400000000004</v>
      </c>
      <c r="AH165" s="242">
        <v>12.3</v>
      </c>
      <c r="AI165" s="245">
        <v>63.405000000000001</v>
      </c>
    </row>
    <row r="166" spans="1:35">
      <c r="A166" s="24">
        <v>15</v>
      </c>
      <c r="B166" s="28" t="s">
        <v>25</v>
      </c>
      <c r="C166" s="28" t="s">
        <v>24</v>
      </c>
      <c r="D166" s="23">
        <v>2020</v>
      </c>
      <c r="E166" s="239">
        <v>22.6</v>
      </c>
      <c r="F166">
        <v>8.0833300000000001</v>
      </c>
      <c r="G166" s="17">
        <v>35000000000</v>
      </c>
      <c r="H166" s="242">
        <v>81791.100000000006</v>
      </c>
      <c r="I166" s="4">
        <v>0.64</v>
      </c>
      <c r="J166" s="24">
        <v>18.585999999999999</v>
      </c>
      <c r="K166" s="26">
        <v>3.0655999999999999</v>
      </c>
      <c r="L166" s="24">
        <v>379</v>
      </c>
      <c r="M166">
        <v>40.799999</v>
      </c>
      <c r="N166" s="27">
        <v>84.8</v>
      </c>
      <c r="O166" s="26">
        <v>1.8</v>
      </c>
      <c r="P166" s="25">
        <v>442.7</v>
      </c>
      <c r="Q166">
        <v>0.6</v>
      </c>
      <c r="R166">
        <v>3.2</v>
      </c>
      <c r="S166" s="14">
        <v>33250</v>
      </c>
      <c r="T166" s="224">
        <v>0.77</v>
      </c>
      <c r="U166" s="25">
        <v>84</v>
      </c>
      <c r="V166" s="24">
        <v>4893.6796999999997</v>
      </c>
      <c r="W166" s="22">
        <v>29.3</v>
      </c>
      <c r="X166" s="20">
        <v>18.585999999999999</v>
      </c>
      <c r="Y166" s="19">
        <f t="shared" si="6"/>
        <v>2.9224086091351476</v>
      </c>
      <c r="Z166" s="21">
        <v>379</v>
      </c>
      <c r="AA166" s="19">
        <f t="shared" si="7"/>
        <v>5.9375362050824263</v>
      </c>
      <c r="AB166" s="2">
        <v>40.799999999999997</v>
      </c>
      <c r="AC166" s="20"/>
      <c r="AD166" s="19" t="e">
        <f t="shared" si="8"/>
        <v>#NUM!</v>
      </c>
      <c r="AE166" s="4">
        <v>64.121700000000004</v>
      </c>
      <c r="AF166" s="1">
        <v>4.2817499999999997</v>
      </c>
      <c r="AG166" s="242">
        <v>72.3673</v>
      </c>
      <c r="AH166" s="242">
        <v>13.7</v>
      </c>
      <c r="AI166" s="245">
        <v>63.652999999999999</v>
      </c>
    </row>
    <row r="167" spans="1:35">
      <c r="A167" s="24">
        <v>16</v>
      </c>
      <c r="B167" s="28" t="s">
        <v>23</v>
      </c>
      <c r="C167" s="28" t="s">
        <v>22</v>
      </c>
      <c r="D167" s="23">
        <v>2010</v>
      </c>
      <c r="E167" s="239">
        <v>15.5</v>
      </c>
      <c r="F167">
        <v>0.462974</v>
      </c>
      <c r="G167" s="17">
        <v>9900000000</v>
      </c>
      <c r="H167" s="242">
        <v>32220.5</v>
      </c>
      <c r="I167" s="4">
        <v>0.76</v>
      </c>
      <c r="J167" s="24">
        <v>15.068</v>
      </c>
      <c r="K167" s="26">
        <v>2.4975000000000001</v>
      </c>
      <c r="L167" s="24">
        <v>730</v>
      </c>
      <c r="M167">
        <v>31</v>
      </c>
      <c r="N167" s="27">
        <v>86.2</v>
      </c>
      <c r="O167" s="26">
        <v>11.6</v>
      </c>
      <c r="P167" s="25">
        <v>11746.9</v>
      </c>
      <c r="S167" s="14">
        <v>576050</v>
      </c>
      <c r="T167" s="224">
        <v>0.48</v>
      </c>
      <c r="U167" s="25">
        <v>100</v>
      </c>
      <c r="V167" s="24">
        <v>6411.5766999999996</v>
      </c>
      <c r="W167" s="22">
        <v>41.7</v>
      </c>
      <c r="X167" s="20">
        <v>15.068</v>
      </c>
      <c r="Y167" s="19">
        <f t="shared" si="6"/>
        <v>2.7125732898297947</v>
      </c>
      <c r="Z167" s="21">
        <v>730</v>
      </c>
      <c r="AA167" s="19">
        <f t="shared" si="7"/>
        <v>6.5930445341424369</v>
      </c>
      <c r="AB167" s="2">
        <v>31</v>
      </c>
      <c r="AC167" s="20">
        <v>6411.58</v>
      </c>
      <c r="AD167" s="19">
        <f t="shared" si="8"/>
        <v>8.765861009400675</v>
      </c>
      <c r="AE167" s="4">
        <v>43.560699999999997</v>
      </c>
      <c r="AF167" s="1">
        <v>5.3005800000000001</v>
      </c>
      <c r="AG167" s="242">
        <v>200.453</v>
      </c>
      <c r="AH167" s="242">
        <v>12.8</v>
      </c>
      <c r="AI167" s="245">
        <v>68.326999999999998</v>
      </c>
    </row>
    <row r="168" spans="1:35">
      <c r="A168" s="24">
        <v>16</v>
      </c>
      <c r="B168" s="28" t="s">
        <v>23</v>
      </c>
      <c r="C168" s="28" t="s">
        <v>22</v>
      </c>
      <c r="D168" s="23">
        <v>2011</v>
      </c>
      <c r="E168" s="239">
        <v>15.5</v>
      </c>
      <c r="F168">
        <v>1.49397</v>
      </c>
      <c r="G168" s="17">
        <v>34000000000</v>
      </c>
      <c r="H168" s="242">
        <v>32388.799999999999</v>
      </c>
      <c r="I168" s="4">
        <v>0.74</v>
      </c>
      <c r="J168" s="24">
        <v>15.186</v>
      </c>
      <c r="K168" s="26">
        <v>2.4862000000000002</v>
      </c>
      <c r="L168" s="24">
        <v>737</v>
      </c>
      <c r="M168">
        <v>35.5</v>
      </c>
      <c r="N168" s="27">
        <v>93.1</v>
      </c>
      <c r="O168" s="26">
        <v>11.6</v>
      </c>
      <c r="P168" s="25">
        <v>17080.5</v>
      </c>
      <c r="S168" s="14">
        <v>560435</v>
      </c>
      <c r="T168" s="224">
        <v>0.5</v>
      </c>
      <c r="U168" s="25">
        <v>99</v>
      </c>
      <c r="V168" s="24">
        <v>5861.2676000000001</v>
      </c>
      <c r="W168" s="22">
        <v>40.5</v>
      </c>
      <c r="X168" s="20">
        <v>15.186</v>
      </c>
      <c r="Y168" s="19">
        <f t="shared" si="6"/>
        <v>2.7203739507910418</v>
      </c>
      <c r="Z168" s="21">
        <v>737</v>
      </c>
      <c r="AA168" s="19">
        <f t="shared" si="7"/>
        <v>6.6025878921893364</v>
      </c>
      <c r="AB168" s="2">
        <v>35.5</v>
      </c>
      <c r="AC168" s="20">
        <v>5861.27</v>
      </c>
      <c r="AD168" s="19">
        <f t="shared" si="8"/>
        <v>8.6761215826393911</v>
      </c>
      <c r="AE168" s="4">
        <v>46.903199999999998</v>
      </c>
      <c r="AF168" s="1">
        <v>5.3022999999999998</v>
      </c>
      <c r="AG168" s="242">
        <v>200.798</v>
      </c>
      <c r="AH168" s="242">
        <v>11.9</v>
      </c>
      <c r="AI168" s="245">
        <v>68.444000000000003</v>
      </c>
    </row>
    <row r="169" spans="1:35">
      <c r="A169" s="24">
        <v>16</v>
      </c>
      <c r="B169" s="28" t="s">
        <v>23</v>
      </c>
      <c r="C169" s="28" t="s">
        <v>22</v>
      </c>
      <c r="D169" s="23">
        <v>2012</v>
      </c>
      <c r="E169" s="239">
        <v>17</v>
      </c>
      <c r="F169">
        <v>1.6639999999999999E-3</v>
      </c>
      <c r="G169" s="17">
        <v>35000000</v>
      </c>
      <c r="H169" s="242">
        <v>31292.1</v>
      </c>
      <c r="I169" s="4">
        <v>0.76</v>
      </c>
      <c r="J169" s="24">
        <v>12.48</v>
      </c>
      <c r="K169" s="26">
        <v>2.827</v>
      </c>
      <c r="L169" s="24">
        <v>731</v>
      </c>
      <c r="M169">
        <v>38.400002000000001</v>
      </c>
      <c r="N169" s="27">
        <v>80</v>
      </c>
      <c r="O169" s="26">
        <v>13.9</v>
      </c>
      <c r="P169" s="25">
        <v>12917.7</v>
      </c>
      <c r="Q169">
        <v>0.4</v>
      </c>
      <c r="R169">
        <v>1.9</v>
      </c>
      <c r="S169" s="14">
        <v>573325</v>
      </c>
      <c r="T169" s="224">
        <v>0.56000000000000005</v>
      </c>
      <c r="U169" s="25">
        <v>97</v>
      </c>
      <c r="V169" s="24">
        <v>5547.0946999999996</v>
      </c>
      <c r="W169" s="22">
        <v>42.8</v>
      </c>
      <c r="X169" s="20">
        <v>12.48</v>
      </c>
      <c r="Y169" s="19">
        <f t="shared" si="6"/>
        <v>2.5241273629412815</v>
      </c>
      <c r="Z169" s="21">
        <v>731</v>
      </c>
      <c r="AA169" s="19">
        <f t="shared" si="7"/>
        <v>6.5944134597497781</v>
      </c>
      <c r="AB169" s="2">
        <v>38.4</v>
      </c>
      <c r="AC169" s="20">
        <v>5547.09</v>
      </c>
      <c r="AD169" s="19">
        <f t="shared" si="8"/>
        <v>8.62102874491009</v>
      </c>
      <c r="AE169" s="4">
        <v>47.184899999999999</v>
      </c>
      <c r="AF169" s="1">
        <v>5.3049900000000001</v>
      </c>
      <c r="AG169" s="242">
        <v>201.34</v>
      </c>
      <c r="AH169" s="242">
        <v>14.4</v>
      </c>
      <c r="AI169" s="245">
        <v>68.683999999999997</v>
      </c>
    </row>
    <row r="170" spans="1:35">
      <c r="A170" s="24">
        <v>16</v>
      </c>
      <c r="B170" s="28" t="s">
        <v>23</v>
      </c>
      <c r="C170" s="28" t="s">
        <v>22</v>
      </c>
      <c r="D170" s="23">
        <v>2013</v>
      </c>
      <c r="E170" s="239">
        <v>17</v>
      </c>
      <c r="F170">
        <v>0.90707700000000002</v>
      </c>
      <c r="G170" s="17">
        <v>20000000000</v>
      </c>
      <c r="H170" s="242">
        <v>30369.1</v>
      </c>
      <c r="I170" s="4">
        <v>0.74</v>
      </c>
      <c r="J170" s="24">
        <v>11.032999999999999</v>
      </c>
      <c r="K170" s="26">
        <v>3.2759</v>
      </c>
      <c r="L170" s="24">
        <v>792</v>
      </c>
      <c r="M170">
        <v>39.400002000000001</v>
      </c>
      <c r="N170" s="27">
        <v>88</v>
      </c>
      <c r="O170" s="26">
        <v>16</v>
      </c>
      <c r="P170" s="25">
        <v>8994.7000000000007</v>
      </c>
      <c r="Q170">
        <v>0.4</v>
      </c>
      <c r="R170">
        <v>2</v>
      </c>
      <c r="S170" s="14">
        <v>579522</v>
      </c>
      <c r="T170" s="224">
        <v>0.45</v>
      </c>
      <c r="U170" s="25">
        <v>95</v>
      </c>
      <c r="V170" s="24">
        <v>5611.8940000000002</v>
      </c>
      <c r="W170" s="22">
        <v>46.5</v>
      </c>
      <c r="X170" s="20">
        <v>11.032999999999999</v>
      </c>
      <c r="Y170" s="19">
        <f t="shared" si="6"/>
        <v>2.4008907817781688</v>
      </c>
      <c r="Z170" s="21">
        <v>792</v>
      </c>
      <c r="AA170" s="19">
        <f t="shared" si="7"/>
        <v>6.674561391814426</v>
      </c>
      <c r="AB170" s="2">
        <v>39.4</v>
      </c>
      <c r="AC170" s="20">
        <v>5611.89</v>
      </c>
      <c r="AD170" s="19">
        <f t="shared" si="8"/>
        <v>8.6326428401749418</v>
      </c>
      <c r="AE170" s="4">
        <v>46.335799999999999</v>
      </c>
      <c r="AF170" s="1">
        <v>5.3165899999999997</v>
      </c>
      <c r="AG170" s="242">
        <v>203.68700000000001</v>
      </c>
      <c r="AH170" s="242">
        <v>16.3</v>
      </c>
      <c r="AI170" s="245">
        <v>68.978999999999999</v>
      </c>
    </row>
    <row r="171" spans="1:35">
      <c r="A171" s="24">
        <v>16</v>
      </c>
      <c r="B171" s="28" t="s">
        <v>23</v>
      </c>
      <c r="C171" s="28" t="s">
        <v>22</v>
      </c>
      <c r="D171" s="23">
        <v>2014</v>
      </c>
      <c r="E171" s="239">
        <v>17.100000000000001</v>
      </c>
      <c r="F171">
        <v>0.78374299999999997</v>
      </c>
      <c r="G171" s="17">
        <v>17000000000</v>
      </c>
      <c r="H171" s="242">
        <v>30091.3</v>
      </c>
      <c r="I171" s="4">
        <v>0.76</v>
      </c>
      <c r="J171" s="24">
        <v>10.63</v>
      </c>
      <c r="K171" s="26">
        <v>3.2945000000000002</v>
      </c>
      <c r="L171" s="24">
        <v>772</v>
      </c>
      <c r="M171">
        <v>41.599997999999999</v>
      </c>
      <c r="N171" s="27">
        <v>82.3</v>
      </c>
      <c r="O171" s="26">
        <v>16.100000000000001</v>
      </c>
      <c r="P171" s="25">
        <v>8011.5</v>
      </c>
      <c r="Q171">
        <v>0.4</v>
      </c>
      <c r="R171">
        <v>2.2000000000000002</v>
      </c>
      <c r="S171" s="14">
        <v>596574</v>
      </c>
      <c r="T171" s="224">
        <v>0.31</v>
      </c>
      <c r="U171" s="25">
        <v>102</v>
      </c>
      <c r="V171" s="24">
        <v>5580.9321</v>
      </c>
      <c r="W171" s="22">
        <v>46.5</v>
      </c>
      <c r="X171" s="20">
        <v>10.63</v>
      </c>
      <c r="Y171" s="19">
        <f t="shared" si="6"/>
        <v>2.3636801923538568</v>
      </c>
      <c r="Z171" s="21">
        <v>772</v>
      </c>
      <c r="AA171" s="19">
        <f t="shared" si="7"/>
        <v>6.6489845500247764</v>
      </c>
      <c r="AB171" s="2">
        <v>41.6</v>
      </c>
      <c r="AC171" s="20">
        <v>5580.93</v>
      </c>
      <c r="AD171" s="19">
        <f t="shared" si="8"/>
        <v>8.6271107081546781</v>
      </c>
      <c r="AE171" s="4">
        <v>46.206800000000001</v>
      </c>
      <c r="AF171" s="1">
        <v>5.3257599999999998</v>
      </c>
      <c r="AG171" s="242">
        <v>205.565</v>
      </c>
      <c r="AH171" s="242">
        <v>17.100000000000001</v>
      </c>
      <c r="AI171" s="245">
        <v>69.272000000000006</v>
      </c>
    </row>
    <row r="172" spans="1:35">
      <c r="A172" s="24">
        <v>16</v>
      </c>
      <c r="B172" s="28" t="s">
        <v>23</v>
      </c>
      <c r="C172" s="28" t="s">
        <v>22</v>
      </c>
      <c r="D172" s="23">
        <v>2015</v>
      </c>
      <c r="E172" s="239">
        <v>17.899999999999999</v>
      </c>
      <c r="F172">
        <v>0.72088600000000003</v>
      </c>
      <c r="G172" s="17">
        <v>13000000000</v>
      </c>
      <c r="H172" s="242">
        <v>30387.1</v>
      </c>
      <c r="I172" s="4">
        <v>0.78</v>
      </c>
      <c r="J172" s="24">
        <v>10.603999999999999</v>
      </c>
      <c r="K172" s="26">
        <v>3.4283999999999999</v>
      </c>
      <c r="L172" s="24">
        <v>718</v>
      </c>
      <c r="M172">
        <v>44.299999</v>
      </c>
      <c r="N172" s="27">
        <v>85.7</v>
      </c>
      <c r="O172" s="26">
        <v>17.2</v>
      </c>
      <c r="P172" s="25">
        <v>10095.6</v>
      </c>
      <c r="Q172">
        <v>0.4</v>
      </c>
      <c r="R172">
        <v>2.2999999999999998</v>
      </c>
      <c r="S172" s="14">
        <v>603247</v>
      </c>
      <c r="T172" s="224">
        <v>0.34</v>
      </c>
      <c r="U172" s="25">
        <v>102</v>
      </c>
      <c r="V172" s="24">
        <v>5581.1864999999998</v>
      </c>
      <c r="W172" s="22">
        <v>48.6</v>
      </c>
      <c r="X172" s="20">
        <v>10.603999999999999</v>
      </c>
      <c r="Y172" s="19">
        <f t="shared" si="6"/>
        <v>2.361231288426779</v>
      </c>
      <c r="Z172" s="21">
        <v>718</v>
      </c>
      <c r="AA172" s="19">
        <f t="shared" si="7"/>
        <v>6.576469569048224</v>
      </c>
      <c r="AB172" s="2">
        <v>44.3</v>
      </c>
      <c r="AC172" s="20">
        <v>5581.19</v>
      </c>
      <c r="AD172" s="19">
        <f t="shared" si="8"/>
        <v>8.6271572942870698</v>
      </c>
      <c r="AE172" s="4">
        <v>47.030200000000001</v>
      </c>
      <c r="AF172" s="1">
        <v>5.3247999999999998</v>
      </c>
      <c r="AG172" s="242">
        <v>205.36699999999999</v>
      </c>
      <c r="AH172" s="242">
        <v>16.600000000000001</v>
      </c>
      <c r="AI172" s="245">
        <v>69.564999999999998</v>
      </c>
    </row>
    <row r="173" spans="1:35">
      <c r="A173" s="24">
        <v>16</v>
      </c>
      <c r="B173" s="28" t="s">
        <v>23</v>
      </c>
      <c r="C173" s="28" t="s">
        <v>22</v>
      </c>
      <c r="D173" s="23">
        <v>2016</v>
      </c>
      <c r="E173" s="239">
        <v>17.100000000000001</v>
      </c>
      <c r="F173">
        <v>1.3595699999999999</v>
      </c>
      <c r="G173" s="17">
        <v>26000000000</v>
      </c>
      <c r="H173" s="242">
        <v>30815.1</v>
      </c>
      <c r="I173" s="4">
        <v>0.76</v>
      </c>
      <c r="J173" s="24">
        <v>10.526999999999999</v>
      </c>
      <c r="K173" s="26">
        <v>3.4605999999999999</v>
      </c>
      <c r="L173" s="24">
        <v>651</v>
      </c>
      <c r="M173">
        <v>45.900002000000001</v>
      </c>
      <c r="N173" s="27">
        <v>86</v>
      </c>
      <c r="O173" s="26">
        <v>17.8</v>
      </c>
      <c r="P173" s="25">
        <v>8945.6</v>
      </c>
      <c r="Q173">
        <v>0.5</v>
      </c>
      <c r="R173">
        <v>2.2999999999999998</v>
      </c>
      <c r="S173" s="14">
        <v>612645</v>
      </c>
      <c r="T173" s="224">
        <v>0.48</v>
      </c>
      <c r="U173" s="25">
        <v>103</v>
      </c>
      <c r="V173" s="24">
        <v>5476.9458000000004</v>
      </c>
      <c r="W173" s="22">
        <v>48.9</v>
      </c>
      <c r="X173" s="20">
        <v>10.526999999999999</v>
      </c>
      <c r="Y173" s="19">
        <f t="shared" si="6"/>
        <v>2.3539433852691878</v>
      </c>
      <c r="Z173" s="21">
        <v>651</v>
      </c>
      <c r="AA173" s="19">
        <f t="shared" si="7"/>
        <v>6.4785096422085688</v>
      </c>
      <c r="AB173" s="2">
        <v>45.9</v>
      </c>
      <c r="AC173" s="20">
        <v>5476.95</v>
      </c>
      <c r="AD173" s="19">
        <f t="shared" si="8"/>
        <v>8.6083036556567851</v>
      </c>
      <c r="AE173" s="4">
        <v>46.024099999999997</v>
      </c>
      <c r="AF173" s="1">
        <v>5.3231000000000002</v>
      </c>
      <c r="AG173" s="242">
        <v>205.018</v>
      </c>
      <c r="AH173" s="242">
        <v>16.100000000000001</v>
      </c>
      <c r="AI173" s="245">
        <v>69.855000000000004</v>
      </c>
    </row>
    <row r="174" spans="1:35">
      <c r="A174" s="24">
        <v>16</v>
      </c>
      <c r="B174" s="28" t="s">
        <v>23</v>
      </c>
      <c r="C174" s="28" t="s">
        <v>22</v>
      </c>
      <c r="D174" s="23">
        <v>2017</v>
      </c>
      <c r="E174" s="239">
        <v>17.7</v>
      </c>
      <c r="F174">
        <v>0.44334200000000001</v>
      </c>
      <c r="G174" s="17">
        <v>8700000000</v>
      </c>
      <c r="H174" s="242">
        <v>31356.2</v>
      </c>
      <c r="I174" s="4">
        <v>0.79</v>
      </c>
      <c r="J174" s="24">
        <v>10.391999999999999</v>
      </c>
      <c r="K174" s="26">
        <v>3.5396999999999998</v>
      </c>
      <c r="L174" s="24">
        <v>624</v>
      </c>
      <c r="M174">
        <v>47.799999</v>
      </c>
      <c r="N174" s="27">
        <v>88.9</v>
      </c>
      <c r="O174" s="26">
        <v>18.399999999999999</v>
      </c>
      <c r="P174" s="25">
        <v>8232.5</v>
      </c>
      <c r="Q174">
        <v>0.6</v>
      </c>
      <c r="R174">
        <v>2.1</v>
      </c>
      <c r="S174" s="14">
        <v>591196</v>
      </c>
      <c r="T174" s="224">
        <v>0.47</v>
      </c>
      <c r="U174" s="25">
        <v>108</v>
      </c>
      <c r="V174" s="24">
        <v>5370.5537000000004</v>
      </c>
      <c r="W174" s="22">
        <v>50.8</v>
      </c>
      <c r="X174" s="20">
        <v>10.391999999999999</v>
      </c>
      <c r="Y174" s="19">
        <f t="shared" si="6"/>
        <v>2.3410362793682982</v>
      </c>
      <c r="Z174" s="21">
        <v>624</v>
      </c>
      <c r="AA174" s="19">
        <f t="shared" si="7"/>
        <v>6.4361503683694279</v>
      </c>
      <c r="AB174" s="2">
        <v>47.8</v>
      </c>
      <c r="AC174" s="20">
        <v>5370.55</v>
      </c>
      <c r="AD174" s="19">
        <f t="shared" si="8"/>
        <v>8.5886856031148628</v>
      </c>
      <c r="AE174" s="4">
        <v>48.740499999999997</v>
      </c>
      <c r="AF174" s="1">
        <v>5.3216000000000001</v>
      </c>
      <c r="AG174" s="242">
        <v>204.71100000000001</v>
      </c>
      <c r="AH174" s="242">
        <v>16.399999999999999</v>
      </c>
      <c r="AI174" s="245">
        <v>70.144000000000005</v>
      </c>
    </row>
    <row r="175" spans="1:35">
      <c r="A175" s="24">
        <v>16</v>
      </c>
      <c r="B175" s="28" t="s">
        <v>23</v>
      </c>
      <c r="C175" s="28" t="s">
        <v>22</v>
      </c>
      <c r="D175" s="23">
        <v>2018</v>
      </c>
      <c r="E175" s="239">
        <v>17.899999999999999</v>
      </c>
      <c r="F175">
        <v>2.1076999999999999</v>
      </c>
      <c r="G175" s="17">
        <v>44000000000</v>
      </c>
      <c r="H175" s="242">
        <v>31675.599999999999</v>
      </c>
      <c r="I175" s="4">
        <v>0.77</v>
      </c>
      <c r="J175" s="24">
        <v>10.772</v>
      </c>
      <c r="K175" s="26">
        <v>3.5268999999999999</v>
      </c>
      <c r="L175" s="24">
        <v>616</v>
      </c>
      <c r="M175">
        <v>49.799999</v>
      </c>
      <c r="N175" s="27">
        <v>84.3</v>
      </c>
      <c r="O175" s="26">
        <v>18.8</v>
      </c>
      <c r="P175" s="25">
        <v>5439.6</v>
      </c>
      <c r="Q175">
        <v>0.7</v>
      </c>
      <c r="R175">
        <v>2.1</v>
      </c>
      <c r="S175" s="14">
        <v>585644</v>
      </c>
      <c r="T175" s="224">
        <v>0.39</v>
      </c>
      <c r="U175" s="25">
        <v>104</v>
      </c>
      <c r="V175" s="24">
        <v>4917.8227999999999</v>
      </c>
      <c r="W175" s="22">
        <v>50.6</v>
      </c>
      <c r="X175" s="20">
        <v>10.772</v>
      </c>
      <c r="Y175" s="19">
        <f t="shared" si="6"/>
        <v>2.3769501749493527</v>
      </c>
      <c r="Z175" s="21">
        <v>616</v>
      </c>
      <c r="AA175" s="19">
        <f t="shared" si="7"/>
        <v>6.4232469635335194</v>
      </c>
      <c r="AB175" s="2">
        <v>49.8</v>
      </c>
      <c r="AC175" s="20">
        <v>4917.82</v>
      </c>
      <c r="AD175" s="19">
        <f t="shared" si="8"/>
        <v>8.5006206218623301</v>
      </c>
      <c r="AE175" s="4">
        <v>50.145200000000003</v>
      </c>
      <c r="AF175" s="1">
        <v>5.3197000000000001</v>
      </c>
      <c r="AG175" s="242">
        <v>204.322</v>
      </c>
      <c r="AH175" s="242">
        <v>17.100000000000001</v>
      </c>
      <c r="AI175" s="245">
        <v>70.438000000000002</v>
      </c>
    </row>
    <row r="176" spans="1:35">
      <c r="A176" s="24">
        <v>16</v>
      </c>
      <c r="B176" s="28" t="s">
        <v>23</v>
      </c>
      <c r="C176" s="28" t="s">
        <v>22</v>
      </c>
      <c r="D176" s="23">
        <v>2019</v>
      </c>
      <c r="E176" s="239">
        <v>18.2</v>
      </c>
      <c r="F176">
        <v>1.77067</v>
      </c>
      <c r="G176" s="17">
        <v>36000000000</v>
      </c>
      <c r="H176" s="242">
        <v>32180.400000000001</v>
      </c>
      <c r="I176" s="4">
        <v>0.77</v>
      </c>
      <c r="J176" s="24">
        <v>10.547000000000001</v>
      </c>
      <c r="K176" s="26">
        <v>3.4611999999999998</v>
      </c>
      <c r="L176" s="24">
        <v>585</v>
      </c>
      <c r="M176">
        <v>51.400002000000001</v>
      </c>
      <c r="N176" s="27">
        <v>82.2</v>
      </c>
      <c r="O176" s="26">
        <v>18.8</v>
      </c>
      <c r="P176" s="25">
        <v>5429</v>
      </c>
      <c r="Q176">
        <v>0.9</v>
      </c>
      <c r="R176">
        <v>2.4</v>
      </c>
      <c r="S176" s="14">
        <v>644581</v>
      </c>
      <c r="T176" s="224">
        <v>0.81</v>
      </c>
      <c r="U176" s="25">
        <v>106</v>
      </c>
      <c r="V176" s="24">
        <v>4465.0918000000001</v>
      </c>
      <c r="W176" s="22">
        <v>48.9</v>
      </c>
      <c r="X176" s="20">
        <v>10.547000000000001</v>
      </c>
      <c r="Y176" s="19">
        <f t="shared" si="6"/>
        <v>2.3558414592944774</v>
      </c>
      <c r="Z176" s="21">
        <v>585</v>
      </c>
      <c r="AA176" s="19">
        <f t="shared" si="7"/>
        <v>6.3716118472318568</v>
      </c>
      <c r="AB176" s="2">
        <v>51.4</v>
      </c>
      <c r="AC176" s="20"/>
      <c r="AD176" s="19" t="e">
        <f t="shared" si="8"/>
        <v>#NUM!</v>
      </c>
      <c r="AE176" s="4">
        <v>50.144599999999997</v>
      </c>
      <c r="AF176" s="1">
        <v>5.3081699999999996</v>
      </c>
      <c r="AG176" s="242">
        <v>201.98099999999999</v>
      </c>
      <c r="AH176" s="242">
        <v>17.3</v>
      </c>
      <c r="AI176" s="245">
        <v>70.736000000000004</v>
      </c>
    </row>
    <row r="177" spans="1:35">
      <c r="A177" s="24">
        <v>16</v>
      </c>
      <c r="B177" s="28" t="s">
        <v>23</v>
      </c>
      <c r="C177" s="28" t="s">
        <v>22</v>
      </c>
      <c r="D177" s="23">
        <v>2020</v>
      </c>
      <c r="E177" s="239">
        <v>18.7</v>
      </c>
      <c r="F177">
        <v>-0.89387000000000005</v>
      </c>
      <c r="G177" s="17">
        <v>-17000000000</v>
      </c>
      <c r="H177" s="242">
        <v>29469.8</v>
      </c>
      <c r="I177" s="4">
        <v>0.79</v>
      </c>
      <c r="J177" s="24">
        <v>9.6020002000000009</v>
      </c>
      <c r="K177" s="26">
        <v>3.4285999999999999</v>
      </c>
      <c r="L177" s="24">
        <v>554</v>
      </c>
      <c r="M177">
        <v>51.400002000000001</v>
      </c>
      <c r="N177" s="27">
        <v>86.4</v>
      </c>
      <c r="O177" s="26">
        <v>2.6</v>
      </c>
      <c r="P177" s="25">
        <v>6243.2</v>
      </c>
      <c r="Q177">
        <v>0.7</v>
      </c>
      <c r="R177">
        <v>2.6</v>
      </c>
      <c r="S177" s="14">
        <v>617149</v>
      </c>
      <c r="T177" s="224">
        <v>0.36</v>
      </c>
      <c r="U177" s="25">
        <v>101</v>
      </c>
      <c r="V177" s="24">
        <v>4012.3607999999999</v>
      </c>
      <c r="W177" s="22">
        <v>46.5</v>
      </c>
      <c r="X177" s="20">
        <v>9.6020000000000003</v>
      </c>
      <c r="Y177" s="19">
        <f t="shared" si="6"/>
        <v>2.2619714101087487</v>
      </c>
      <c r="Z177" s="21"/>
      <c r="AA177" s="19" t="e">
        <f t="shared" si="7"/>
        <v>#NUM!</v>
      </c>
      <c r="AB177" s="2">
        <v>51.4</v>
      </c>
      <c r="AC177" s="20"/>
      <c r="AD177" s="19" t="e">
        <f t="shared" si="8"/>
        <v>#NUM!</v>
      </c>
      <c r="AE177" s="4">
        <v>48.580199999999998</v>
      </c>
      <c r="AF177" s="1">
        <v>5.3033000000000001</v>
      </c>
      <c r="AG177" s="242">
        <v>200.999</v>
      </c>
      <c r="AH177" s="242">
        <v>18.7</v>
      </c>
      <c r="AI177" s="245">
        <v>71.039000000000001</v>
      </c>
    </row>
    <row r="178" spans="1:35">
      <c r="A178" s="24">
        <v>17</v>
      </c>
      <c r="B178" s="28" t="s">
        <v>21</v>
      </c>
      <c r="C178" s="28" t="s">
        <v>20</v>
      </c>
      <c r="D178" s="23">
        <v>2010</v>
      </c>
      <c r="E178" s="239">
        <v>24.5</v>
      </c>
      <c r="F178">
        <v>3.0097</v>
      </c>
      <c r="G178" s="17">
        <v>1100000000</v>
      </c>
      <c r="H178" s="242">
        <v>10884.1</v>
      </c>
      <c r="I178" s="4">
        <v>0.25</v>
      </c>
      <c r="J178" s="24">
        <v>13.795</v>
      </c>
      <c r="K178" s="26">
        <v>0.80610000000000004</v>
      </c>
      <c r="L178" s="24">
        <v>516</v>
      </c>
      <c r="M178">
        <v>4.9000000999999997</v>
      </c>
      <c r="N178" s="27">
        <v>72.400000000000006</v>
      </c>
      <c r="O178" s="26">
        <v>3.9</v>
      </c>
      <c r="P178" s="25">
        <v>123.3</v>
      </c>
      <c r="S178" s="14">
        <v>27198</v>
      </c>
      <c r="T178" s="224">
        <v>0.65</v>
      </c>
      <c r="U178" s="25">
        <v>100</v>
      </c>
      <c r="V178" s="24">
        <v>6380.5742</v>
      </c>
      <c r="W178" s="22">
        <v>41</v>
      </c>
      <c r="X178" s="20">
        <v>13.795</v>
      </c>
      <c r="Y178" s="19">
        <f t="shared" si="6"/>
        <v>2.6243062076692496</v>
      </c>
      <c r="Z178" s="21">
        <v>516</v>
      </c>
      <c r="AA178" s="19">
        <f t="shared" si="7"/>
        <v>6.2461067654815627</v>
      </c>
      <c r="AB178" s="2">
        <v>4.9000000000000004</v>
      </c>
      <c r="AC178" s="20">
        <v>6380.57</v>
      </c>
      <c r="AD178" s="19">
        <f t="shared" si="8"/>
        <v>8.7610127140408949</v>
      </c>
      <c r="AE178" s="4">
        <v>120.506</v>
      </c>
      <c r="AF178" s="1">
        <v>3.9003199999999998</v>
      </c>
      <c r="AG178" s="242">
        <v>49.418100000000003</v>
      </c>
      <c r="AH178" s="242">
        <v>21.5</v>
      </c>
      <c r="AI178" s="245">
        <v>66.757000000000005</v>
      </c>
    </row>
    <row r="179" spans="1:35">
      <c r="A179" s="24">
        <v>17</v>
      </c>
      <c r="B179" s="28" t="s">
        <v>21</v>
      </c>
      <c r="C179" s="28" t="s">
        <v>20</v>
      </c>
      <c r="D179" s="23">
        <v>2011</v>
      </c>
      <c r="E179" s="239">
        <v>26</v>
      </c>
      <c r="F179">
        <v>4.3550899999999997</v>
      </c>
      <c r="G179" s="17">
        <v>1900000000</v>
      </c>
      <c r="H179" s="242">
        <v>11836.7</v>
      </c>
      <c r="I179" s="4">
        <v>0.23</v>
      </c>
      <c r="J179" s="24">
        <v>15.941000000000001</v>
      </c>
      <c r="K179" s="26">
        <v>0.78800000000000003</v>
      </c>
      <c r="L179" s="24">
        <v>523</v>
      </c>
      <c r="M179">
        <v>20</v>
      </c>
      <c r="N179" s="27">
        <v>70.3</v>
      </c>
      <c r="O179" s="26">
        <v>3.6</v>
      </c>
      <c r="P179" s="25">
        <v>347.2</v>
      </c>
      <c r="S179" s="14">
        <v>29071</v>
      </c>
      <c r="T179" s="224">
        <v>0.5</v>
      </c>
      <c r="U179" s="25">
        <v>100</v>
      </c>
      <c r="V179" s="24">
        <v>6053.3266999999996</v>
      </c>
      <c r="W179" s="22">
        <v>40.299999999999997</v>
      </c>
      <c r="X179" s="20">
        <v>15.941000000000001</v>
      </c>
      <c r="Y179" s="19">
        <f t="shared" si="6"/>
        <v>2.7688944066515098</v>
      </c>
      <c r="Z179" s="21">
        <v>523</v>
      </c>
      <c r="AA179" s="19">
        <f t="shared" si="7"/>
        <v>6.2595814640649232</v>
      </c>
      <c r="AB179" s="2">
        <v>20</v>
      </c>
      <c r="AC179" s="20">
        <v>6053.33</v>
      </c>
      <c r="AD179" s="19">
        <f t="shared" si="8"/>
        <v>8.7083638128262297</v>
      </c>
      <c r="AE179" s="4">
        <v>138.52199999999999</v>
      </c>
      <c r="AF179" s="1">
        <v>3.8777499999999998</v>
      </c>
      <c r="AG179" s="242">
        <v>48.315300000000001</v>
      </c>
      <c r="AH179" s="242">
        <v>22.7</v>
      </c>
      <c r="AI179" s="245">
        <v>66.741</v>
      </c>
    </row>
    <row r="180" spans="1:35">
      <c r="A180" s="24">
        <v>17</v>
      </c>
      <c r="B180" s="28" t="s">
        <v>21</v>
      </c>
      <c r="C180" s="28" t="s">
        <v>20</v>
      </c>
      <c r="D180" s="23">
        <v>2012</v>
      </c>
      <c r="E180" s="239">
        <v>27</v>
      </c>
      <c r="F180">
        <v>1.5855600000000001</v>
      </c>
      <c r="G180" s="17">
        <v>680000000</v>
      </c>
      <c r="H180" s="242">
        <v>12522.3</v>
      </c>
      <c r="I180" s="4">
        <v>0.23</v>
      </c>
      <c r="J180" s="24">
        <v>14.603999999999999</v>
      </c>
      <c r="K180" s="26">
        <v>0.89180000000000004</v>
      </c>
      <c r="L180" s="24">
        <v>523</v>
      </c>
      <c r="M180">
        <v>23.5</v>
      </c>
      <c r="N180" s="27">
        <v>68.7</v>
      </c>
      <c r="O180" s="26">
        <v>3.8</v>
      </c>
      <c r="P180" s="25">
        <v>358.9</v>
      </c>
      <c r="Q180">
        <v>0.4</v>
      </c>
      <c r="R180">
        <v>1.4</v>
      </c>
      <c r="S180" s="14">
        <v>30335</v>
      </c>
      <c r="T180" s="224">
        <v>0.38</v>
      </c>
      <c r="U180" s="25">
        <v>107</v>
      </c>
      <c r="V180" s="24">
        <v>6359.7129000000004</v>
      </c>
      <c r="W180" s="22">
        <v>41.8</v>
      </c>
      <c r="X180" s="20">
        <v>14.603999999999999</v>
      </c>
      <c r="Y180" s="19">
        <f t="shared" si="6"/>
        <v>2.6812954637933903</v>
      </c>
      <c r="Z180" s="21">
        <v>523</v>
      </c>
      <c r="AA180" s="19">
        <f t="shared" si="7"/>
        <v>6.2595814640649232</v>
      </c>
      <c r="AB180" s="2">
        <v>23.5</v>
      </c>
      <c r="AC180" s="20">
        <v>6359.71</v>
      </c>
      <c r="AD180" s="19">
        <f t="shared" si="8"/>
        <v>8.757738057810295</v>
      </c>
      <c r="AE180" s="4">
        <v>144.17400000000001</v>
      </c>
      <c r="AF180" s="1">
        <v>3.8643399999999999</v>
      </c>
      <c r="AG180" s="242">
        <v>47.671599999999998</v>
      </c>
      <c r="AH180" s="242">
        <v>23.9</v>
      </c>
      <c r="AI180" s="245">
        <v>66.864000000000004</v>
      </c>
    </row>
    <row r="181" spans="1:35">
      <c r="A181" s="24">
        <v>17</v>
      </c>
      <c r="B181" s="28" t="s">
        <v>21</v>
      </c>
      <c r="C181" s="28" t="s">
        <v>20</v>
      </c>
      <c r="D181" s="23">
        <v>2013</v>
      </c>
      <c r="E181" s="239">
        <v>27</v>
      </c>
      <c r="F181">
        <v>1.66004</v>
      </c>
      <c r="G181" s="17">
        <v>770000000</v>
      </c>
      <c r="H181" s="242">
        <v>13161.6</v>
      </c>
      <c r="I181" s="4">
        <v>0.22</v>
      </c>
      <c r="J181" s="24">
        <v>17.415001</v>
      </c>
      <c r="K181" s="26">
        <v>0.76290000000000002</v>
      </c>
      <c r="L181" s="24">
        <v>539</v>
      </c>
      <c r="M181">
        <v>27.799999</v>
      </c>
      <c r="N181" s="27">
        <v>69.5</v>
      </c>
      <c r="O181" s="26">
        <v>3.1</v>
      </c>
      <c r="P181" s="25">
        <v>363.2</v>
      </c>
      <c r="Q181">
        <v>0.5</v>
      </c>
      <c r="R181">
        <v>1.4</v>
      </c>
      <c r="S181" s="14">
        <v>33120</v>
      </c>
      <c r="T181" s="224">
        <v>0.34</v>
      </c>
      <c r="U181" s="25">
        <v>104</v>
      </c>
      <c r="V181" s="24">
        <v>6645.5801000000001</v>
      </c>
      <c r="W181" s="22">
        <v>38.6</v>
      </c>
      <c r="X181" s="20">
        <v>17.414999999999999</v>
      </c>
      <c r="Y181" s="19">
        <f t="shared" si="6"/>
        <v>2.8573319038179643</v>
      </c>
      <c r="Z181" s="21">
        <v>539</v>
      </c>
      <c r="AA181" s="19">
        <f t="shared" si="7"/>
        <v>6.2897155709089976</v>
      </c>
      <c r="AB181" s="2">
        <v>27.8</v>
      </c>
      <c r="AC181" s="20">
        <v>6645.58</v>
      </c>
      <c r="AD181" s="19">
        <f t="shared" si="8"/>
        <v>8.8017072510102814</v>
      </c>
      <c r="AE181" s="4">
        <v>145.56899999999999</v>
      </c>
      <c r="AF181" s="1">
        <v>3.8542000000000001</v>
      </c>
      <c r="AG181" s="242">
        <v>47.190899999999999</v>
      </c>
      <c r="AH181" s="242">
        <v>26.3</v>
      </c>
      <c r="AI181" s="245">
        <v>66.986000000000004</v>
      </c>
    </row>
    <row r="182" spans="1:35">
      <c r="A182" s="24">
        <v>17</v>
      </c>
      <c r="B182" s="28" t="s">
        <v>21</v>
      </c>
      <c r="C182" s="28" t="s">
        <v>20</v>
      </c>
      <c r="D182" s="23">
        <v>2014</v>
      </c>
      <c r="E182" s="239">
        <v>26.6</v>
      </c>
      <c r="F182">
        <v>0.739699</v>
      </c>
      <c r="G182" s="17">
        <v>360000000</v>
      </c>
      <c r="H182" s="242">
        <v>13776.1</v>
      </c>
      <c r="I182" s="4">
        <v>0.21</v>
      </c>
      <c r="J182" s="24">
        <v>17.320999</v>
      </c>
      <c r="K182" s="26">
        <v>0.84140000000000004</v>
      </c>
      <c r="L182" s="24">
        <v>544</v>
      </c>
      <c r="M182">
        <v>30.5</v>
      </c>
      <c r="N182" s="27">
        <v>75.7</v>
      </c>
      <c r="O182" s="26">
        <v>3.7</v>
      </c>
      <c r="P182" s="25">
        <v>475.7</v>
      </c>
      <c r="Q182">
        <v>0.6</v>
      </c>
      <c r="R182">
        <v>1.5</v>
      </c>
      <c r="S182" s="14">
        <v>34685</v>
      </c>
      <c r="T182" s="224">
        <v>0</v>
      </c>
      <c r="U182" s="25">
        <v>104</v>
      </c>
      <c r="V182" s="24">
        <v>6605.3950000000004</v>
      </c>
      <c r="W182" s="22">
        <v>39.9</v>
      </c>
      <c r="X182" s="20">
        <v>17.321000000000002</v>
      </c>
      <c r="Y182" s="19">
        <f t="shared" si="6"/>
        <v>2.8519196381881433</v>
      </c>
      <c r="Z182" s="21">
        <v>544</v>
      </c>
      <c r="AA182" s="19">
        <f t="shared" si="7"/>
        <v>6.2989492468559423</v>
      </c>
      <c r="AB182" s="2">
        <v>30.5</v>
      </c>
      <c r="AC182" s="20">
        <v>6605.4</v>
      </c>
      <c r="AD182" s="19">
        <f t="shared" si="8"/>
        <v>8.7956427753044117</v>
      </c>
      <c r="AE182" s="4">
        <v>138.03100000000001</v>
      </c>
      <c r="AF182" s="1">
        <v>3.8460000000000001</v>
      </c>
      <c r="AG182" s="242">
        <v>46.805500000000002</v>
      </c>
      <c r="AH182" s="242">
        <v>27.7</v>
      </c>
      <c r="AI182" s="245">
        <v>67.108000000000004</v>
      </c>
    </row>
    <row r="183" spans="1:35">
      <c r="A183" s="24">
        <v>17</v>
      </c>
      <c r="B183" s="28" t="s">
        <v>21</v>
      </c>
      <c r="C183" s="28" t="s">
        <v>20</v>
      </c>
      <c r="D183" s="23">
        <v>2015</v>
      </c>
      <c r="E183" s="239">
        <v>27.5</v>
      </c>
      <c r="F183">
        <v>2.4962200000000001</v>
      </c>
      <c r="G183" s="17">
        <v>1000000000</v>
      </c>
      <c r="H183" s="242">
        <v>14300.3</v>
      </c>
      <c r="I183" s="4">
        <v>0.21</v>
      </c>
      <c r="J183" s="24">
        <v>16.568000999999999</v>
      </c>
      <c r="K183" s="26">
        <v>0.85860000000000003</v>
      </c>
      <c r="L183" s="24">
        <v>557</v>
      </c>
      <c r="M183">
        <v>33.200001</v>
      </c>
      <c r="N183" s="27">
        <v>80.7</v>
      </c>
      <c r="O183" s="26">
        <v>4.0999999999999996</v>
      </c>
      <c r="P183" s="25">
        <v>213.5</v>
      </c>
      <c r="Q183">
        <v>0.6</v>
      </c>
      <c r="R183">
        <v>1.6</v>
      </c>
      <c r="S183" s="14">
        <v>34866</v>
      </c>
      <c r="T183" s="224">
        <v>0</v>
      </c>
      <c r="U183" s="25">
        <v>101</v>
      </c>
      <c r="V183" s="24">
        <v>6935.4277000000002</v>
      </c>
      <c r="W183" s="22">
        <v>40.700000000000003</v>
      </c>
      <c r="X183" s="20">
        <v>16.568000000000001</v>
      </c>
      <c r="Y183" s="19">
        <f t="shared" si="6"/>
        <v>2.8074731240932831</v>
      </c>
      <c r="Z183" s="21">
        <v>557</v>
      </c>
      <c r="AA183" s="19">
        <f t="shared" si="7"/>
        <v>6.3225652399272843</v>
      </c>
      <c r="AB183" s="2">
        <v>33.200000000000003</v>
      </c>
      <c r="AC183" s="20">
        <v>6935.43</v>
      </c>
      <c r="AD183" s="19">
        <f t="shared" si="8"/>
        <v>8.8443983351526256</v>
      </c>
      <c r="AE183" s="4">
        <v>128.899</v>
      </c>
      <c r="AF183" s="1">
        <v>3.8365900000000002</v>
      </c>
      <c r="AG183" s="242">
        <v>46.3673</v>
      </c>
      <c r="AH183" s="242">
        <v>29</v>
      </c>
      <c r="AI183" s="245">
        <v>67.23</v>
      </c>
    </row>
    <row r="184" spans="1:35">
      <c r="A184" s="24">
        <v>17</v>
      </c>
      <c r="B184" s="28" t="s">
        <v>21</v>
      </c>
      <c r="C184" s="28" t="s">
        <v>20</v>
      </c>
      <c r="D184" s="23">
        <v>2016</v>
      </c>
      <c r="E184" s="239">
        <v>26.6</v>
      </c>
      <c r="F184">
        <v>2.74031</v>
      </c>
      <c r="G184" s="17">
        <v>1200000000</v>
      </c>
      <c r="H184" s="242">
        <v>14870.1</v>
      </c>
      <c r="I184" s="4">
        <v>0.21</v>
      </c>
      <c r="J184" s="24">
        <v>17.969000000000001</v>
      </c>
      <c r="K184" s="26">
        <v>0.85009999999999997</v>
      </c>
      <c r="L184" s="24">
        <v>554</v>
      </c>
      <c r="M184">
        <v>48</v>
      </c>
      <c r="N184" s="27">
        <v>82.3</v>
      </c>
      <c r="O184" s="26">
        <v>4.5999999999999996</v>
      </c>
      <c r="P184" s="25">
        <v>158.1</v>
      </c>
      <c r="Q184">
        <v>0.9</v>
      </c>
      <c r="R184">
        <v>1.8</v>
      </c>
      <c r="S184" s="14">
        <v>35211</v>
      </c>
      <c r="T184" s="224">
        <v>0</v>
      </c>
      <c r="U184" s="25">
        <v>102</v>
      </c>
      <c r="V184" s="24">
        <v>7232.6000999999997</v>
      </c>
      <c r="W184" s="22">
        <v>40.4</v>
      </c>
      <c r="X184" s="20">
        <v>17.969000000000001</v>
      </c>
      <c r="Y184" s="19">
        <f t="shared" si="6"/>
        <v>2.8886480509443166</v>
      </c>
      <c r="Z184" s="21">
        <v>554</v>
      </c>
      <c r="AA184" s="19">
        <f t="shared" si="7"/>
        <v>6.3171646867472839</v>
      </c>
      <c r="AB184" s="2">
        <v>48</v>
      </c>
      <c r="AC184" s="20">
        <v>7232.6</v>
      </c>
      <c r="AD184" s="19">
        <f t="shared" si="8"/>
        <v>8.8863538632324097</v>
      </c>
      <c r="AE184" s="4">
        <v>121.911</v>
      </c>
      <c r="AF184" s="1">
        <v>3.8240099999999999</v>
      </c>
      <c r="AG184" s="242">
        <v>45.787700000000001</v>
      </c>
      <c r="AH184" s="242">
        <v>31.5</v>
      </c>
      <c r="AI184" s="245">
        <v>67.366</v>
      </c>
    </row>
    <row r="185" spans="1:35">
      <c r="A185" s="24">
        <v>17</v>
      </c>
      <c r="B185" s="28" t="s">
        <v>21</v>
      </c>
      <c r="C185" s="28" t="s">
        <v>20</v>
      </c>
      <c r="D185" s="23">
        <v>2017</v>
      </c>
      <c r="E185" s="239">
        <v>27.3</v>
      </c>
      <c r="F185">
        <v>2.8974600000000001</v>
      </c>
      <c r="G185" s="17">
        <v>1400000000</v>
      </c>
      <c r="H185" s="242">
        <v>15775</v>
      </c>
      <c r="I185" s="4">
        <v>0.22</v>
      </c>
      <c r="J185" s="24">
        <v>20.277999999999999</v>
      </c>
      <c r="K185" s="26">
        <v>0.79190000000000005</v>
      </c>
      <c r="L185" s="24">
        <v>548</v>
      </c>
      <c r="M185">
        <v>48.099997999999999</v>
      </c>
      <c r="N185" s="27">
        <v>82.2</v>
      </c>
      <c r="O185" s="26">
        <v>4.4000000000000004</v>
      </c>
      <c r="P185" s="25">
        <v>145.4</v>
      </c>
      <c r="Q185">
        <v>1.1000000000000001</v>
      </c>
      <c r="R185">
        <v>1.9</v>
      </c>
      <c r="S185" s="14">
        <v>35822</v>
      </c>
      <c r="T185" s="224">
        <v>0</v>
      </c>
      <c r="U185" s="25">
        <v>105</v>
      </c>
      <c r="V185" s="24">
        <v>7385.2573000000002</v>
      </c>
      <c r="W185" s="22">
        <v>39.200000000000003</v>
      </c>
      <c r="X185" s="20">
        <v>20.277999999999999</v>
      </c>
      <c r="Y185" s="19">
        <f t="shared" si="6"/>
        <v>3.009536554530388</v>
      </c>
      <c r="Z185" s="21">
        <v>548</v>
      </c>
      <c r="AA185" s="19">
        <f t="shared" si="7"/>
        <v>6.3062752869480159</v>
      </c>
      <c r="AB185" s="2">
        <v>48.1</v>
      </c>
      <c r="AC185" s="20">
        <v>7385.26</v>
      </c>
      <c r="AD185" s="19">
        <f t="shared" si="8"/>
        <v>8.9072414008454075</v>
      </c>
      <c r="AE185" s="4">
        <v>130.15700000000001</v>
      </c>
      <c r="AF185" s="1">
        <v>3.8100499999999999</v>
      </c>
      <c r="AG185" s="242">
        <v>45.1526</v>
      </c>
      <c r="AH185" s="242">
        <v>33.799999999999997</v>
      </c>
      <c r="AI185" s="245">
        <v>67.516000000000005</v>
      </c>
    </row>
    <row r="186" spans="1:35">
      <c r="A186" s="24">
        <v>17</v>
      </c>
      <c r="B186" s="28" t="s">
        <v>21</v>
      </c>
      <c r="C186" s="28" t="s">
        <v>20</v>
      </c>
      <c r="D186" s="23">
        <v>2018</v>
      </c>
      <c r="E186" s="239">
        <v>27.2</v>
      </c>
      <c r="F186">
        <v>2.3955000000000002</v>
      </c>
      <c r="G186" s="17">
        <v>1300000000</v>
      </c>
      <c r="H186" s="242">
        <v>16709.599999999999</v>
      </c>
      <c r="I186" s="4">
        <v>0.21</v>
      </c>
      <c r="J186" s="24">
        <v>20.193999999999999</v>
      </c>
      <c r="K186" s="26">
        <v>0.83740000000000003</v>
      </c>
      <c r="L186" s="24">
        <v>539</v>
      </c>
      <c r="M186">
        <v>52.599997999999999</v>
      </c>
      <c r="N186" s="27">
        <v>81.8</v>
      </c>
      <c r="O186" s="26">
        <v>4.3</v>
      </c>
      <c r="P186" s="25">
        <v>135</v>
      </c>
      <c r="Q186">
        <v>0.7</v>
      </c>
      <c r="R186">
        <v>1.9</v>
      </c>
      <c r="S186" s="14">
        <v>35808</v>
      </c>
      <c r="T186" s="224">
        <v>0</v>
      </c>
      <c r="U186" s="25">
        <v>108</v>
      </c>
      <c r="V186" s="24">
        <v>8017.2529000000004</v>
      </c>
      <c r="W186" s="22">
        <v>41.4</v>
      </c>
      <c r="X186" s="20">
        <v>20.193999999999999</v>
      </c>
      <c r="Y186" s="19">
        <f t="shared" si="6"/>
        <v>3.0053855305821293</v>
      </c>
      <c r="Z186" s="21">
        <v>539</v>
      </c>
      <c r="AA186" s="19">
        <f t="shared" si="7"/>
        <v>6.2897155709089976</v>
      </c>
      <c r="AB186" s="2">
        <v>52.6</v>
      </c>
      <c r="AC186" s="20">
        <v>8017.25</v>
      </c>
      <c r="AD186" s="19">
        <f t="shared" si="8"/>
        <v>8.9893507492913134</v>
      </c>
      <c r="AE186" s="4">
        <v>128.708</v>
      </c>
      <c r="AF186" s="1">
        <v>3.8006799999999998</v>
      </c>
      <c r="AG186" s="242">
        <v>44.7316</v>
      </c>
      <c r="AH186" s="242">
        <v>33.700000000000003</v>
      </c>
      <c r="AI186" s="245">
        <v>67.679000000000002</v>
      </c>
    </row>
    <row r="187" spans="1:35">
      <c r="A187" s="24">
        <v>17</v>
      </c>
      <c r="B187" s="28" t="s">
        <v>21</v>
      </c>
      <c r="C187" s="28" t="s">
        <v>20</v>
      </c>
      <c r="D187" s="23">
        <v>2019</v>
      </c>
      <c r="E187" s="239">
        <v>27.9</v>
      </c>
      <c r="F187">
        <v>6.2303499999999996</v>
      </c>
      <c r="G187" s="17">
        <v>3400000000</v>
      </c>
      <c r="H187" s="242">
        <v>17537.5</v>
      </c>
      <c r="I187" s="4">
        <v>0.2</v>
      </c>
      <c r="J187" s="24">
        <v>20.562000000000001</v>
      </c>
      <c r="K187" s="26">
        <v>0.82050000000000001</v>
      </c>
      <c r="L187" s="24">
        <v>542</v>
      </c>
      <c r="M187">
        <v>49.700001</v>
      </c>
      <c r="N187" s="27">
        <v>82.7</v>
      </c>
      <c r="O187" s="26">
        <v>3.9</v>
      </c>
      <c r="P187" s="25">
        <v>353.4</v>
      </c>
      <c r="Q187">
        <v>0.7</v>
      </c>
      <c r="R187">
        <v>2</v>
      </c>
      <c r="S187" s="14">
        <v>37606</v>
      </c>
      <c r="T187" s="224">
        <v>0.54</v>
      </c>
      <c r="U187" s="25">
        <v>110</v>
      </c>
      <c r="V187" s="24">
        <v>8649.2484999999997</v>
      </c>
      <c r="W187" s="22">
        <v>40.5</v>
      </c>
      <c r="X187" s="20">
        <v>20.562000000000001</v>
      </c>
      <c r="Y187" s="19">
        <f t="shared" si="6"/>
        <v>3.023444712120527</v>
      </c>
      <c r="Z187" s="21">
        <v>542</v>
      </c>
      <c r="AA187" s="19">
        <f t="shared" si="7"/>
        <v>6.2952660014396464</v>
      </c>
      <c r="AB187" s="2">
        <v>49.7</v>
      </c>
      <c r="AC187" s="20"/>
      <c r="AD187" s="19" t="e">
        <f t="shared" si="8"/>
        <v>#NUM!</v>
      </c>
      <c r="AE187" s="4">
        <v>125.01300000000001</v>
      </c>
      <c r="AF187" s="1">
        <v>3.79819</v>
      </c>
      <c r="AG187" s="242">
        <v>44.6205</v>
      </c>
      <c r="AH187" s="242">
        <v>33.5</v>
      </c>
      <c r="AI187" s="245">
        <v>67.855000000000004</v>
      </c>
    </row>
    <row r="188" spans="1:35">
      <c r="A188" s="24">
        <v>17</v>
      </c>
      <c r="B188" s="28" t="s">
        <v>21</v>
      </c>
      <c r="C188" s="28" t="s">
        <v>20</v>
      </c>
      <c r="D188" s="23">
        <v>2020</v>
      </c>
      <c r="E188" s="239">
        <v>28.5</v>
      </c>
      <c r="F188">
        <v>7.9434500000000003</v>
      </c>
      <c r="G188" s="17">
        <v>4600000000</v>
      </c>
      <c r="H188" s="242">
        <v>17540.3</v>
      </c>
      <c r="I188" s="4">
        <v>0.21</v>
      </c>
      <c r="J188" s="24">
        <v>21.863001000000001</v>
      </c>
      <c r="K188" s="26">
        <v>0.77559999999999996</v>
      </c>
      <c r="L188" s="24">
        <v>523</v>
      </c>
      <c r="M188">
        <v>45.299999</v>
      </c>
      <c r="N188" s="27">
        <v>82</v>
      </c>
      <c r="O188" s="26">
        <v>4</v>
      </c>
      <c r="P188" s="25">
        <v>406.2</v>
      </c>
      <c r="Q188">
        <v>0.8</v>
      </c>
      <c r="R188">
        <v>1.9</v>
      </c>
      <c r="S188" s="14">
        <v>38335</v>
      </c>
      <c r="T188" s="224">
        <v>0</v>
      </c>
      <c r="U188" s="25">
        <v>112</v>
      </c>
      <c r="V188" s="24">
        <v>9281.2440999999999</v>
      </c>
      <c r="W188" s="22">
        <v>36.700000000000003</v>
      </c>
      <c r="X188" s="20">
        <v>21.863</v>
      </c>
      <c r="Y188" s="19">
        <f t="shared" si="6"/>
        <v>3.0847957102947507</v>
      </c>
      <c r="Z188" s="21">
        <v>523</v>
      </c>
      <c r="AA188" s="19">
        <f t="shared" si="7"/>
        <v>6.2595814640649232</v>
      </c>
      <c r="AB188" s="2">
        <v>45.3</v>
      </c>
      <c r="AC188" s="20"/>
      <c r="AD188" s="19" t="e">
        <f t="shared" si="8"/>
        <v>#NUM!</v>
      </c>
      <c r="AE188" s="4">
        <v>115.19199999999999</v>
      </c>
      <c r="AF188" s="1">
        <v>3.7984599999999999</v>
      </c>
      <c r="AG188" s="242">
        <v>44.6325</v>
      </c>
      <c r="AH188" s="242">
        <v>31.7</v>
      </c>
      <c r="AI188" s="245">
        <v>68.046000000000006</v>
      </c>
    </row>
    <row r="189" spans="1:35">
      <c r="A189" s="24">
        <v>18</v>
      </c>
      <c r="B189" s="28" t="s">
        <v>19</v>
      </c>
      <c r="C189" s="28" t="s">
        <v>18</v>
      </c>
      <c r="D189" s="23">
        <v>2010</v>
      </c>
      <c r="E189" s="239">
        <v>28.5</v>
      </c>
      <c r="F189">
        <v>41.364600000000003</v>
      </c>
      <c r="G189" s="17">
        <v>23000000000</v>
      </c>
      <c r="H189" s="242">
        <v>106544</v>
      </c>
      <c r="I189" s="4">
        <v>0.74</v>
      </c>
      <c r="J189" s="24">
        <v>32.488998000000002</v>
      </c>
      <c r="K189" s="26">
        <v>4.2713000000000001</v>
      </c>
      <c r="L189" s="24">
        <v>486</v>
      </c>
      <c r="M189">
        <v>46.5</v>
      </c>
      <c r="N189" s="27">
        <v>85.7</v>
      </c>
      <c r="O189" s="26">
        <v>23.4</v>
      </c>
      <c r="P189" s="25">
        <v>2510.4</v>
      </c>
      <c r="S189" s="14">
        <v>1643</v>
      </c>
      <c r="T189" s="224">
        <v>3.55</v>
      </c>
      <c r="U189" s="25">
        <v>100</v>
      </c>
      <c r="V189" s="24">
        <v>14304.16</v>
      </c>
      <c r="W189" s="22">
        <v>90.2</v>
      </c>
      <c r="X189" s="20">
        <v>32.488999999999997</v>
      </c>
      <c r="Y189" s="19">
        <f t="shared" si="6"/>
        <v>3.4809015705061963</v>
      </c>
      <c r="Z189" s="21">
        <v>486</v>
      </c>
      <c r="AA189" s="19">
        <f t="shared" si="7"/>
        <v>6.1862086239004936</v>
      </c>
      <c r="AB189" s="2">
        <v>46.5</v>
      </c>
      <c r="AC189" s="20">
        <v>14304.2</v>
      </c>
      <c r="AD189" s="19">
        <f t="shared" si="8"/>
        <v>9.5683084794184552</v>
      </c>
      <c r="AE189" s="4">
        <v>79.766599999999997</v>
      </c>
      <c r="AF189" s="1">
        <v>5.2827799999999998</v>
      </c>
      <c r="AG189" s="242">
        <v>196.916</v>
      </c>
      <c r="AH189" s="242">
        <v>3.7</v>
      </c>
      <c r="AI189" s="245">
        <v>88.546999999999997</v>
      </c>
    </row>
    <row r="190" spans="1:35">
      <c r="A190" s="24">
        <v>18</v>
      </c>
      <c r="B190" s="28" t="s">
        <v>19</v>
      </c>
      <c r="C190" s="28" t="s">
        <v>18</v>
      </c>
      <c r="D190" s="23">
        <v>2011</v>
      </c>
      <c r="E190" s="239">
        <v>30</v>
      </c>
      <c r="F190">
        <v>17.368600000000001</v>
      </c>
      <c r="G190" s="17">
        <v>11000000000</v>
      </c>
      <c r="H190" s="242">
        <v>105290</v>
      </c>
      <c r="I190" s="4">
        <v>0.72</v>
      </c>
      <c r="J190" s="24">
        <v>32.759998000000003</v>
      </c>
      <c r="K190" s="26">
        <v>4.2560000000000002</v>
      </c>
      <c r="L190" s="24">
        <v>365</v>
      </c>
      <c r="M190">
        <v>46.400002000000001</v>
      </c>
      <c r="N190" s="27">
        <v>86</v>
      </c>
      <c r="O190" s="26">
        <v>19.8</v>
      </c>
      <c r="P190" s="25">
        <v>2139.3000000000002</v>
      </c>
      <c r="S190" s="14">
        <v>1700</v>
      </c>
      <c r="T190" s="224">
        <v>3.22</v>
      </c>
      <c r="U190" s="25">
        <v>103</v>
      </c>
      <c r="V190" s="24">
        <v>13678.361000000001</v>
      </c>
      <c r="W190" s="22">
        <v>91.9</v>
      </c>
      <c r="X190" s="20">
        <v>32.76</v>
      </c>
      <c r="Y190" s="19">
        <f t="shared" si="6"/>
        <v>3.4892082589848687</v>
      </c>
      <c r="Z190" s="21">
        <v>365</v>
      </c>
      <c r="AA190" s="19">
        <f t="shared" si="7"/>
        <v>5.8998973535824915</v>
      </c>
      <c r="AB190" s="2">
        <v>46.4</v>
      </c>
      <c r="AC190" s="20">
        <v>13678.4</v>
      </c>
      <c r="AD190" s="19">
        <f t="shared" si="8"/>
        <v>9.5235732252719689</v>
      </c>
      <c r="AE190" s="4">
        <v>80.598100000000002</v>
      </c>
      <c r="AF190" s="1">
        <v>5.3050100000000002</v>
      </c>
      <c r="AG190" s="242">
        <v>201.34200000000001</v>
      </c>
      <c r="AH190" s="242">
        <v>3.8</v>
      </c>
      <c r="AI190" s="245">
        <v>88.906000000000006</v>
      </c>
    </row>
    <row r="191" spans="1:35">
      <c r="A191" s="24">
        <v>18</v>
      </c>
      <c r="B191" s="28" t="s">
        <v>19</v>
      </c>
      <c r="C191" s="28" t="s">
        <v>18</v>
      </c>
      <c r="D191" s="23">
        <v>2012</v>
      </c>
      <c r="E191" s="239">
        <v>31.5</v>
      </c>
      <c r="F191">
        <v>-22.412299999999998</v>
      </c>
      <c r="G191" s="17">
        <v>-13000000000</v>
      </c>
      <c r="H191" s="242">
        <v>104488</v>
      </c>
      <c r="I191" s="4">
        <v>0.72</v>
      </c>
      <c r="J191" s="24">
        <v>29.759001000000001</v>
      </c>
      <c r="K191" s="26">
        <v>4.3634000000000004</v>
      </c>
      <c r="L191" s="24">
        <v>378</v>
      </c>
      <c r="M191">
        <v>47.400002000000001</v>
      </c>
      <c r="N191" s="27">
        <v>86.8</v>
      </c>
      <c r="O191" s="26">
        <v>17.7</v>
      </c>
      <c r="P191" s="25">
        <v>2640.2</v>
      </c>
      <c r="Q191">
        <v>0.7</v>
      </c>
      <c r="R191">
        <v>0.9</v>
      </c>
      <c r="S191" s="14">
        <v>1722</v>
      </c>
      <c r="T191" s="224">
        <v>5.29</v>
      </c>
      <c r="U191" s="25">
        <v>108</v>
      </c>
      <c r="V191" s="24">
        <v>13784.6</v>
      </c>
      <c r="W191" s="22">
        <v>87.6</v>
      </c>
      <c r="X191" s="20">
        <v>29.759</v>
      </c>
      <c r="Y191" s="19">
        <f t="shared" si="6"/>
        <v>3.3931316072497886</v>
      </c>
      <c r="Z191" s="21">
        <v>378</v>
      </c>
      <c r="AA191" s="19">
        <f t="shared" si="7"/>
        <v>5.934894195619588</v>
      </c>
      <c r="AB191" s="2">
        <v>47.4</v>
      </c>
      <c r="AC191" s="20">
        <v>13784.6</v>
      </c>
      <c r="AD191" s="19">
        <f t="shared" si="8"/>
        <v>9.5313073059893796</v>
      </c>
      <c r="AE191" s="4">
        <v>77.582499999999996</v>
      </c>
      <c r="AF191" s="1">
        <v>5.3290199999999999</v>
      </c>
      <c r="AG191" s="242">
        <v>206.23599999999999</v>
      </c>
      <c r="AH191" s="242">
        <v>4.2</v>
      </c>
      <c r="AI191" s="245">
        <v>89.248999999999995</v>
      </c>
    </row>
    <row r="192" spans="1:35">
      <c r="A192" s="24">
        <v>18</v>
      </c>
      <c r="B192" s="28" t="s">
        <v>19</v>
      </c>
      <c r="C192" s="28" t="s">
        <v>18</v>
      </c>
      <c r="D192" s="23">
        <v>2013</v>
      </c>
      <c r="E192" s="239">
        <v>31.5</v>
      </c>
      <c r="F192">
        <v>71.500399999999999</v>
      </c>
      <c r="G192" s="17">
        <v>47000000000</v>
      </c>
      <c r="H192" s="242">
        <v>105339</v>
      </c>
      <c r="I192" s="4">
        <v>0.72</v>
      </c>
      <c r="J192" s="24">
        <v>30.676000999999999</v>
      </c>
      <c r="K192" s="26">
        <v>4.4683999999999999</v>
      </c>
      <c r="L192" s="24">
        <v>405</v>
      </c>
      <c r="M192">
        <v>46.299999</v>
      </c>
      <c r="N192" s="27">
        <v>87.6</v>
      </c>
      <c r="O192" s="26">
        <v>15.2</v>
      </c>
      <c r="P192" s="25">
        <v>1588.1</v>
      </c>
      <c r="Q192">
        <v>0.7</v>
      </c>
      <c r="R192">
        <v>0.9</v>
      </c>
      <c r="S192" s="14">
        <v>1799</v>
      </c>
      <c r="T192" s="224">
        <v>6.5</v>
      </c>
      <c r="U192" s="25">
        <v>108</v>
      </c>
      <c r="V192" s="24">
        <v>14971.602999999999</v>
      </c>
      <c r="W192" s="22">
        <v>87.2</v>
      </c>
      <c r="X192" s="20">
        <v>30.675999999999998</v>
      </c>
      <c r="Y192" s="19">
        <f t="shared" si="6"/>
        <v>3.4234805899026126</v>
      </c>
      <c r="Z192" s="21">
        <v>405</v>
      </c>
      <c r="AA192" s="19">
        <f t="shared" si="7"/>
        <v>6.0038870671065387</v>
      </c>
      <c r="AB192" s="2">
        <v>46.3</v>
      </c>
      <c r="AC192" s="20">
        <v>14971.6</v>
      </c>
      <c r="AD192" s="19">
        <f t="shared" si="8"/>
        <v>9.6139103521298903</v>
      </c>
      <c r="AE192" s="4">
        <v>69.218900000000005</v>
      </c>
      <c r="AF192" s="1">
        <v>5.3521299999999998</v>
      </c>
      <c r="AG192" s="242">
        <v>211.05799999999999</v>
      </c>
      <c r="AH192" s="242">
        <v>5.7</v>
      </c>
      <c r="AI192" s="245">
        <v>89.573999999999998</v>
      </c>
    </row>
    <row r="193" spans="1:35">
      <c r="A193" s="24">
        <v>18</v>
      </c>
      <c r="B193" s="28" t="s">
        <v>19</v>
      </c>
      <c r="C193" s="28" t="s">
        <v>18</v>
      </c>
      <c r="D193" s="23">
        <v>2014</v>
      </c>
      <c r="E193" s="239">
        <v>30.2</v>
      </c>
      <c r="F193">
        <v>63.106900000000003</v>
      </c>
      <c r="G193" s="17">
        <v>43000000000</v>
      </c>
      <c r="H193" s="242">
        <v>105584</v>
      </c>
      <c r="I193" s="4">
        <v>0.73</v>
      </c>
      <c r="J193" s="24">
        <v>29.841999000000001</v>
      </c>
      <c r="K193" s="26">
        <v>4.3621999999999996</v>
      </c>
      <c r="L193" s="24">
        <v>389</v>
      </c>
      <c r="M193">
        <v>47.700001</v>
      </c>
      <c r="N193" s="27">
        <v>88</v>
      </c>
      <c r="O193" s="26">
        <v>11.1</v>
      </c>
      <c r="P193" s="25">
        <v>2134</v>
      </c>
      <c r="Q193">
        <v>0.7</v>
      </c>
      <c r="R193">
        <v>0.9</v>
      </c>
      <c r="S193" s="14">
        <v>1800</v>
      </c>
      <c r="T193" s="224">
        <v>11.9</v>
      </c>
      <c r="U193" s="25">
        <v>112</v>
      </c>
      <c r="V193" s="24">
        <v>14414.018</v>
      </c>
      <c r="W193" s="22">
        <v>89.3</v>
      </c>
      <c r="X193" s="20">
        <v>29.841999999999999</v>
      </c>
      <c r="Y193" s="19">
        <f t="shared" si="6"/>
        <v>3.3959167972182298</v>
      </c>
      <c r="Z193" s="21">
        <v>389</v>
      </c>
      <c r="AA193" s="19">
        <f t="shared" si="7"/>
        <v>5.9635793436184459</v>
      </c>
      <c r="AB193" s="2">
        <v>47.7</v>
      </c>
      <c r="AC193" s="20">
        <v>14414</v>
      </c>
      <c r="AD193" s="19">
        <f t="shared" si="8"/>
        <v>9.5759552354843862</v>
      </c>
      <c r="AE193" s="4">
        <v>66.499700000000004</v>
      </c>
      <c r="AF193" s="1">
        <v>5.3757000000000001</v>
      </c>
      <c r="AG193" s="242">
        <v>216.09200000000001</v>
      </c>
      <c r="AH193" s="242">
        <v>6.8</v>
      </c>
      <c r="AI193" s="245">
        <v>89.884</v>
      </c>
    </row>
    <row r="194" spans="1:35">
      <c r="A194" s="24">
        <v>18</v>
      </c>
      <c r="B194" s="28" t="s">
        <v>19</v>
      </c>
      <c r="C194" s="28" t="s">
        <v>18</v>
      </c>
      <c r="D194" s="23">
        <v>2015</v>
      </c>
      <c r="E194" s="239">
        <v>31.3</v>
      </c>
      <c r="F194">
        <v>53.1357</v>
      </c>
      <c r="G194" s="17">
        <v>32000000000</v>
      </c>
      <c r="H194" s="242">
        <v>105462</v>
      </c>
      <c r="I194" s="4">
        <v>0.72</v>
      </c>
      <c r="J194" s="24">
        <v>33.637999999999998</v>
      </c>
      <c r="K194" s="26">
        <v>3.8923000000000001</v>
      </c>
      <c r="L194" s="24">
        <v>373</v>
      </c>
      <c r="M194">
        <v>47.400002000000001</v>
      </c>
      <c r="N194" s="27">
        <v>86.9</v>
      </c>
      <c r="O194" s="26">
        <v>9.6</v>
      </c>
      <c r="P194" s="25">
        <v>1899.5</v>
      </c>
      <c r="Q194">
        <v>1.1000000000000001</v>
      </c>
      <c r="R194">
        <v>1</v>
      </c>
      <c r="S194" s="14">
        <v>1839</v>
      </c>
      <c r="T194" s="224">
        <v>6.21</v>
      </c>
      <c r="U194" s="25">
        <v>118</v>
      </c>
      <c r="V194" s="24">
        <v>14043.027</v>
      </c>
      <c r="W194" s="22">
        <v>91.2</v>
      </c>
      <c r="X194" s="20">
        <v>33.637999999999998</v>
      </c>
      <c r="Y194" s="19">
        <f t="shared" ref="Y194:Y257" si="9">LN(X194)</f>
        <v>3.515656380305241</v>
      </c>
      <c r="Z194" s="21">
        <v>373</v>
      </c>
      <c r="AA194" s="19">
        <f t="shared" ref="AA194:AA257" si="10">LN(Z194)</f>
        <v>5.9215784196438159</v>
      </c>
      <c r="AB194" s="2">
        <v>47.4</v>
      </c>
      <c r="AC194" s="20">
        <v>14043</v>
      </c>
      <c r="AD194" s="19">
        <f t="shared" ref="AD194:AD257" si="11">LN(AC194)</f>
        <v>9.5498793299681797</v>
      </c>
      <c r="AE194" s="4">
        <v>67.299700000000001</v>
      </c>
      <c r="AF194" s="1">
        <v>5.3993000000000002</v>
      </c>
      <c r="AG194" s="242">
        <v>221.25200000000001</v>
      </c>
      <c r="AH194" s="242">
        <v>9.1</v>
      </c>
      <c r="AI194" s="245">
        <v>90.179000000000002</v>
      </c>
    </row>
    <row r="195" spans="1:35">
      <c r="A195" s="24">
        <v>18</v>
      </c>
      <c r="B195" s="28" t="s">
        <v>19</v>
      </c>
      <c r="C195" s="28" t="s">
        <v>18</v>
      </c>
      <c r="D195" s="23">
        <v>2016</v>
      </c>
      <c r="E195" s="239">
        <v>30.6</v>
      </c>
      <c r="F195">
        <v>-1.99438</v>
      </c>
      <c r="G195" s="17">
        <v>-1200000000</v>
      </c>
      <c r="H195" s="242">
        <v>108351</v>
      </c>
      <c r="I195" s="4">
        <v>0.74</v>
      </c>
      <c r="J195" s="24">
        <v>30.891000999999999</v>
      </c>
      <c r="K195" s="26">
        <v>4.0552000000000001</v>
      </c>
      <c r="L195" s="24">
        <v>387</v>
      </c>
      <c r="M195">
        <v>49.200001</v>
      </c>
      <c r="N195" s="27">
        <v>87.4</v>
      </c>
      <c r="O195" s="26">
        <v>7.1</v>
      </c>
      <c r="P195" s="25">
        <v>2087.8000000000002</v>
      </c>
      <c r="Q195">
        <v>0.9</v>
      </c>
      <c r="R195">
        <v>1</v>
      </c>
      <c r="S195" s="14">
        <v>1924</v>
      </c>
      <c r="T195" s="224">
        <v>4.6399999999999997</v>
      </c>
      <c r="U195" s="25">
        <v>118</v>
      </c>
      <c r="V195" s="24">
        <v>13998.786</v>
      </c>
      <c r="W195" s="22">
        <v>90.9</v>
      </c>
      <c r="X195" s="20">
        <v>30.890999999999998</v>
      </c>
      <c r="Y195" s="19">
        <f t="shared" si="9"/>
        <v>3.4304648793427233</v>
      </c>
      <c r="Z195" s="21">
        <v>387</v>
      </c>
      <c r="AA195" s="19">
        <f t="shared" si="10"/>
        <v>5.9584246930297819</v>
      </c>
      <c r="AB195" s="2">
        <v>49.2</v>
      </c>
      <c r="AC195" s="20">
        <v>13998.8</v>
      </c>
      <c r="AD195" s="19">
        <f t="shared" si="11"/>
        <v>9.5467268906380021</v>
      </c>
      <c r="AE195" s="4">
        <v>60.542999999999999</v>
      </c>
      <c r="AF195" s="1">
        <v>5.4208499999999997</v>
      </c>
      <c r="AG195" s="242">
        <v>226.072</v>
      </c>
      <c r="AH195" s="242">
        <v>13.5</v>
      </c>
      <c r="AI195" s="245">
        <v>90.46</v>
      </c>
    </row>
    <row r="196" spans="1:35">
      <c r="A196" s="24">
        <v>18</v>
      </c>
      <c r="B196" s="28" t="s">
        <v>19</v>
      </c>
      <c r="C196" s="28" t="s">
        <v>18</v>
      </c>
      <c r="D196" s="23">
        <v>2017</v>
      </c>
      <c r="E196" s="239">
        <v>31.3</v>
      </c>
      <c r="F196">
        <v>22.855799999999999</v>
      </c>
      <c r="G196" s="17">
        <v>15000000000</v>
      </c>
      <c r="H196" s="242">
        <v>107142</v>
      </c>
      <c r="I196" s="4">
        <v>0.73</v>
      </c>
      <c r="J196" s="24">
        <v>32.426997999999998</v>
      </c>
      <c r="K196" s="26">
        <v>3.8776999999999999</v>
      </c>
      <c r="L196" s="24">
        <v>405</v>
      </c>
      <c r="M196">
        <v>48.900002000000001</v>
      </c>
      <c r="N196" s="27">
        <v>89.1</v>
      </c>
      <c r="O196" s="26">
        <v>1.6</v>
      </c>
      <c r="P196" s="25">
        <v>1532.2</v>
      </c>
      <c r="Q196">
        <v>1</v>
      </c>
      <c r="R196">
        <v>1.1000000000000001</v>
      </c>
      <c r="S196" s="14">
        <v>1956</v>
      </c>
      <c r="T196" s="224">
        <v>9.6300000000000008</v>
      </c>
      <c r="U196" s="25">
        <v>122</v>
      </c>
      <c r="V196" s="24">
        <v>14711.663</v>
      </c>
      <c r="W196" s="22">
        <v>91.4</v>
      </c>
      <c r="X196" s="20">
        <v>32.427</v>
      </c>
      <c r="Y196" s="19">
        <f t="shared" si="9"/>
        <v>3.4789914091021754</v>
      </c>
      <c r="Z196" s="21">
        <v>405</v>
      </c>
      <c r="AA196" s="19">
        <f t="shared" si="10"/>
        <v>6.0038870671065387</v>
      </c>
      <c r="AB196" s="2">
        <v>48.9</v>
      </c>
      <c r="AC196" s="20">
        <v>14711.7</v>
      </c>
      <c r="AD196" s="19">
        <f t="shared" si="11"/>
        <v>9.5963983745591186</v>
      </c>
      <c r="AE196" s="4">
        <v>58.7973</v>
      </c>
      <c r="AF196" s="1">
        <v>5.4451599999999996</v>
      </c>
      <c r="AG196" s="242">
        <v>231.63499999999999</v>
      </c>
      <c r="AH196" s="242">
        <v>15.3</v>
      </c>
      <c r="AI196" s="245">
        <v>90.727000000000004</v>
      </c>
    </row>
    <row r="197" spans="1:35">
      <c r="A197" s="24">
        <v>18</v>
      </c>
      <c r="B197" s="28" t="s">
        <v>19</v>
      </c>
      <c r="C197" s="28" t="s">
        <v>18</v>
      </c>
      <c r="D197" s="23">
        <v>2018</v>
      </c>
      <c r="E197" s="239">
        <v>31.3</v>
      </c>
      <c r="F197">
        <v>30.784500000000001</v>
      </c>
      <c r="G197" s="17">
        <v>22000000000</v>
      </c>
      <c r="H197" s="242">
        <v>106377</v>
      </c>
      <c r="I197" s="4">
        <v>0.73</v>
      </c>
      <c r="J197" s="24">
        <v>28.334999</v>
      </c>
      <c r="K197" s="26">
        <v>4.1608000000000001</v>
      </c>
      <c r="L197" s="24">
        <v>419</v>
      </c>
      <c r="M197">
        <v>49</v>
      </c>
      <c r="N197" s="27">
        <v>88</v>
      </c>
      <c r="O197" s="26">
        <v>1.8</v>
      </c>
      <c r="P197" s="25">
        <v>1676.6</v>
      </c>
      <c r="Q197">
        <v>0.7</v>
      </c>
      <c r="R197">
        <v>1.2</v>
      </c>
      <c r="S197" s="14">
        <v>2106</v>
      </c>
      <c r="T197" s="224">
        <v>3.83</v>
      </c>
      <c r="U197" s="25">
        <v>122</v>
      </c>
      <c r="V197" s="24">
        <v>13076.89</v>
      </c>
      <c r="W197" s="22">
        <v>91.2</v>
      </c>
      <c r="X197" s="20">
        <v>28.335000000000001</v>
      </c>
      <c r="Y197" s="19">
        <f t="shared" si="9"/>
        <v>3.3440977896215824</v>
      </c>
      <c r="Z197" s="21">
        <v>419</v>
      </c>
      <c r="AA197" s="19">
        <f t="shared" si="10"/>
        <v>6.0378709199221374</v>
      </c>
      <c r="AB197" s="2">
        <v>49</v>
      </c>
      <c r="AC197" s="20">
        <v>13076.9</v>
      </c>
      <c r="AD197" s="19">
        <f t="shared" si="11"/>
        <v>9.4786025938634229</v>
      </c>
      <c r="AE197" s="4">
        <v>57.164499999999997</v>
      </c>
      <c r="AF197" s="1">
        <v>5.4644500000000003</v>
      </c>
      <c r="AG197" s="242">
        <v>236.14699999999999</v>
      </c>
      <c r="AH197" s="242">
        <v>16</v>
      </c>
      <c r="AI197" s="245">
        <v>90.980999999999995</v>
      </c>
    </row>
    <row r="198" spans="1:35">
      <c r="A198" s="24">
        <v>18</v>
      </c>
      <c r="B198" s="28" t="s">
        <v>19</v>
      </c>
      <c r="C198" s="28" t="s">
        <v>18</v>
      </c>
      <c r="D198" s="23">
        <v>2019</v>
      </c>
      <c r="E198" s="239">
        <v>32.200000000000003</v>
      </c>
      <c r="F198">
        <v>252.92</v>
      </c>
      <c r="G198" s="17">
        <v>180000000000</v>
      </c>
      <c r="H198" s="242">
        <v>107351</v>
      </c>
      <c r="I198" s="4">
        <v>0.73</v>
      </c>
      <c r="J198" s="24">
        <v>27.068000999999999</v>
      </c>
      <c r="K198" s="26">
        <v>4.2287999999999997</v>
      </c>
      <c r="L198" s="24">
        <v>428</v>
      </c>
      <c r="M198">
        <v>48.900002000000001</v>
      </c>
      <c r="N198" s="27">
        <v>88.5</v>
      </c>
      <c r="O198" s="26">
        <v>9.1</v>
      </c>
      <c r="P198" s="25">
        <v>1483.2</v>
      </c>
      <c r="Q198">
        <v>1.3</v>
      </c>
      <c r="R198">
        <v>1.3</v>
      </c>
      <c r="S198" s="14">
        <v>2074</v>
      </c>
      <c r="T198" s="224">
        <v>3.23</v>
      </c>
      <c r="U198" s="25">
        <v>125</v>
      </c>
      <c r="V198" s="24">
        <v>11442.116</v>
      </c>
      <c r="W198" s="22">
        <v>91</v>
      </c>
      <c r="X198" s="20">
        <v>27.068000000000001</v>
      </c>
      <c r="Y198" s="19">
        <f t="shared" si="9"/>
        <v>3.2983522183699789</v>
      </c>
      <c r="Z198" s="21">
        <v>428</v>
      </c>
      <c r="AA198" s="19">
        <f t="shared" si="10"/>
        <v>6.0591231955817966</v>
      </c>
      <c r="AB198" s="2">
        <v>48.9</v>
      </c>
      <c r="AC198" s="20"/>
      <c r="AD198" s="19" t="e">
        <f t="shared" si="11"/>
        <v>#NUM!</v>
      </c>
      <c r="AE198" s="4">
        <v>58.255400000000002</v>
      </c>
      <c r="AF198" s="1">
        <v>5.4840799999999996</v>
      </c>
      <c r="AG198" s="242">
        <v>240.828</v>
      </c>
      <c r="AH198" s="242">
        <v>16.399999999999999</v>
      </c>
      <c r="AI198" s="245">
        <v>91.222999999999999</v>
      </c>
    </row>
    <row r="199" spans="1:35">
      <c r="A199" s="24">
        <v>18</v>
      </c>
      <c r="B199" s="28" t="s">
        <v>19</v>
      </c>
      <c r="C199" s="28" t="s">
        <v>18</v>
      </c>
      <c r="D199" s="23">
        <v>2020</v>
      </c>
      <c r="E199" s="239">
        <v>32.799999999999997</v>
      </c>
      <c r="F199">
        <v>200.83199999999999</v>
      </c>
      <c r="G199" s="17">
        <v>150000000000</v>
      </c>
      <c r="H199" s="242">
        <v>104616</v>
      </c>
      <c r="I199" s="4">
        <v>0.72</v>
      </c>
      <c r="J199" s="24">
        <v>27.395</v>
      </c>
      <c r="K199" s="26">
        <v>4.0842999999999998</v>
      </c>
      <c r="L199" s="24">
        <v>381</v>
      </c>
      <c r="M199">
        <v>52.799999</v>
      </c>
      <c r="N199" s="27">
        <v>87.9</v>
      </c>
      <c r="O199" s="26">
        <v>9.4</v>
      </c>
      <c r="P199" s="25">
        <v>936.1</v>
      </c>
      <c r="Q199">
        <v>1.1000000000000001</v>
      </c>
      <c r="R199">
        <v>1.2</v>
      </c>
      <c r="S199" s="14">
        <v>2100</v>
      </c>
      <c r="T199" s="224">
        <v>3.97</v>
      </c>
      <c r="U199" s="25">
        <v>126</v>
      </c>
      <c r="V199" s="24">
        <v>9807.3428000000004</v>
      </c>
      <c r="W199" s="22">
        <v>90.4</v>
      </c>
      <c r="X199" s="20">
        <v>27.395</v>
      </c>
      <c r="Y199" s="19">
        <f t="shared" si="9"/>
        <v>3.310360514990379</v>
      </c>
      <c r="Z199" s="21">
        <v>381</v>
      </c>
      <c r="AA199" s="19">
        <f t="shared" si="10"/>
        <v>5.9427993751267012</v>
      </c>
      <c r="AB199" s="2">
        <v>52.8</v>
      </c>
      <c r="AC199" s="20"/>
      <c r="AD199" s="19" t="e">
        <f t="shared" si="11"/>
        <v>#NUM!</v>
      </c>
      <c r="AE199" s="4">
        <v>47.495699999999999</v>
      </c>
      <c r="AF199" s="1">
        <v>5.5007400000000004</v>
      </c>
      <c r="AG199" s="242">
        <v>244.874</v>
      </c>
      <c r="AH199" s="242">
        <v>20.8</v>
      </c>
      <c r="AI199" s="245">
        <v>91.453000000000003</v>
      </c>
    </row>
    <row r="200" spans="1:35">
      <c r="A200" s="24">
        <v>19</v>
      </c>
      <c r="B200" s="28" t="s">
        <v>17</v>
      </c>
      <c r="C200" s="28" t="s">
        <v>16</v>
      </c>
      <c r="D200" s="23">
        <v>2010</v>
      </c>
      <c r="E200" s="239">
        <v>21</v>
      </c>
      <c r="F200">
        <v>2.02393</v>
      </c>
      <c r="G200" s="17">
        <v>470000000</v>
      </c>
      <c r="H200" s="242">
        <v>10500.9</v>
      </c>
      <c r="I200" s="4">
        <v>0.31</v>
      </c>
      <c r="J200" s="24">
        <v>11.654</v>
      </c>
      <c r="K200" s="26">
        <v>1.0379</v>
      </c>
      <c r="L200" s="24">
        <v>480</v>
      </c>
      <c r="M200">
        <v>9.3999995999999992</v>
      </c>
      <c r="N200" s="27">
        <v>84.6</v>
      </c>
      <c r="O200" s="26">
        <v>1.2</v>
      </c>
      <c r="P200" s="25">
        <v>48.8</v>
      </c>
      <c r="S200" s="14">
        <v>18815</v>
      </c>
      <c r="T200" s="224">
        <v>0.72</v>
      </c>
      <c r="U200" s="25">
        <v>100</v>
      </c>
      <c r="V200" s="24">
        <v>5150.2847000000002</v>
      </c>
      <c r="W200" s="22">
        <v>26.4</v>
      </c>
      <c r="X200" s="20">
        <v>11.654</v>
      </c>
      <c r="Y200" s="19">
        <f t="shared" si="9"/>
        <v>2.4556494687208823</v>
      </c>
      <c r="Z200" s="21">
        <v>480</v>
      </c>
      <c r="AA200" s="19">
        <f t="shared" si="10"/>
        <v>6.1737861039019366</v>
      </c>
      <c r="AB200" s="2">
        <v>9.4</v>
      </c>
      <c r="AC200" s="20">
        <v>5150.28</v>
      </c>
      <c r="AD200" s="19">
        <f t="shared" si="11"/>
        <v>8.5468063611118836</v>
      </c>
      <c r="AE200" s="4">
        <v>90.432500000000005</v>
      </c>
      <c r="AF200" s="1">
        <v>3.5177399999999999</v>
      </c>
      <c r="AG200" s="242">
        <v>33.708100000000002</v>
      </c>
      <c r="AH200" s="242">
        <v>33.1</v>
      </c>
      <c r="AI200" s="245">
        <v>67.840999999999994</v>
      </c>
    </row>
    <row r="201" spans="1:35">
      <c r="A201" s="24">
        <v>19</v>
      </c>
      <c r="B201" s="28" t="s">
        <v>17</v>
      </c>
      <c r="C201" s="28" t="s">
        <v>16</v>
      </c>
      <c r="D201" s="23">
        <v>2011</v>
      </c>
      <c r="E201" s="239">
        <v>22</v>
      </c>
      <c r="F201">
        <v>5.7177300000000004</v>
      </c>
      <c r="G201" s="17">
        <v>1500000000</v>
      </c>
      <c r="H201" s="242">
        <v>11018.5</v>
      </c>
      <c r="I201" s="4">
        <v>0.3</v>
      </c>
      <c r="J201" s="24">
        <v>14.446</v>
      </c>
      <c r="K201" s="26">
        <v>0.92090000000000005</v>
      </c>
      <c r="L201" s="24">
        <v>479</v>
      </c>
      <c r="M201">
        <v>9.6999998000000005</v>
      </c>
      <c r="N201" s="27">
        <v>81.5</v>
      </c>
      <c r="O201" s="26">
        <v>2.9</v>
      </c>
      <c r="P201" s="25">
        <v>59.1</v>
      </c>
      <c r="S201" s="14">
        <v>19182</v>
      </c>
      <c r="T201" s="224">
        <v>0</v>
      </c>
      <c r="U201" s="25">
        <v>99</v>
      </c>
      <c r="V201" s="24">
        <v>5081.0219999999999</v>
      </c>
      <c r="W201" s="22">
        <v>27.4</v>
      </c>
      <c r="X201" s="20">
        <v>14.446</v>
      </c>
      <c r="Y201" s="19">
        <f t="shared" si="9"/>
        <v>2.670417559628655</v>
      </c>
      <c r="Z201" s="21">
        <v>479</v>
      </c>
      <c r="AA201" s="19">
        <f t="shared" si="10"/>
        <v>6.1717005974109149</v>
      </c>
      <c r="AB201" s="2">
        <v>9.6999999999999993</v>
      </c>
      <c r="AC201" s="20">
        <v>5081.0200000000004</v>
      </c>
      <c r="AD201" s="19">
        <f t="shared" si="11"/>
        <v>8.5332673078190098</v>
      </c>
      <c r="AE201" s="4">
        <v>110.703</v>
      </c>
      <c r="AF201" s="1">
        <v>3.49953</v>
      </c>
      <c r="AG201" s="242">
        <v>33.099899999999998</v>
      </c>
      <c r="AH201" s="242">
        <v>35.5</v>
      </c>
      <c r="AI201" s="245">
        <v>67.869</v>
      </c>
    </row>
    <row r="202" spans="1:35">
      <c r="A202" s="24">
        <v>19</v>
      </c>
      <c r="B202" s="28" t="s">
        <v>17</v>
      </c>
      <c r="C202" s="28" t="s">
        <v>16</v>
      </c>
      <c r="D202" s="23">
        <v>2012</v>
      </c>
      <c r="E202" s="239">
        <v>22.5</v>
      </c>
      <c r="F202">
        <v>3.9857399999999998</v>
      </c>
      <c r="G202" s="17">
        <v>1100000000</v>
      </c>
      <c r="H202" s="242">
        <v>11971</v>
      </c>
      <c r="I202" s="4">
        <v>0.28000000000000003</v>
      </c>
      <c r="J202" s="24">
        <v>13.606999999999999</v>
      </c>
      <c r="K202" s="26">
        <v>0.98119999999999996</v>
      </c>
      <c r="L202" s="24">
        <v>465</v>
      </c>
      <c r="M202">
        <v>14.6</v>
      </c>
      <c r="N202" s="27">
        <v>83.6</v>
      </c>
      <c r="O202" s="26">
        <v>1.3</v>
      </c>
      <c r="P202" s="25">
        <v>36.1</v>
      </c>
      <c r="Q202">
        <v>0.8</v>
      </c>
      <c r="R202">
        <v>1.6</v>
      </c>
      <c r="S202" s="14">
        <v>20476</v>
      </c>
      <c r="T202" s="224">
        <v>1.1499999999999999</v>
      </c>
      <c r="U202" s="25">
        <v>98</v>
      </c>
      <c r="V202" s="24">
        <v>5084.9486999999999</v>
      </c>
      <c r="W202" s="22">
        <v>30.3</v>
      </c>
      <c r="X202" s="20">
        <v>13.606999999999999</v>
      </c>
      <c r="Y202" s="19">
        <f t="shared" si="9"/>
        <v>2.6105843662087214</v>
      </c>
      <c r="Z202" s="21">
        <v>465</v>
      </c>
      <c r="AA202" s="19">
        <f t="shared" si="10"/>
        <v>6.1420374055873559</v>
      </c>
      <c r="AB202" s="2">
        <v>14.6</v>
      </c>
      <c r="AC202" s="20">
        <v>5084.95</v>
      </c>
      <c r="AD202" s="19">
        <f t="shared" si="11"/>
        <v>8.5340404755926258</v>
      </c>
      <c r="AE202" s="4">
        <v>115.57299999999999</v>
      </c>
      <c r="AF202" s="1">
        <v>3.4871300000000001</v>
      </c>
      <c r="AG202" s="242">
        <v>32.691899999999997</v>
      </c>
      <c r="AH202" s="242">
        <v>40.4</v>
      </c>
      <c r="AI202" s="245">
        <v>67.897000000000006</v>
      </c>
    </row>
    <row r="203" spans="1:35">
      <c r="A203" s="24">
        <v>19</v>
      </c>
      <c r="B203" s="28" t="s">
        <v>17</v>
      </c>
      <c r="C203" s="28" t="s">
        <v>16</v>
      </c>
      <c r="D203" s="23">
        <v>2013</v>
      </c>
      <c r="E203" s="239">
        <v>22.5</v>
      </c>
      <c r="F203">
        <v>3.3935200000000001</v>
      </c>
      <c r="G203" s="17">
        <v>990000000</v>
      </c>
      <c r="H203" s="242">
        <v>12353.5</v>
      </c>
      <c r="I203" s="4">
        <v>0.26</v>
      </c>
      <c r="J203" s="24">
        <v>14.958</v>
      </c>
      <c r="K203" s="26">
        <v>0.92649999999999999</v>
      </c>
      <c r="L203" s="24">
        <v>654</v>
      </c>
      <c r="M203">
        <v>25.9</v>
      </c>
      <c r="N203" s="27">
        <v>90.3</v>
      </c>
      <c r="O203" s="26">
        <v>3.9</v>
      </c>
      <c r="P203" s="25">
        <v>44.9</v>
      </c>
      <c r="Q203">
        <v>0.7</v>
      </c>
      <c r="R203">
        <v>1.5</v>
      </c>
      <c r="S203" s="14">
        <v>21567</v>
      </c>
      <c r="T203" s="224">
        <v>1.99</v>
      </c>
      <c r="U203" s="25">
        <v>94</v>
      </c>
      <c r="V203" s="24">
        <v>5270.7056000000002</v>
      </c>
      <c r="W203" s="22">
        <v>29.7</v>
      </c>
      <c r="X203" s="20">
        <v>14.958</v>
      </c>
      <c r="Y203" s="19">
        <f t="shared" si="9"/>
        <v>2.7052462737694758</v>
      </c>
      <c r="Z203" s="21">
        <v>654</v>
      </c>
      <c r="AA203" s="19">
        <f t="shared" si="10"/>
        <v>6.4831073514571989</v>
      </c>
      <c r="AB203" s="2">
        <v>25.9</v>
      </c>
      <c r="AC203" s="20">
        <v>5270.71</v>
      </c>
      <c r="AD203" s="19">
        <f t="shared" si="11"/>
        <v>8.5699203573185141</v>
      </c>
      <c r="AE203" s="4">
        <v>110.908</v>
      </c>
      <c r="AF203" s="1">
        <v>3.4764200000000001</v>
      </c>
      <c r="AG203" s="242">
        <v>32.343600000000002</v>
      </c>
      <c r="AH203" s="242">
        <v>39.6</v>
      </c>
      <c r="AI203" s="245">
        <v>67.924999999999997</v>
      </c>
    </row>
    <row r="204" spans="1:35">
      <c r="A204" s="24">
        <v>19</v>
      </c>
      <c r="B204" s="28" t="s">
        <v>17</v>
      </c>
      <c r="C204" s="28" t="s">
        <v>16</v>
      </c>
      <c r="D204" s="23">
        <v>2014</v>
      </c>
      <c r="E204" s="239">
        <v>21.5</v>
      </c>
      <c r="F204">
        <v>3.4518</v>
      </c>
      <c r="G204" s="17">
        <v>1000000000</v>
      </c>
      <c r="H204" s="242">
        <v>12731.7</v>
      </c>
      <c r="I204" s="4">
        <v>0.25</v>
      </c>
      <c r="J204" s="24">
        <v>14.996</v>
      </c>
      <c r="K204" s="26">
        <v>0.98809999999999998</v>
      </c>
      <c r="L204" s="24">
        <v>646</v>
      </c>
      <c r="M204">
        <v>27</v>
      </c>
      <c r="N204" s="27">
        <v>90.3</v>
      </c>
      <c r="O204" s="26">
        <v>5.3</v>
      </c>
      <c r="P204" s="25">
        <v>7.7</v>
      </c>
      <c r="Q204">
        <v>0.8</v>
      </c>
      <c r="R204">
        <v>1.5</v>
      </c>
      <c r="S204" s="14">
        <v>22835</v>
      </c>
      <c r="T204" s="224">
        <v>0.04</v>
      </c>
      <c r="U204" s="25">
        <v>97</v>
      </c>
      <c r="V204" s="24">
        <v>5254.8545000000004</v>
      </c>
      <c r="W204" s="22">
        <v>31.1</v>
      </c>
      <c r="X204" s="20">
        <v>14.996</v>
      </c>
      <c r="Y204" s="19">
        <f t="shared" si="9"/>
        <v>2.7077834988736655</v>
      </c>
      <c r="Z204" s="21">
        <v>646</v>
      </c>
      <c r="AA204" s="19">
        <f t="shared" si="10"/>
        <v>6.4707995037826018</v>
      </c>
      <c r="AB204" s="2">
        <v>27</v>
      </c>
      <c r="AC204" s="20">
        <v>5254.85</v>
      </c>
      <c r="AD204" s="19">
        <f t="shared" si="11"/>
        <v>8.5669067386600801</v>
      </c>
      <c r="AE204" s="4">
        <v>107.93300000000001</v>
      </c>
      <c r="AF204" s="1">
        <v>3.4670000000000001</v>
      </c>
      <c r="AG204" s="242">
        <v>32.040500000000002</v>
      </c>
      <c r="AH204" s="242">
        <v>40.200000000000003</v>
      </c>
      <c r="AI204" s="245">
        <v>67.951999999999998</v>
      </c>
    </row>
    <row r="205" spans="1:35">
      <c r="A205" s="24">
        <v>19</v>
      </c>
      <c r="B205" s="28" t="s">
        <v>17</v>
      </c>
      <c r="C205" s="28" t="s">
        <v>16</v>
      </c>
      <c r="D205" s="23">
        <v>2015</v>
      </c>
      <c r="E205" s="239">
        <v>22.2</v>
      </c>
      <c r="F205">
        <v>3.0854300000000001</v>
      </c>
      <c r="G205" s="17">
        <v>810000000</v>
      </c>
      <c r="H205" s="242">
        <v>13322</v>
      </c>
      <c r="I205" s="4">
        <v>0.24</v>
      </c>
      <c r="J205" s="24">
        <v>16.131001000000001</v>
      </c>
      <c r="K205" s="26">
        <v>0.95979999999999999</v>
      </c>
      <c r="L205" s="24">
        <v>653</v>
      </c>
      <c r="M205">
        <v>28.700001</v>
      </c>
      <c r="N205" s="27">
        <v>82.2</v>
      </c>
      <c r="O205" s="26">
        <v>5.3</v>
      </c>
      <c r="P205" s="25">
        <v>0.7</v>
      </c>
      <c r="Q205">
        <v>0.7</v>
      </c>
      <c r="R205">
        <v>1.5</v>
      </c>
      <c r="S205" s="14">
        <v>23214</v>
      </c>
      <c r="T205" s="224">
        <v>1.1599999999999999</v>
      </c>
      <c r="U205" s="25">
        <v>100</v>
      </c>
      <c r="V205" s="24">
        <v>5380.8500999999997</v>
      </c>
      <c r="W205" s="22">
        <v>31.4</v>
      </c>
      <c r="X205" s="20">
        <v>16.131</v>
      </c>
      <c r="Y205" s="19">
        <f t="shared" si="9"/>
        <v>2.7807428864956507</v>
      </c>
      <c r="Z205" s="21">
        <v>653</v>
      </c>
      <c r="AA205" s="19">
        <f t="shared" si="10"/>
        <v>6.481577129276431</v>
      </c>
      <c r="AB205" s="2">
        <v>28.7</v>
      </c>
      <c r="AC205" s="20">
        <v>5380.85</v>
      </c>
      <c r="AD205" s="19">
        <f t="shared" si="11"/>
        <v>8.5906016332413753</v>
      </c>
      <c r="AE205" s="4">
        <v>102.50700000000001</v>
      </c>
      <c r="AF205" s="1">
        <v>3.4588100000000002</v>
      </c>
      <c r="AG205" s="242">
        <v>31.779199999999999</v>
      </c>
      <c r="AH205" s="242">
        <v>38.1</v>
      </c>
      <c r="AI205" s="245">
        <v>67.98</v>
      </c>
    </row>
    <row r="206" spans="1:35">
      <c r="A206" s="24">
        <v>19</v>
      </c>
      <c r="B206" s="28" t="s">
        <v>17</v>
      </c>
      <c r="C206" s="28" t="s">
        <v>16</v>
      </c>
      <c r="D206" s="23">
        <v>2016</v>
      </c>
      <c r="E206" s="239">
        <v>21.4</v>
      </c>
      <c r="F206">
        <v>1.2369399999999999</v>
      </c>
      <c r="G206" s="17">
        <v>340000000</v>
      </c>
      <c r="H206" s="242">
        <v>13787.3</v>
      </c>
      <c r="I206" s="4">
        <v>0.25</v>
      </c>
      <c r="J206" s="24">
        <v>14.500999999999999</v>
      </c>
      <c r="K206" s="26">
        <v>1.0949</v>
      </c>
      <c r="L206" s="24">
        <v>678</v>
      </c>
      <c r="M206">
        <v>25.200001</v>
      </c>
      <c r="N206" s="27">
        <v>88.5</v>
      </c>
      <c r="O206" s="26">
        <v>6.6</v>
      </c>
      <c r="P206" s="25">
        <v>75.3</v>
      </c>
      <c r="Q206">
        <v>0.5</v>
      </c>
      <c r="R206">
        <v>1.5</v>
      </c>
      <c r="S206" s="14">
        <v>23624</v>
      </c>
      <c r="T206" s="224">
        <v>0.51</v>
      </c>
      <c r="U206" s="25">
        <v>102</v>
      </c>
      <c r="V206" s="24">
        <v>5656.7637000000004</v>
      </c>
      <c r="W206" s="22">
        <v>32</v>
      </c>
      <c r="X206" s="20">
        <v>14.500999999999999</v>
      </c>
      <c r="Y206" s="19">
        <f t="shared" si="9"/>
        <v>2.6742176125657582</v>
      </c>
      <c r="Z206" s="21">
        <v>678</v>
      </c>
      <c r="AA206" s="19">
        <f t="shared" si="10"/>
        <v>6.5191472879403953</v>
      </c>
      <c r="AB206" s="2">
        <v>25.2</v>
      </c>
      <c r="AC206" s="20">
        <v>5656.76</v>
      </c>
      <c r="AD206" s="19">
        <f t="shared" si="11"/>
        <v>8.6406065691294067</v>
      </c>
      <c r="AE206" s="4">
        <v>98.565100000000001</v>
      </c>
      <c r="AF206" s="1">
        <v>3.4496699999999998</v>
      </c>
      <c r="AG206" s="242">
        <v>31.490100000000002</v>
      </c>
      <c r="AH206" s="242">
        <v>38.5</v>
      </c>
      <c r="AI206" s="245">
        <v>68.021000000000001</v>
      </c>
    </row>
    <row r="207" spans="1:35">
      <c r="A207" s="24">
        <v>19</v>
      </c>
      <c r="B207" s="28" t="s">
        <v>17</v>
      </c>
      <c r="C207" s="28" t="s">
        <v>16</v>
      </c>
      <c r="D207" s="23">
        <v>2017</v>
      </c>
      <c r="E207" s="239">
        <v>21.9</v>
      </c>
      <c r="F207">
        <v>4.0488</v>
      </c>
      <c r="G207" s="17">
        <v>1200000000</v>
      </c>
      <c r="H207" s="242">
        <v>14382.9</v>
      </c>
      <c r="I207" s="4">
        <v>0.25</v>
      </c>
      <c r="J207" s="24">
        <v>16.427</v>
      </c>
      <c r="K207" s="26">
        <v>1.0106999999999999</v>
      </c>
      <c r="L207" s="24">
        <v>679</v>
      </c>
      <c r="M207">
        <v>24.799999</v>
      </c>
      <c r="N207" s="27">
        <v>80.8</v>
      </c>
      <c r="O207" s="26">
        <v>5.5</v>
      </c>
      <c r="P207" s="25">
        <v>49</v>
      </c>
      <c r="Q207">
        <v>0.7</v>
      </c>
      <c r="R207">
        <v>1.5</v>
      </c>
      <c r="S207" s="14">
        <v>23397</v>
      </c>
      <c r="T207" s="224">
        <v>0.51</v>
      </c>
      <c r="U207" s="25">
        <v>102</v>
      </c>
      <c r="V207" s="24">
        <v>5777.3813</v>
      </c>
      <c r="W207" s="22">
        <v>30.5</v>
      </c>
      <c r="X207" s="20">
        <v>16.427</v>
      </c>
      <c r="Y207" s="19">
        <f t="shared" si="9"/>
        <v>2.7989263225590628</v>
      </c>
      <c r="Z207" s="21">
        <v>679</v>
      </c>
      <c r="AA207" s="19">
        <f t="shared" si="10"/>
        <v>6.5206211275586963</v>
      </c>
      <c r="AB207" s="2">
        <v>24.8</v>
      </c>
      <c r="AC207" s="20">
        <v>5777.38</v>
      </c>
      <c r="AD207" s="19">
        <f t="shared" si="11"/>
        <v>8.661705571703493</v>
      </c>
      <c r="AE207" s="4">
        <v>106.015</v>
      </c>
      <c r="AF207" s="1">
        <v>3.4408099999999999</v>
      </c>
      <c r="AG207" s="242">
        <v>31.212299999999999</v>
      </c>
      <c r="AH207" s="242">
        <v>42.6</v>
      </c>
      <c r="AI207" s="245">
        <v>68.075000000000003</v>
      </c>
    </row>
    <row r="208" spans="1:35">
      <c r="A208" s="24">
        <v>19</v>
      </c>
      <c r="B208" s="28" t="s">
        <v>17</v>
      </c>
      <c r="C208" s="28" t="s">
        <v>16</v>
      </c>
      <c r="D208" s="23">
        <v>2018</v>
      </c>
      <c r="E208" s="239">
        <v>22</v>
      </c>
      <c r="F208">
        <v>1.32077</v>
      </c>
      <c r="G208" s="17">
        <v>440000000</v>
      </c>
      <c r="H208" s="242">
        <v>15120.1</v>
      </c>
      <c r="I208" s="4">
        <v>0.25</v>
      </c>
      <c r="J208" s="24">
        <v>17.047999999999998</v>
      </c>
      <c r="K208" s="26">
        <v>0.9647</v>
      </c>
      <c r="L208" s="24">
        <v>672</v>
      </c>
      <c r="M208">
        <v>25.200001</v>
      </c>
      <c r="N208" s="27">
        <v>81.400000000000006</v>
      </c>
      <c r="O208" s="26">
        <v>4.7</v>
      </c>
      <c r="P208" s="25">
        <v>38.6</v>
      </c>
      <c r="Q208">
        <v>0.8</v>
      </c>
      <c r="R208">
        <v>1.8</v>
      </c>
      <c r="S208" s="14">
        <v>22420</v>
      </c>
      <c r="T208" s="224">
        <v>0</v>
      </c>
      <c r="U208" s="25">
        <v>102</v>
      </c>
      <c r="V208" s="24">
        <v>4970.0097999999998</v>
      </c>
      <c r="W208" s="22">
        <v>32.9</v>
      </c>
      <c r="X208" s="20">
        <v>17.047999999999998</v>
      </c>
      <c r="Y208" s="19">
        <f t="shared" si="9"/>
        <v>2.836032894796316</v>
      </c>
      <c r="Z208" s="21">
        <v>672</v>
      </c>
      <c r="AA208" s="19">
        <f t="shared" si="10"/>
        <v>6.5102583405231496</v>
      </c>
      <c r="AB208" s="2">
        <v>25.2</v>
      </c>
      <c r="AC208" s="20">
        <v>4970.01</v>
      </c>
      <c r="AD208" s="19">
        <f t="shared" si="11"/>
        <v>8.5111771311610855</v>
      </c>
      <c r="AE208" s="4">
        <v>107.81699999999999</v>
      </c>
      <c r="AF208" s="1">
        <v>3.43302</v>
      </c>
      <c r="AG208" s="242">
        <v>30.970099999999999</v>
      </c>
      <c r="AH208" s="242">
        <v>41</v>
      </c>
      <c r="AI208" s="245">
        <v>68.141999999999996</v>
      </c>
    </row>
    <row r="209" spans="1:35">
      <c r="A209" s="24">
        <v>19</v>
      </c>
      <c r="B209" s="28" t="s">
        <v>17</v>
      </c>
      <c r="C209" s="28" t="s">
        <v>16</v>
      </c>
      <c r="D209" s="23">
        <v>2019</v>
      </c>
      <c r="E209" s="239">
        <v>22.6</v>
      </c>
      <c r="F209">
        <v>3.371</v>
      </c>
      <c r="G209" s="17">
        <v>1100000000</v>
      </c>
      <c r="H209" s="242">
        <v>15328.4</v>
      </c>
      <c r="I209" s="4">
        <v>0.22</v>
      </c>
      <c r="J209" s="24">
        <v>17.306000000000001</v>
      </c>
      <c r="K209" s="26">
        <v>0.96840000000000004</v>
      </c>
      <c r="L209" s="24">
        <v>683</v>
      </c>
      <c r="M209">
        <v>41</v>
      </c>
      <c r="N209" s="27">
        <v>83</v>
      </c>
      <c r="O209" s="26">
        <v>4.8</v>
      </c>
      <c r="P209" s="25">
        <v>2.7</v>
      </c>
      <c r="Q209">
        <v>1.1000000000000001</v>
      </c>
      <c r="R209">
        <v>1.8</v>
      </c>
      <c r="S209" s="14">
        <v>21108</v>
      </c>
      <c r="T209" s="224">
        <v>0</v>
      </c>
      <c r="U209" s="25">
        <v>103</v>
      </c>
      <c r="V209" s="24">
        <v>6995.9408999999996</v>
      </c>
      <c r="W209" s="22">
        <v>31.5</v>
      </c>
      <c r="X209" s="20">
        <v>17.306000000000001</v>
      </c>
      <c r="Y209" s="19">
        <f t="shared" si="9"/>
        <v>2.8510532621845472</v>
      </c>
      <c r="Z209" s="21">
        <v>683</v>
      </c>
      <c r="AA209" s="19">
        <f t="shared" si="10"/>
        <v>6.5264948595707901</v>
      </c>
      <c r="AB209" s="2">
        <v>41</v>
      </c>
      <c r="AC209" s="20">
        <v>6995.94</v>
      </c>
      <c r="AD209" s="19">
        <f t="shared" si="11"/>
        <v>8.853085259772385</v>
      </c>
      <c r="AE209" s="4">
        <v>104.727</v>
      </c>
      <c r="AF209" s="1">
        <v>3.4260700000000002</v>
      </c>
      <c r="AG209" s="242">
        <v>30.755500000000001</v>
      </c>
      <c r="AH209" s="242">
        <v>41.5</v>
      </c>
      <c r="AI209" s="245">
        <v>68.221999999999994</v>
      </c>
    </row>
    <row r="210" spans="1:35">
      <c r="A210" s="24">
        <v>19</v>
      </c>
      <c r="B210" s="28" t="s">
        <v>17</v>
      </c>
      <c r="C210" s="28" t="s">
        <v>16</v>
      </c>
      <c r="D210" s="23">
        <v>2020</v>
      </c>
      <c r="E210" s="239">
        <v>23.2</v>
      </c>
      <c r="F210">
        <v>2.8141400000000001</v>
      </c>
      <c r="G210" s="17">
        <v>940000000</v>
      </c>
      <c r="H210" s="242">
        <v>14900.7</v>
      </c>
      <c r="I210" s="4">
        <v>0.21</v>
      </c>
      <c r="J210" s="24">
        <v>17.551000999999999</v>
      </c>
      <c r="K210" s="26">
        <v>0.93100000000000005</v>
      </c>
      <c r="L210" s="24">
        <v>695</v>
      </c>
      <c r="M210">
        <v>39.700001</v>
      </c>
      <c r="N210" s="27">
        <v>83.5</v>
      </c>
      <c r="O210" s="26">
        <v>5.2</v>
      </c>
      <c r="P210" s="25">
        <v>5</v>
      </c>
      <c r="Q210">
        <v>0.8</v>
      </c>
      <c r="R210">
        <v>1.6</v>
      </c>
      <c r="S210" s="14">
        <v>23720</v>
      </c>
      <c r="T210" s="224">
        <v>0.26</v>
      </c>
      <c r="U210" s="25">
        <v>104</v>
      </c>
      <c r="V210" s="24">
        <v>7534.9961000000003</v>
      </c>
      <c r="W210" s="22">
        <v>32</v>
      </c>
      <c r="X210" s="20">
        <v>17.550999999999998</v>
      </c>
      <c r="Y210" s="19">
        <f t="shared" si="9"/>
        <v>2.8651109283455529</v>
      </c>
      <c r="Z210" s="21">
        <v>695</v>
      </c>
      <c r="AA210" s="19">
        <f t="shared" si="10"/>
        <v>6.543911845564792</v>
      </c>
      <c r="AB210" s="2">
        <v>39.700000000000003</v>
      </c>
      <c r="AC210" s="20">
        <v>7535</v>
      </c>
      <c r="AD210" s="19">
        <f t="shared" si="11"/>
        <v>8.9273141110605962</v>
      </c>
      <c r="AE210" s="4">
        <v>104.188</v>
      </c>
      <c r="AF210" s="1">
        <v>3.4190100000000001</v>
      </c>
      <c r="AG210" s="242">
        <v>30.539100000000001</v>
      </c>
      <c r="AH210" s="242">
        <v>43.8</v>
      </c>
      <c r="AI210" s="245">
        <v>68.314999999999998</v>
      </c>
    </row>
    <row r="211" spans="1:35">
      <c r="A211" s="24">
        <v>20</v>
      </c>
      <c r="B211" s="28" t="s">
        <v>15</v>
      </c>
      <c r="C211" s="28" t="s">
        <v>14</v>
      </c>
      <c r="D211" s="23">
        <v>2010</v>
      </c>
      <c r="E211" s="239">
        <v>15.5</v>
      </c>
      <c r="F211">
        <v>101.626</v>
      </c>
      <c r="G211" s="17">
        <v>9200000000</v>
      </c>
      <c r="H211" s="242">
        <v>20750.599999999999</v>
      </c>
      <c r="I211" s="4">
        <v>0.51</v>
      </c>
      <c r="J211" s="24">
        <v>13.776</v>
      </c>
      <c r="K211" s="26">
        <v>2.5857000000000001</v>
      </c>
      <c r="L211" s="24">
        <v>803</v>
      </c>
      <c r="M211">
        <v>8.8999995999999992</v>
      </c>
      <c r="N211" s="27">
        <v>56.4</v>
      </c>
      <c r="O211" s="26">
        <v>5.3</v>
      </c>
      <c r="P211" s="25">
        <v>4.9000000000000004</v>
      </c>
      <c r="S211" s="14">
        <v>4436</v>
      </c>
      <c r="T211" s="224">
        <v>0</v>
      </c>
      <c r="U211" s="25">
        <v>100</v>
      </c>
      <c r="V211" s="24">
        <v>7419.8339999999998</v>
      </c>
      <c r="W211" s="22">
        <v>57.7</v>
      </c>
      <c r="X211" s="20">
        <v>13.776</v>
      </c>
      <c r="Y211" s="19">
        <f t="shared" si="9"/>
        <v>2.6229279476853748</v>
      </c>
      <c r="Z211" s="21">
        <v>803</v>
      </c>
      <c r="AA211" s="19">
        <f t="shared" si="10"/>
        <v>6.6883547139467616</v>
      </c>
      <c r="AB211" s="2">
        <v>8.9</v>
      </c>
      <c r="AC211" s="20">
        <v>7419.83</v>
      </c>
      <c r="AD211" s="19">
        <f t="shared" si="11"/>
        <v>8.9119114248477516</v>
      </c>
      <c r="AE211" s="4">
        <v>95.063800000000001</v>
      </c>
      <c r="AF211" s="1">
        <v>7.1665299999999998</v>
      </c>
      <c r="AG211" s="242">
        <v>1295.3399999999999</v>
      </c>
      <c r="AH211" s="242">
        <v>1.2</v>
      </c>
      <c r="AI211" s="245">
        <v>94.072000000000003</v>
      </c>
    </row>
    <row r="212" spans="1:35">
      <c r="A212" s="24">
        <v>20</v>
      </c>
      <c r="B212" s="28" t="s">
        <v>15</v>
      </c>
      <c r="C212" s="28" t="s">
        <v>14</v>
      </c>
      <c r="D212" s="23">
        <v>2011</v>
      </c>
      <c r="E212" s="239">
        <v>15.5</v>
      </c>
      <c r="F212">
        <v>79.748900000000006</v>
      </c>
      <c r="G212" s="17">
        <v>7800000000</v>
      </c>
      <c r="H212" s="242">
        <v>20867.8</v>
      </c>
      <c r="I212" s="4">
        <v>0.51</v>
      </c>
      <c r="J212" s="24">
        <v>13.589</v>
      </c>
      <c r="K212" s="26">
        <v>1.9716</v>
      </c>
      <c r="L212" s="24">
        <v>791</v>
      </c>
      <c r="M212">
        <v>15.4</v>
      </c>
      <c r="N212" s="27">
        <v>122.8</v>
      </c>
      <c r="O212" s="26">
        <v>4.5</v>
      </c>
      <c r="P212" s="25">
        <v>1.6</v>
      </c>
      <c r="S212" s="14">
        <v>4359</v>
      </c>
      <c r="T212" s="224">
        <v>0</v>
      </c>
      <c r="U212" s="25">
        <v>102</v>
      </c>
      <c r="V212" s="24">
        <v>6626.7847000000002</v>
      </c>
      <c r="W212" s="22">
        <v>62.4</v>
      </c>
      <c r="X212" s="20">
        <v>13.589</v>
      </c>
      <c r="Y212" s="19">
        <f t="shared" si="9"/>
        <v>2.6092606419383606</v>
      </c>
      <c r="Z212" s="21">
        <v>791</v>
      </c>
      <c r="AA212" s="19">
        <f t="shared" si="10"/>
        <v>6.6732979677676543</v>
      </c>
      <c r="AB212" s="2">
        <v>15.4</v>
      </c>
      <c r="AC212" s="20">
        <v>6626.78</v>
      </c>
      <c r="AD212" s="19">
        <f t="shared" si="11"/>
        <v>8.7988742940119007</v>
      </c>
      <c r="AE212" s="4">
        <v>109.08799999999999</v>
      </c>
      <c r="AF212" s="1">
        <v>7.1707599999999996</v>
      </c>
      <c r="AG212" s="242">
        <v>1300.8399999999999</v>
      </c>
      <c r="AH212" s="242">
        <v>2</v>
      </c>
      <c r="AI212" s="245">
        <v>94.141000000000005</v>
      </c>
    </row>
    <row r="213" spans="1:35">
      <c r="A213" s="24">
        <v>20</v>
      </c>
      <c r="B213" s="28" t="s">
        <v>15</v>
      </c>
      <c r="C213" s="28" t="s">
        <v>14</v>
      </c>
      <c r="D213" s="23">
        <v>2012</v>
      </c>
      <c r="E213" s="239">
        <v>16</v>
      </c>
      <c r="F213">
        <v>34.586500000000001</v>
      </c>
      <c r="G213" s="17">
        <v>3300000000</v>
      </c>
      <c r="H213" s="242">
        <v>21529.5</v>
      </c>
      <c r="I213" s="4">
        <v>0.53</v>
      </c>
      <c r="J213" s="24">
        <v>11.734</v>
      </c>
      <c r="K213" s="26">
        <v>1.8024</v>
      </c>
      <c r="L213" s="24">
        <v>790</v>
      </c>
      <c r="M213">
        <v>14.8</v>
      </c>
      <c r="N213" s="27">
        <v>71.7</v>
      </c>
      <c r="O213" s="26">
        <v>3.9</v>
      </c>
      <c r="P213" s="25">
        <v>1.2</v>
      </c>
      <c r="Q213">
        <v>0.9</v>
      </c>
      <c r="R213">
        <v>2.1</v>
      </c>
      <c r="S213" s="14">
        <v>4361</v>
      </c>
      <c r="T213" s="224">
        <v>0</v>
      </c>
      <c r="U213" s="25">
        <v>107</v>
      </c>
      <c r="V213" s="24">
        <v>6527.2606999999998</v>
      </c>
      <c r="W213" s="22">
        <v>68.099999999999994</v>
      </c>
      <c r="X213" s="20">
        <v>11.734</v>
      </c>
      <c r="Y213" s="19">
        <f t="shared" si="9"/>
        <v>2.4624906105036684</v>
      </c>
      <c r="Z213" s="21">
        <v>790</v>
      </c>
      <c r="AA213" s="19">
        <f t="shared" si="10"/>
        <v>6.6720329454610674</v>
      </c>
      <c r="AB213" s="2">
        <v>14.8</v>
      </c>
      <c r="AC213" s="20">
        <v>6527.26</v>
      </c>
      <c r="AD213" s="19">
        <f t="shared" si="11"/>
        <v>8.7837425323753191</v>
      </c>
      <c r="AE213" s="4">
        <v>112.88800000000001</v>
      </c>
      <c r="AF213" s="1">
        <v>7.1797599999999999</v>
      </c>
      <c r="AG213" s="242">
        <v>1312.59</v>
      </c>
      <c r="AH213" s="242">
        <v>2.7</v>
      </c>
      <c r="AI213" s="245">
        <v>94.210999999999999</v>
      </c>
    </row>
    <row r="214" spans="1:35">
      <c r="A214" s="24">
        <v>20</v>
      </c>
      <c r="B214" s="28" t="s">
        <v>15</v>
      </c>
      <c r="C214" s="28" t="s">
        <v>14</v>
      </c>
      <c r="D214" s="23">
        <v>2013</v>
      </c>
      <c r="E214" s="239">
        <v>16</v>
      </c>
      <c r="F214">
        <v>4.7241600000000004</v>
      </c>
      <c r="G214" s="17">
        <v>510000000</v>
      </c>
      <c r="H214" s="242">
        <v>22565</v>
      </c>
      <c r="I214" s="4">
        <v>0.54</v>
      </c>
      <c r="J214" s="24">
        <v>12.587999999999999</v>
      </c>
      <c r="K214" s="26">
        <v>2.2766000000000002</v>
      </c>
      <c r="L214" s="24">
        <v>793</v>
      </c>
      <c r="M214">
        <v>12.5</v>
      </c>
      <c r="N214" s="27">
        <v>97.5</v>
      </c>
      <c r="O214" s="26">
        <v>6.3</v>
      </c>
      <c r="P214" s="25">
        <v>0.1</v>
      </c>
      <c r="Q214">
        <v>0.9</v>
      </c>
      <c r="R214">
        <v>2.1</v>
      </c>
      <c r="S214" s="14">
        <v>4365</v>
      </c>
      <c r="T214" s="224">
        <v>0</v>
      </c>
      <c r="U214" s="25">
        <v>110</v>
      </c>
      <c r="V214" s="24">
        <v>4740.8549999999996</v>
      </c>
      <c r="W214" s="22">
        <v>68.8</v>
      </c>
      <c r="X214" s="20">
        <v>12.587999999999999</v>
      </c>
      <c r="Y214" s="19">
        <f t="shared" si="9"/>
        <v>2.5327439792021602</v>
      </c>
      <c r="Z214" s="21">
        <v>793</v>
      </c>
      <c r="AA214" s="19">
        <f t="shared" si="10"/>
        <v>6.6758232216348476</v>
      </c>
      <c r="AB214" s="2">
        <v>12.5</v>
      </c>
      <c r="AC214" s="20">
        <v>4740.8500000000004</v>
      </c>
      <c r="AD214" s="19">
        <f t="shared" si="11"/>
        <v>8.4639717235068499</v>
      </c>
      <c r="AE214" s="4">
        <v>90.573300000000003</v>
      </c>
      <c r="AF214" s="1">
        <v>7.1938000000000004</v>
      </c>
      <c r="AG214" s="242">
        <v>1331.15</v>
      </c>
      <c r="AH214" s="242">
        <v>3.2</v>
      </c>
      <c r="AI214" s="245">
        <v>94.278999999999996</v>
      </c>
    </row>
    <row r="215" spans="1:35">
      <c r="A215" s="24">
        <v>20</v>
      </c>
      <c r="B215" s="28" t="s">
        <v>15</v>
      </c>
      <c r="C215" s="28" t="s">
        <v>14</v>
      </c>
      <c r="D215" s="23">
        <v>2014</v>
      </c>
      <c r="E215" s="239">
        <v>15.4</v>
      </c>
      <c r="F215">
        <v>1.3112200000000001</v>
      </c>
      <c r="G215" s="17">
        <v>160000000</v>
      </c>
      <c r="H215" s="242">
        <v>23806.799999999999</v>
      </c>
      <c r="I215" s="4">
        <v>0.53</v>
      </c>
      <c r="J215" s="24">
        <v>11.731999999999999</v>
      </c>
      <c r="K215" s="26">
        <v>1.7686999999999999</v>
      </c>
      <c r="L215" s="24">
        <v>721</v>
      </c>
      <c r="M215">
        <v>11.7</v>
      </c>
      <c r="N215" s="27">
        <v>107.1</v>
      </c>
      <c r="O215" s="26">
        <v>6.4</v>
      </c>
      <c r="P215" s="25">
        <v>4.5999999999999996</v>
      </c>
      <c r="Q215">
        <v>1</v>
      </c>
      <c r="R215">
        <v>2.1</v>
      </c>
      <c r="S215" s="14">
        <v>4393</v>
      </c>
      <c r="T215" s="224">
        <v>1.73</v>
      </c>
      <c r="U215" s="25">
        <v>114</v>
      </c>
      <c r="V215" s="24">
        <v>3936.3499000000002</v>
      </c>
      <c r="W215" s="22">
        <v>74</v>
      </c>
      <c r="X215" s="20">
        <v>11.731999999999999</v>
      </c>
      <c r="Y215" s="19">
        <f t="shared" si="9"/>
        <v>2.4623201511152044</v>
      </c>
      <c r="Z215" s="21">
        <v>721</v>
      </c>
      <c r="AA215" s="19">
        <f t="shared" si="10"/>
        <v>6.5806391372849493</v>
      </c>
      <c r="AB215" s="2">
        <v>11.7</v>
      </c>
      <c r="AC215" s="20">
        <v>3936.35</v>
      </c>
      <c r="AD215" s="19">
        <f t="shared" si="11"/>
        <v>8.2780091769829767</v>
      </c>
      <c r="AE215" s="4">
        <v>81.821799999999996</v>
      </c>
      <c r="AF215" s="1">
        <v>7.2137599999999997</v>
      </c>
      <c r="AG215" s="242">
        <v>1357.99</v>
      </c>
      <c r="AH215" s="242">
        <v>4.5</v>
      </c>
      <c r="AI215" s="245">
        <v>94.346999999999994</v>
      </c>
    </row>
    <row r="216" spans="1:35">
      <c r="A216" s="24">
        <v>20</v>
      </c>
      <c r="B216" s="28" t="s">
        <v>15</v>
      </c>
      <c r="C216" s="28" t="s">
        <v>14</v>
      </c>
      <c r="D216" s="23">
        <v>2015</v>
      </c>
      <c r="E216" s="239">
        <v>16.2</v>
      </c>
      <c r="F216">
        <v>32.102699999999999</v>
      </c>
      <c r="G216" s="17">
        <v>3600000000</v>
      </c>
      <c r="H216" s="242">
        <v>25481.9</v>
      </c>
      <c r="I216" s="4">
        <v>0.54</v>
      </c>
      <c r="J216" s="24">
        <v>13.973000000000001</v>
      </c>
      <c r="K216" s="26">
        <v>1.627</v>
      </c>
      <c r="L216" s="24">
        <v>271</v>
      </c>
      <c r="M216">
        <v>10.9</v>
      </c>
      <c r="N216" s="27">
        <v>65.099999999999994</v>
      </c>
      <c r="O216" s="26">
        <v>4.5999999999999996</v>
      </c>
      <c r="P216" s="25">
        <v>2.8</v>
      </c>
      <c r="Q216">
        <v>1</v>
      </c>
      <c r="R216">
        <v>2</v>
      </c>
      <c r="S216" s="14">
        <v>4474</v>
      </c>
      <c r="T216" s="224">
        <v>2.25</v>
      </c>
      <c r="U216" s="25">
        <v>117</v>
      </c>
      <c r="V216" s="24">
        <v>4136.3095999999996</v>
      </c>
      <c r="W216" s="22">
        <v>74.599999999999994</v>
      </c>
      <c r="X216" s="20">
        <v>13.973000000000001</v>
      </c>
      <c r="Y216" s="19">
        <f t="shared" si="9"/>
        <v>2.637126896098311</v>
      </c>
      <c r="Z216" s="21">
        <v>271</v>
      </c>
      <c r="AA216" s="19">
        <f t="shared" si="10"/>
        <v>5.602118820879701</v>
      </c>
      <c r="AB216" s="2">
        <v>10.9</v>
      </c>
      <c r="AC216" s="20">
        <v>4136.3100000000004</v>
      </c>
      <c r="AD216" s="19">
        <f t="shared" si="11"/>
        <v>8.3275593650236317</v>
      </c>
      <c r="AE216" s="4">
        <v>76.211600000000004</v>
      </c>
      <c r="AF216" s="1">
        <v>7.2376300000000002</v>
      </c>
      <c r="AG216" s="242">
        <v>1390.79</v>
      </c>
      <c r="AH216" s="242">
        <v>6</v>
      </c>
      <c r="AI216" s="245">
        <v>94.414000000000001</v>
      </c>
    </row>
    <row r="217" spans="1:35">
      <c r="A217" s="24">
        <v>20</v>
      </c>
      <c r="B217" s="28" t="s">
        <v>15</v>
      </c>
      <c r="C217" s="28" t="s">
        <v>14</v>
      </c>
      <c r="D217" s="23">
        <v>2016</v>
      </c>
      <c r="E217" s="239">
        <v>15.2</v>
      </c>
      <c r="F217">
        <v>23.084</v>
      </c>
      <c r="G217" s="17">
        <v>2800000000</v>
      </c>
      <c r="H217" s="242">
        <v>25920.9</v>
      </c>
      <c r="I217" s="4">
        <v>0.52</v>
      </c>
      <c r="J217" s="24">
        <v>11.981</v>
      </c>
      <c r="K217" s="26">
        <v>1.671</v>
      </c>
      <c r="L217" s="24">
        <v>305</v>
      </c>
      <c r="M217">
        <v>12.7</v>
      </c>
      <c r="N217" s="27">
        <v>103.4</v>
      </c>
      <c r="O217" s="26">
        <v>4.2</v>
      </c>
      <c r="P217" s="25">
        <v>0.3</v>
      </c>
      <c r="Q217">
        <v>1</v>
      </c>
      <c r="R217">
        <v>2.2999999999999998</v>
      </c>
      <c r="S217" s="14">
        <v>4749</v>
      </c>
      <c r="T217" s="224">
        <v>0</v>
      </c>
      <c r="U217" s="25">
        <v>124</v>
      </c>
      <c r="V217" s="24">
        <v>4247.5298000000003</v>
      </c>
      <c r="W217" s="22">
        <v>75.3</v>
      </c>
      <c r="X217" s="20">
        <v>11.981</v>
      </c>
      <c r="Y217" s="19">
        <f t="shared" si="9"/>
        <v>2.4833220616577618</v>
      </c>
      <c r="Z217" s="21">
        <v>305</v>
      </c>
      <c r="AA217" s="19">
        <f t="shared" si="10"/>
        <v>5.7203117766074119</v>
      </c>
      <c r="AB217" s="2">
        <v>12.7</v>
      </c>
      <c r="AC217" s="20">
        <v>4247.53</v>
      </c>
      <c r="AD217" s="19">
        <f t="shared" si="11"/>
        <v>8.3540929164993667</v>
      </c>
      <c r="AE217" s="4">
        <v>80.0779</v>
      </c>
      <c r="AF217" s="1">
        <v>7.26051</v>
      </c>
      <c r="AG217" s="242">
        <v>1422.99</v>
      </c>
      <c r="AH217" s="242">
        <v>9.1999999999999993</v>
      </c>
      <c r="AI217" s="245">
        <v>94.48</v>
      </c>
    </row>
    <row r="218" spans="1:35">
      <c r="A218" s="24">
        <v>20</v>
      </c>
      <c r="B218" s="28" t="s">
        <v>15</v>
      </c>
      <c r="C218" s="28" t="s">
        <v>14</v>
      </c>
      <c r="D218" s="23">
        <v>2017</v>
      </c>
      <c r="E218" s="239">
        <v>15.7</v>
      </c>
      <c r="F218">
        <v>299.82499999999999</v>
      </c>
      <c r="G218" s="17">
        <v>42000000000</v>
      </c>
      <c r="H218" s="242">
        <v>28492.3</v>
      </c>
      <c r="I218" s="4">
        <v>0.56000000000000005</v>
      </c>
      <c r="J218" s="24">
        <v>10.78</v>
      </c>
      <c r="K218" s="26">
        <v>2.1501000000000001</v>
      </c>
      <c r="L218" s="24">
        <v>343</v>
      </c>
      <c r="M218">
        <v>11.5</v>
      </c>
      <c r="N218" s="27">
        <v>72.099999999999994</v>
      </c>
      <c r="O218" s="26">
        <v>6.5</v>
      </c>
      <c r="P218" s="25">
        <v>2.9</v>
      </c>
      <c r="Q218">
        <v>1</v>
      </c>
      <c r="R218">
        <v>2.5</v>
      </c>
      <c r="S218" s="14">
        <v>4809</v>
      </c>
      <c r="T218" s="224">
        <v>0</v>
      </c>
      <c r="U218" s="25">
        <v>133</v>
      </c>
      <c r="V218" s="24">
        <v>5349.6162000000004</v>
      </c>
      <c r="W218" s="22">
        <v>77.099999999999994</v>
      </c>
      <c r="X218" s="20">
        <v>10.78</v>
      </c>
      <c r="Y218" s="19">
        <f t="shared" si="9"/>
        <v>2.3776925654808512</v>
      </c>
      <c r="Z218" s="21">
        <v>343</v>
      </c>
      <c r="AA218" s="19">
        <f t="shared" si="10"/>
        <v>5.8377304471659395</v>
      </c>
      <c r="AB218" s="2">
        <v>11.5</v>
      </c>
      <c r="AC218" s="20">
        <v>5349.62</v>
      </c>
      <c r="AD218" s="19">
        <f t="shared" si="11"/>
        <v>8.5847808093300593</v>
      </c>
      <c r="AE218" s="4">
        <v>62.529299999999999</v>
      </c>
      <c r="AF218" s="1">
        <v>7.2878999999999996</v>
      </c>
      <c r="AG218" s="242">
        <v>1462.5</v>
      </c>
      <c r="AH218" s="242">
        <v>7.3</v>
      </c>
      <c r="AI218" s="245">
        <v>94.546000000000006</v>
      </c>
    </row>
    <row r="219" spans="1:35">
      <c r="A219" s="24">
        <v>20</v>
      </c>
      <c r="B219" s="28" t="s">
        <v>15</v>
      </c>
      <c r="C219" s="28" t="s">
        <v>14</v>
      </c>
      <c r="D219" s="23">
        <v>2018</v>
      </c>
      <c r="E219" s="239">
        <v>16</v>
      </c>
      <c r="F219">
        <v>452.221</v>
      </c>
      <c r="G219" s="17">
        <v>73000000000</v>
      </c>
      <c r="H219" s="242">
        <v>29492.6</v>
      </c>
      <c r="I219" s="4">
        <v>0.53</v>
      </c>
      <c r="J219" s="24">
        <v>9.9980001000000005</v>
      </c>
      <c r="K219" s="26">
        <v>1.9567000000000001</v>
      </c>
      <c r="L219" s="24">
        <v>304</v>
      </c>
      <c r="M219">
        <v>10.4</v>
      </c>
      <c r="N219" s="27">
        <v>73.599999999999994</v>
      </c>
      <c r="O219" s="26">
        <v>8.3000000000000007</v>
      </c>
      <c r="P219" s="25">
        <v>0.1</v>
      </c>
      <c r="Q219">
        <v>1</v>
      </c>
      <c r="R219">
        <v>2.7</v>
      </c>
      <c r="S219" s="14">
        <v>4949</v>
      </c>
      <c r="T219" s="224">
        <v>0</v>
      </c>
      <c r="U219" s="25">
        <v>136</v>
      </c>
      <c r="V219" s="24">
        <v>4737.8915999999999</v>
      </c>
      <c r="W219" s="22">
        <v>75.099999999999994</v>
      </c>
      <c r="X219" s="20">
        <v>9.9979999999999993</v>
      </c>
      <c r="Y219" s="19">
        <f t="shared" si="9"/>
        <v>2.3023850729913784</v>
      </c>
      <c r="Z219" s="21">
        <v>304</v>
      </c>
      <c r="AA219" s="19">
        <f t="shared" si="10"/>
        <v>5.7170277014062219</v>
      </c>
      <c r="AB219" s="2">
        <v>10.4</v>
      </c>
      <c r="AC219" s="20">
        <v>4737.8900000000003</v>
      </c>
      <c r="AD219" s="19">
        <f t="shared" si="11"/>
        <v>8.4633471679021568</v>
      </c>
      <c r="AE219" s="4">
        <v>61.663600000000002</v>
      </c>
      <c r="AF219" s="1">
        <v>7.3228200000000001</v>
      </c>
      <c r="AG219" s="242">
        <v>1514.47</v>
      </c>
      <c r="AH219" s="242">
        <v>7.6</v>
      </c>
      <c r="AI219" s="245">
        <v>94.611999999999995</v>
      </c>
    </row>
    <row r="220" spans="1:35">
      <c r="A220" s="24">
        <v>20</v>
      </c>
      <c r="B220" s="28" t="s">
        <v>15</v>
      </c>
      <c r="C220" s="28" t="s">
        <v>14</v>
      </c>
      <c r="D220" s="23">
        <v>2019</v>
      </c>
      <c r="E220" s="239">
        <v>16.8</v>
      </c>
      <c r="F220">
        <v>198.2</v>
      </c>
      <c r="G220" s="17">
        <v>32000000000</v>
      </c>
      <c r="H220" s="242">
        <v>29513.9</v>
      </c>
      <c r="I220" s="4">
        <v>0.52</v>
      </c>
      <c r="J220" s="24">
        <v>10.988</v>
      </c>
      <c r="K220" s="26">
        <v>2.2004000000000001</v>
      </c>
      <c r="L220" s="24">
        <v>318</v>
      </c>
      <c r="M220">
        <v>9.1000004000000008</v>
      </c>
      <c r="N220" s="27">
        <v>59.8</v>
      </c>
      <c r="O220" s="26">
        <v>12.8</v>
      </c>
      <c r="P220" s="25">
        <v>0.3</v>
      </c>
      <c r="Q220">
        <v>1</v>
      </c>
      <c r="R220">
        <v>2.9</v>
      </c>
      <c r="S220" s="14">
        <v>5029</v>
      </c>
      <c r="T220" s="224">
        <v>0</v>
      </c>
      <c r="U220" s="25">
        <v>142</v>
      </c>
      <c r="V220" s="24">
        <v>12672.775</v>
      </c>
      <c r="W220" s="22">
        <v>70.099999999999994</v>
      </c>
      <c r="X220" s="20">
        <v>10.988</v>
      </c>
      <c r="Y220" s="19">
        <f t="shared" si="9"/>
        <v>2.3968037682330272</v>
      </c>
      <c r="Z220" s="21">
        <v>318</v>
      </c>
      <c r="AA220" s="19">
        <f t="shared" si="10"/>
        <v>5.7620513827801769</v>
      </c>
      <c r="AB220" s="2">
        <v>9.1</v>
      </c>
      <c r="AC220" s="20">
        <v>12672.8</v>
      </c>
      <c r="AD220" s="19">
        <f t="shared" si="11"/>
        <v>9.447213243374641</v>
      </c>
      <c r="AE220" s="4">
        <v>64.6721</v>
      </c>
      <c r="AF220" s="1">
        <v>7.3621299999999996</v>
      </c>
      <c r="AG220" s="242">
        <v>1575.19</v>
      </c>
      <c r="AH220" s="242">
        <v>7.4</v>
      </c>
      <c r="AI220" s="245">
        <v>94.677999999999997</v>
      </c>
    </row>
    <row r="221" spans="1:35">
      <c r="A221" s="24">
        <v>20</v>
      </c>
      <c r="B221" s="28" t="s">
        <v>15</v>
      </c>
      <c r="C221" s="28" t="s">
        <v>14</v>
      </c>
      <c r="D221" s="23">
        <v>2020</v>
      </c>
      <c r="E221" s="239">
        <v>17.2</v>
      </c>
      <c r="F221">
        <v>192.14099999999999</v>
      </c>
      <c r="G221" s="17">
        <v>31000000000</v>
      </c>
      <c r="H221" s="242">
        <v>27865.3</v>
      </c>
      <c r="I221" s="4">
        <v>0.53</v>
      </c>
      <c r="J221" s="24">
        <v>11.098000000000001</v>
      </c>
      <c r="K221" s="26">
        <v>1.8367</v>
      </c>
      <c r="L221" s="24">
        <v>320</v>
      </c>
      <c r="M221">
        <v>10.9</v>
      </c>
      <c r="N221" s="27">
        <v>58.3</v>
      </c>
      <c r="O221" s="26">
        <v>16.5</v>
      </c>
      <c r="P221" s="25">
        <v>0.2</v>
      </c>
      <c r="Q221">
        <v>1.2</v>
      </c>
      <c r="R221">
        <v>3</v>
      </c>
      <c r="S221" s="14">
        <v>4857</v>
      </c>
      <c r="T221" s="224">
        <v>0</v>
      </c>
      <c r="U221" s="25">
        <v>140</v>
      </c>
      <c r="V221" s="24">
        <v>12579.778</v>
      </c>
      <c r="W221" s="22">
        <v>69.3</v>
      </c>
      <c r="X221" s="20">
        <v>11.098000000000001</v>
      </c>
      <c r="Y221" s="19">
        <f t="shared" si="9"/>
        <v>2.4067649119037098</v>
      </c>
      <c r="Z221" s="21">
        <v>320</v>
      </c>
      <c r="AA221" s="19">
        <f t="shared" si="10"/>
        <v>5.768320995793772</v>
      </c>
      <c r="AB221" s="2">
        <v>10.9</v>
      </c>
      <c r="AC221" s="20">
        <v>12579.8</v>
      </c>
      <c r="AD221" s="19">
        <f t="shared" si="11"/>
        <v>9.4398476318768605</v>
      </c>
      <c r="AE221" s="4">
        <v>52.209499999999998</v>
      </c>
      <c r="AF221" s="1">
        <v>7.3842499999999998</v>
      </c>
      <c r="AG221" s="242">
        <v>1610.41</v>
      </c>
      <c r="AH221" s="242">
        <v>9.1999999999999993</v>
      </c>
      <c r="AI221" s="245">
        <v>94.744</v>
      </c>
    </row>
    <row r="222" spans="1:35">
      <c r="A222" s="24">
        <v>21</v>
      </c>
      <c r="B222" s="28" t="s">
        <v>13</v>
      </c>
      <c r="C222" s="28" t="s">
        <v>12</v>
      </c>
      <c r="D222" s="23">
        <v>2010</v>
      </c>
      <c r="E222" s="239">
        <v>25</v>
      </c>
      <c r="F222">
        <v>6.2507599999999996</v>
      </c>
      <c r="G222" s="17">
        <v>53000000000</v>
      </c>
      <c r="H222" s="242">
        <v>44659.3</v>
      </c>
      <c r="I222" s="4">
        <v>0.81</v>
      </c>
      <c r="J222" s="24">
        <v>11.702</v>
      </c>
      <c r="K222" s="26">
        <v>3.5455000000000001</v>
      </c>
      <c r="L222" s="24">
        <v>410</v>
      </c>
      <c r="M222">
        <v>49.200001</v>
      </c>
      <c r="N222" s="27">
        <v>79.900000000000006</v>
      </c>
      <c r="O222" s="26">
        <v>25.5</v>
      </c>
      <c r="P222" s="25">
        <v>19598.2</v>
      </c>
      <c r="S222" s="14">
        <v>97728</v>
      </c>
      <c r="T222" s="224">
        <v>0.68</v>
      </c>
      <c r="U222" s="25">
        <v>100</v>
      </c>
      <c r="V222" s="24">
        <v>10571.016</v>
      </c>
      <c r="W222" s="22">
        <v>72.3</v>
      </c>
      <c r="X222" s="20">
        <v>11.702</v>
      </c>
      <c r="Y222" s="19">
        <f t="shared" si="9"/>
        <v>2.4597597673660445</v>
      </c>
      <c r="Z222" s="21">
        <v>410</v>
      </c>
      <c r="AA222" s="19">
        <f t="shared" si="10"/>
        <v>6.0161571596983539</v>
      </c>
      <c r="AB222" s="2">
        <v>49.2</v>
      </c>
      <c r="AC222" s="20">
        <v>10571</v>
      </c>
      <c r="AD222" s="19">
        <f t="shared" si="11"/>
        <v>9.2658696817686632</v>
      </c>
      <c r="AE222" s="4">
        <v>127.94199999999999</v>
      </c>
      <c r="AF222" s="1">
        <v>6.1997</v>
      </c>
      <c r="AG222" s="242">
        <v>492.6</v>
      </c>
      <c r="AH222" s="242">
        <v>3.9</v>
      </c>
      <c r="AI222" s="245">
        <v>87.134</v>
      </c>
    </row>
    <row r="223" spans="1:35">
      <c r="A223" s="24">
        <v>21</v>
      </c>
      <c r="B223" s="28" t="s">
        <v>13</v>
      </c>
      <c r="C223" s="28" t="s">
        <v>12</v>
      </c>
      <c r="D223" s="23">
        <v>2011</v>
      </c>
      <c r="E223" s="239">
        <v>25.5</v>
      </c>
      <c r="F223">
        <v>38.813299999999998</v>
      </c>
      <c r="G223" s="17">
        <v>350000000000</v>
      </c>
      <c r="H223" s="242">
        <v>45239.7</v>
      </c>
      <c r="I223" s="4">
        <v>0.78</v>
      </c>
      <c r="J223" s="24">
        <v>11.914999999999999</v>
      </c>
      <c r="K223" s="26">
        <v>3.6305999999999998</v>
      </c>
      <c r="L223" s="24">
        <v>411</v>
      </c>
      <c r="M223">
        <v>49.099997999999999</v>
      </c>
      <c r="N223" s="27">
        <v>81.8</v>
      </c>
      <c r="O223" s="26">
        <v>25</v>
      </c>
      <c r="P223" s="25">
        <v>22106.2</v>
      </c>
      <c r="S223" s="14">
        <v>98805</v>
      </c>
      <c r="T223" s="224">
        <v>1.1100000000000001</v>
      </c>
      <c r="U223" s="25">
        <v>97</v>
      </c>
      <c r="V223" s="24">
        <v>10515.981</v>
      </c>
      <c r="W223" s="22">
        <v>72.5</v>
      </c>
      <c r="X223" s="20">
        <v>11.914999999999999</v>
      </c>
      <c r="Y223" s="19">
        <f t="shared" si="9"/>
        <v>2.4777981105507054</v>
      </c>
      <c r="Z223" s="21">
        <v>411</v>
      </c>
      <c r="AA223" s="19">
        <f t="shared" si="10"/>
        <v>6.0185932144962342</v>
      </c>
      <c r="AB223" s="2">
        <v>49.1</v>
      </c>
      <c r="AC223" s="20">
        <v>10516</v>
      </c>
      <c r="AD223" s="19">
        <f t="shared" si="11"/>
        <v>9.2606531858497725</v>
      </c>
      <c r="AE223" s="4">
        <v>138.14599999999999</v>
      </c>
      <c r="AF223" s="1">
        <v>6.2046599999999996</v>
      </c>
      <c r="AG223" s="242">
        <v>495.05</v>
      </c>
      <c r="AH223" s="242">
        <v>4.7</v>
      </c>
      <c r="AI223" s="245">
        <v>87.879000000000005</v>
      </c>
    </row>
    <row r="224" spans="1:35">
      <c r="A224" s="24">
        <v>21</v>
      </c>
      <c r="B224" s="28" t="s">
        <v>13</v>
      </c>
      <c r="C224" s="28" t="s">
        <v>12</v>
      </c>
      <c r="D224" s="23">
        <v>2012</v>
      </c>
      <c r="E224" s="239">
        <v>27</v>
      </c>
      <c r="F224">
        <v>30.700500000000002</v>
      </c>
      <c r="G224" s="17">
        <v>260000000000</v>
      </c>
      <c r="H224" s="242">
        <v>44631.9</v>
      </c>
      <c r="I224" s="4">
        <v>0.75</v>
      </c>
      <c r="J224" s="24">
        <v>10.426</v>
      </c>
      <c r="K224" s="26">
        <v>3.7286999999999999</v>
      </c>
      <c r="L224" s="24">
        <v>407</v>
      </c>
      <c r="M224">
        <v>49.400002000000001</v>
      </c>
      <c r="N224" s="27">
        <v>83</v>
      </c>
      <c r="O224" s="26">
        <v>26.3</v>
      </c>
      <c r="P224" s="25">
        <v>25925</v>
      </c>
      <c r="Q224">
        <v>0.7</v>
      </c>
      <c r="R224">
        <v>1.1000000000000001</v>
      </c>
      <c r="S224" s="14">
        <v>99896</v>
      </c>
      <c r="T224" s="224">
        <v>1.1100000000000001</v>
      </c>
      <c r="U224" s="25">
        <v>98</v>
      </c>
      <c r="V224" s="24">
        <v>10431.257</v>
      </c>
      <c r="W224" s="22">
        <v>73.400000000000006</v>
      </c>
      <c r="X224" s="20">
        <v>10.426</v>
      </c>
      <c r="Y224" s="19">
        <f t="shared" si="9"/>
        <v>2.3443026863459142</v>
      </c>
      <c r="Z224" s="21">
        <v>407</v>
      </c>
      <c r="AA224" s="19">
        <f t="shared" si="10"/>
        <v>6.0088131854425946</v>
      </c>
      <c r="AB224" s="2">
        <v>49.4</v>
      </c>
      <c r="AC224" s="20">
        <v>10431.299999999999</v>
      </c>
      <c r="AD224" s="19">
        <f t="shared" si="11"/>
        <v>9.2525661806880528</v>
      </c>
      <c r="AE224" s="4">
        <v>146.898</v>
      </c>
      <c r="AF224" s="1">
        <v>6.2083599999999999</v>
      </c>
      <c r="AG224" s="242">
        <v>496.88499999999999</v>
      </c>
      <c r="AH224" s="242">
        <v>4.9000000000000004</v>
      </c>
      <c r="AI224" s="245">
        <v>88.587999999999994</v>
      </c>
    </row>
    <row r="225" spans="1:35">
      <c r="A225" s="24">
        <v>21</v>
      </c>
      <c r="B225" s="28" t="s">
        <v>13</v>
      </c>
      <c r="C225" s="28" t="s">
        <v>12</v>
      </c>
      <c r="D225" s="23">
        <v>2013</v>
      </c>
      <c r="E225" s="239">
        <v>27</v>
      </c>
      <c r="F225">
        <v>35.131500000000003</v>
      </c>
      <c r="G225" s="17">
        <v>310000000000</v>
      </c>
      <c r="H225" s="242">
        <v>44487</v>
      </c>
      <c r="I225" s="4">
        <v>0.74</v>
      </c>
      <c r="J225" s="24">
        <v>9.5290002999999999</v>
      </c>
      <c r="K225" s="26">
        <v>3.9167000000000001</v>
      </c>
      <c r="L225" s="24">
        <v>439</v>
      </c>
      <c r="M225">
        <v>49.799999</v>
      </c>
      <c r="N225" s="27">
        <v>83.1</v>
      </c>
      <c r="O225" s="26">
        <v>26.8</v>
      </c>
      <c r="P225" s="25">
        <v>19481.2</v>
      </c>
      <c r="Q225">
        <v>0.7</v>
      </c>
      <c r="R225">
        <v>1.1000000000000001</v>
      </c>
      <c r="S225" s="14">
        <v>95338</v>
      </c>
      <c r="T225" s="224">
        <v>1.06</v>
      </c>
      <c r="U225" s="25">
        <v>102</v>
      </c>
      <c r="V225" s="24">
        <v>10750.746999999999</v>
      </c>
      <c r="W225" s="22">
        <v>73.3</v>
      </c>
      <c r="X225" s="20">
        <v>9.5289999999999999</v>
      </c>
      <c r="Y225" s="19">
        <f t="shared" si="9"/>
        <v>2.2543397803660512</v>
      </c>
      <c r="Z225" s="21">
        <v>439</v>
      </c>
      <c r="AA225" s="19">
        <f t="shared" si="10"/>
        <v>6.0844994130751715</v>
      </c>
      <c r="AB225" s="2">
        <v>49.8</v>
      </c>
      <c r="AC225" s="20">
        <v>10750.7</v>
      </c>
      <c r="AD225" s="19">
        <f t="shared" si="11"/>
        <v>9.2827261477149055</v>
      </c>
      <c r="AE225" s="4">
        <v>142.684</v>
      </c>
      <c r="AF225" s="1">
        <v>6.2122000000000002</v>
      </c>
      <c r="AG225" s="242">
        <v>498.79599999999999</v>
      </c>
      <c r="AH225" s="242">
        <v>5</v>
      </c>
      <c r="AI225" s="245">
        <v>89.186999999999998</v>
      </c>
    </row>
    <row r="226" spans="1:35">
      <c r="A226" s="24">
        <v>21</v>
      </c>
      <c r="B226" s="28" t="s">
        <v>13</v>
      </c>
      <c r="C226" s="28" t="s">
        <v>12</v>
      </c>
      <c r="D226" s="23">
        <v>2014</v>
      </c>
      <c r="E226" s="239">
        <v>26.2</v>
      </c>
      <c r="F226">
        <v>15.8698</v>
      </c>
      <c r="G226" s="17">
        <v>140000000000</v>
      </c>
      <c r="H226" s="242">
        <v>45042.1</v>
      </c>
      <c r="I226" s="4">
        <v>0.73</v>
      </c>
      <c r="J226" s="24">
        <v>9.2299994999999999</v>
      </c>
      <c r="K226" s="26">
        <v>3.9037000000000002</v>
      </c>
      <c r="L226" s="24">
        <v>478</v>
      </c>
      <c r="M226">
        <v>50.900002000000001</v>
      </c>
      <c r="N226" s="27">
        <v>82.4</v>
      </c>
      <c r="O226" s="26">
        <v>26.5</v>
      </c>
      <c r="P226" s="25">
        <v>17750.400000000001</v>
      </c>
      <c r="Q226">
        <v>0.7</v>
      </c>
      <c r="R226">
        <v>1</v>
      </c>
      <c r="S226" s="14">
        <v>92761</v>
      </c>
      <c r="T226" s="224">
        <v>1.32</v>
      </c>
      <c r="U226" s="25">
        <v>105</v>
      </c>
      <c r="V226" s="24">
        <v>10647.218999999999</v>
      </c>
      <c r="W226" s="22">
        <v>74.3</v>
      </c>
      <c r="X226" s="20">
        <v>9.23</v>
      </c>
      <c r="Y226" s="19">
        <f t="shared" si="9"/>
        <v>2.2224590485147608</v>
      </c>
      <c r="Z226" s="21">
        <v>478</v>
      </c>
      <c r="AA226" s="19">
        <f t="shared" si="10"/>
        <v>6.1696107324914564</v>
      </c>
      <c r="AB226" s="2">
        <v>50.9</v>
      </c>
      <c r="AC226" s="20">
        <v>10647.2</v>
      </c>
      <c r="AD226" s="19">
        <f t="shared" si="11"/>
        <v>9.2730522257723464</v>
      </c>
      <c r="AE226" s="4">
        <v>139.97800000000001</v>
      </c>
      <c r="AF226" s="1">
        <v>6.2157999999999998</v>
      </c>
      <c r="AG226" s="242">
        <v>500.59399999999999</v>
      </c>
      <c r="AH226" s="242">
        <v>5.6</v>
      </c>
      <c r="AI226" s="245">
        <v>89.69</v>
      </c>
    </row>
    <row r="227" spans="1:35">
      <c r="A227" s="24">
        <v>21</v>
      </c>
      <c r="B227" s="28" t="s">
        <v>13</v>
      </c>
      <c r="C227" s="28" t="s">
        <v>12</v>
      </c>
      <c r="D227" s="23">
        <v>2015</v>
      </c>
      <c r="E227" s="239">
        <v>27</v>
      </c>
      <c r="F227">
        <v>48.501100000000001</v>
      </c>
      <c r="G227" s="17">
        <v>380000000000</v>
      </c>
      <c r="H227" s="242">
        <v>45793.8</v>
      </c>
      <c r="I227" s="4">
        <v>0.72</v>
      </c>
      <c r="J227" s="24">
        <v>10.803000000000001</v>
      </c>
      <c r="K227" s="26">
        <v>3.8976000000000002</v>
      </c>
      <c r="L227" s="24">
        <v>461</v>
      </c>
      <c r="M227">
        <v>51.799999</v>
      </c>
      <c r="N227" s="27">
        <v>82.1</v>
      </c>
      <c r="O227" s="26">
        <v>26.7</v>
      </c>
      <c r="P227" s="25">
        <v>27479.5</v>
      </c>
      <c r="Q227">
        <v>1</v>
      </c>
      <c r="R227">
        <v>1</v>
      </c>
      <c r="S227" s="14">
        <v>95504</v>
      </c>
      <c r="T227" s="224">
        <v>1.41</v>
      </c>
      <c r="U227" s="25">
        <v>106</v>
      </c>
      <c r="V227" s="24">
        <v>10424.392</v>
      </c>
      <c r="W227" s="22">
        <v>77.099999999999994</v>
      </c>
      <c r="X227" s="20">
        <v>10.803000000000001</v>
      </c>
      <c r="Y227" s="19">
        <f t="shared" si="9"/>
        <v>2.379823873334848</v>
      </c>
      <c r="Z227" s="21">
        <v>461</v>
      </c>
      <c r="AA227" s="19">
        <f t="shared" si="10"/>
        <v>6.1333980429966486</v>
      </c>
      <c r="AB227" s="2">
        <v>51.8</v>
      </c>
      <c r="AC227" s="20">
        <v>10424.4</v>
      </c>
      <c r="AD227" s="19">
        <f t="shared" si="11"/>
        <v>9.2519044910538746</v>
      </c>
      <c r="AE227" s="4">
        <v>139.55000000000001</v>
      </c>
      <c r="AF227" s="1">
        <v>6.2208199999999998</v>
      </c>
      <c r="AG227" s="242">
        <v>503.11599999999999</v>
      </c>
      <c r="AH227" s="242">
        <v>5.8</v>
      </c>
      <c r="AI227" s="245">
        <v>90.173000000000002</v>
      </c>
    </row>
    <row r="228" spans="1:35">
      <c r="A228" s="24">
        <v>21</v>
      </c>
      <c r="B228" s="28" t="s">
        <v>13</v>
      </c>
      <c r="C228" s="28" t="s">
        <v>12</v>
      </c>
      <c r="D228" s="23">
        <v>2016</v>
      </c>
      <c r="E228" s="239">
        <v>25.9</v>
      </c>
      <c r="F228">
        <v>34.567799999999998</v>
      </c>
      <c r="G228" s="17">
        <v>280000000000</v>
      </c>
      <c r="H228" s="242">
        <v>46655</v>
      </c>
      <c r="I228" s="4">
        <v>0.73</v>
      </c>
      <c r="J228" s="24">
        <v>8.3210000999999991</v>
      </c>
      <c r="K228" s="26">
        <v>4.3448000000000002</v>
      </c>
      <c r="L228" s="24">
        <v>464</v>
      </c>
      <c r="M228">
        <v>53.5</v>
      </c>
      <c r="N228" s="27">
        <v>80.900000000000006</v>
      </c>
      <c r="O228" s="26">
        <v>29</v>
      </c>
      <c r="P228" s="25">
        <v>24224.9</v>
      </c>
      <c r="Q228">
        <v>0.9</v>
      </c>
      <c r="R228">
        <v>1.1000000000000001</v>
      </c>
      <c r="S228" s="14">
        <v>97501</v>
      </c>
      <c r="T228" s="224">
        <v>1.42</v>
      </c>
      <c r="U228" s="25">
        <v>109</v>
      </c>
      <c r="V228" s="24">
        <v>10047.965</v>
      </c>
      <c r="W228" s="22">
        <v>78.099999999999994</v>
      </c>
      <c r="X228" s="20">
        <v>8.3209999999999997</v>
      </c>
      <c r="Y228" s="19">
        <f t="shared" si="9"/>
        <v>2.1187824399182928</v>
      </c>
      <c r="Z228" s="21">
        <v>464</v>
      </c>
      <c r="AA228" s="19">
        <f t="shared" si="10"/>
        <v>6.1398845522262553</v>
      </c>
      <c r="AB228" s="2">
        <v>53.5</v>
      </c>
      <c r="AC228" s="20">
        <v>10048</v>
      </c>
      <c r="AD228" s="19">
        <f t="shared" si="11"/>
        <v>9.2151288887079801</v>
      </c>
      <c r="AE228" s="4">
        <v>134.40199999999999</v>
      </c>
      <c r="AF228" s="1">
        <v>6.22614</v>
      </c>
      <c r="AG228" s="242">
        <v>505.80099999999999</v>
      </c>
      <c r="AH228" s="242">
        <v>5.6</v>
      </c>
      <c r="AI228" s="245">
        <v>90.635000000000005</v>
      </c>
    </row>
    <row r="229" spans="1:35">
      <c r="A229" s="24">
        <v>21</v>
      </c>
      <c r="B229" s="28" t="s">
        <v>13</v>
      </c>
      <c r="C229" s="28" t="s">
        <v>12</v>
      </c>
      <c r="D229" s="23">
        <v>2017</v>
      </c>
      <c r="E229" s="239">
        <v>26.7</v>
      </c>
      <c r="F229">
        <v>23.520199999999999</v>
      </c>
      <c r="G229" s="17">
        <v>200000000000</v>
      </c>
      <c r="H229" s="242">
        <v>47670.1</v>
      </c>
      <c r="I229" s="4">
        <v>0.75</v>
      </c>
      <c r="J229" s="24">
        <v>7.9310001999999997</v>
      </c>
      <c r="K229" s="26">
        <v>4.0293999999999999</v>
      </c>
      <c r="L229" s="24">
        <v>533</v>
      </c>
      <c r="M229">
        <v>54.599997999999999</v>
      </c>
      <c r="N229" s="27">
        <v>81.599999999999994</v>
      </c>
      <c r="O229" s="26">
        <v>26.7</v>
      </c>
      <c r="P229" s="25">
        <v>34742.199999999997</v>
      </c>
      <c r="Q229">
        <v>0.8</v>
      </c>
      <c r="R229">
        <v>1.1000000000000001</v>
      </c>
      <c r="S229" s="14">
        <v>101143</v>
      </c>
      <c r="T229" s="224">
        <v>1.43</v>
      </c>
      <c r="U229" s="25">
        <v>111</v>
      </c>
      <c r="V229" s="24">
        <v>9810.5889000000006</v>
      </c>
      <c r="W229" s="22">
        <v>78.8</v>
      </c>
      <c r="X229" s="20">
        <v>7.931</v>
      </c>
      <c r="Y229" s="19">
        <f t="shared" si="9"/>
        <v>2.0707791311011827</v>
      </c>
      <c r="Z229" s="21">
        <v>533</v>
      </c>
      <c r="AA229" s="19">
        <f t="shared" si="10"/>
        <v>6.2785214241658442</v>
      </c>
      <c r="AB229" s="2">
        <v>54.6</v>
      </c>
      <c r="AC229" s="20">
        <v>9810.59</v>
      </c>
      <c r="AD229" s="19">
        <f t="shared" si="11"/>
        <v>9.191217693462427</v>
      </c>
      <c r="AE229" s="4">
        <v>144.619</v>
      </c>
      <c r="AF229" s="1">
        <v>6.2320599999999997</v>
      </c>
      <c r="AG229" s="242">
        <v>508.8</v>
      </c>
      <c r="AH229" s="242">
        <v>6.4</v>
      </c>
      <c r="AI229" s="245">
        <v>91.076999999999998</v>
      </c>
    </row>
    <row r="230" spans="1:35">
      <c r="A230" s="24">
        <v>21</v>
      </c>
      <c r="B230" s="28" t="s">
        <v>13</v>
      </c>
      <c r="C230" s="28" t="s">
        <v>12</v>
      </c>
      <c r="D230" s="23">
        <v>2018</v>
      </c>
      <c r="E230" s="239">
        <v>27</v>
      </c>
      <c r="F230">
        <v>-30.7775</v>
      </c>
      <c r="G230" s="17">
        <v>-290000000000</v>
      </c>
      <c r="H230" s="242">
        <v>48463</v>
      </c>
      <c r="I230" s="4">
        <v>0.74</v>
      </c>
      <c r="J230" s="24">
        <v>9.0010004000000006</v>
      </c>
      <c r="K230" s="26">
        <v>3.9192999999999998</v>
      </c>
      <c r="L230" s="24">
        <v>540</v>
      </c>
      <c r="M230">
        <v>55.900002000000001</v>
      </c>
      <c r="N230" s="27">
        <v>75.599999999999994</v>
      </c>
      <c r="O230" s="26">
        <v>25.8</v>
      </c>
      <c r="P230" s="25">
        <v>41549.9</v>
      </c>
      <c r="Q230">
        <v>1</v>
      </c>
      <c r="R230">
        <v>1.1000000000000001</v>
      </c>
      <c r="S230" s="14">
        <v>105760</v>
      </c>
      <c r="T230" s="224">
        <v>1.94</v>
      </c>
      <c r="U230" s="25">
        <v>116</v>
      </c>
      <c r="V230" s="24">
        <v>8679.0342000000001</v>
      </c>
      <c r="W230" s="22">
        <v>80.400000000000006</v>
      </c>
      <c r="X230" s="20">
        <v>9.0009999999999994</v>
      </c>
      <c r="Y230" s="19">
        <f t="shared" si="9"/>
        <v>2.1973356822749484</v>
      </c>
      <c r="Z230" s="21">
        <v>540</v>
      </c>
      <c r="AA230" s="19">
        <f t="shared" si="10"/>
        <v>6.2915691395583204</v>
      </c>
      <c r="AB230" s="2">
        <v>55.9</v>
      </c>
      <c r="AC230" s="20">
        <v>8679.0300000000007</v>
      </c>
      <c r="AD230" s="19">
        <f t="shared" si="11"/>
        <v>9.0686650502576978</v>
      </c>
      <c r="AE230" s="4">
        <v>147.59100000000001</v>
      </c>
      <c r="AF230" s="1">
        <v>6.2378900000000002</v>
      </c>
      <c r="AG230" s="242">
        <v>511.78</v>
      </c>
      <c r="AH230" s="242">
        <v>7.4</v>
      </c>
      <c r="AI230" s="245">
        <v>91.49</v>
      </c>
    </row>
    <row r="231" spans="1:35">
      <c r="A231" s="24">
        <v>21</v>
      </c>
      <c r="B231" s="28" t="s">
        <v>13</v>
      </c>
      <c r="C231" s="28" t="s">
        <v>12</v>
      </c>
      <c r="D231" s="23">
        <v>2019</v>
      </c>
      <c r="E231" s="239">
        <v>27.7</v>
      </c>
      <c r="F231">
        <v>-13.673999999999999</v>
      </c>
      <c r="G231" s="17">
        <v>-130000000000</v>
      </c>
      <c r="H231" s="242">
        <v>49254</v>
      </c>
      <c r="I231" s="4">
        <v>0.73</v>
      </c>
      <c r="J231" s="24">
        <v>9.2959995000000006</v>
      </c>
      <c r="K231" s="26">
        <v>4.1224999999999996</v>
      </c>
      <c r="L231" s="24">
        <v>541</v>
      </c>
      <c r="M231">
        <v>56.900002000000001</v>
      </c>
      <c r="N231" s="27">
        <v>69.599999999999994</v>
      </c>
      <c r="O231" s="26">
        <v>25.6</v>
      </c>
      <c r="P231" s="25">
        <v>35751.1</v>
      </c>
      <c r="Q231">
        <v>1.1000000000000001</v>
      </c>
      <c r="R231">
        <v>1.1000000000000001</v>
      </c>
      <c r="S231" s="14">
        <v>108283</v>
      </c>
      <c r="T231" s="224">
        <v>1.93</v>
      </c>
      <c r="U231" s="25">
        <v>117</v>
      </c>
      <c r="V231" s="24">
        <v>7547.4795000000004</v>
      </c>
      <c r="W231" s="22">
        <v>80.599999999999994</v>
      </c>
      <c r="X231" s="20">
        <v>9.2959999999999994</v>
      </c>
      <c r="Y231" s="19">
        <f t="shared" si="9"/>
        <v>2.2295842001095552</v>
      </c>
      <c r="Z231" s="21">
        <v>541</v>
      </c>
      <c r="AA231" s="19">
        <f t="shared" si="10"/>
        <v>6.2934192788464811</v>
      </c>
      <c r="AB231" s="2">
        <v>56.9</v>
      </c>
      <c r="AC231" s="20"/>
      <c r="AD231" s="19" t="e">
        <f t="shared" si="11"/>
        <v>#NUM!</v>
      </c>
      <c r="AE231" s="4">
        <v>144.71600000000001</v>
      </c>
      <c r="AF231" s="1">
        <v>6.24444</v>
      </c>
      <c r="AG231" s="242">
        <v>515.14300000000003</v>
      </c>
      <c r="AH231" s="242">
        <v>8.6</v>
      </c>
      <c r="AI231" s="245">
        <v>91.876000000000005</v>
      </c>
    </row>
    <row r="232" spans="1:35">
      <c r="A232" s="24">
        <v>21</v>
      </c>
      <c r="B232" s="28" t="s">
        <v>13</v>
      </c>
      <c r="C232" s="28" t="s">
        <v>12</v>
      </c>
      <c r="D232" s="23">
        <v>2020</v>
      </c>
      <c r="E232" s="239">
        <v>28.3</v>
      </c>
      <c r="F232">
        <v>-23.709499999999998</v>
      </c>
      <c r="G232" s="17">
        <v>-220000000000</v>
      </c>
      <c r="H232" s="242">
        <v>47086.6</v>
      </c>
      <c r="I232" s="4">
        <v>0.72</v>
      </c>
      <c r="J232" s="24">
        <v>9.2639999</v>
      </c>
      <c r="K232" s="26">
        <v>4.3422000000000001</v>
      </c>
      <c r="L232" s="24">
        <v>580</v>
      </c>
      <c r="M232">
        <v>56.900002000000001</v>
      </c>
      <c r="N232" s="27">
        <v>74</v>
      </c>
      <c r="O232" s="26">
        <v>27.1</v>
      </c>
      <c r="P232" s="25">
        <v>39992.400000000001</v>
      </c>
      <c r="Q232">
        <v>1</v>
      </c>
      <c r="R232">
        <v>1.1000000000000001</v>
      </c>
      <c r="S232" s="14">
        <v>104905</v>
      </c>
      <c r="T232" s="224">
        <v>0.76</v>
      </c>
      <c r="U232" s="25">
        <v>109</v>
      </c>
      <c r="V232" s="24">
        <v>6415.9247999999998</v>
      </c>
      <c r="W232" s="22">
        <v>81</v>
      </c>
      <c r="X232" s="20">
        <v>9.2639999999999993</v>
      </c>
      <c r="Y232" s="19">
        <f t="shared" si="9"/>
        <v>2.2261359208306395</v>
      </c>
      <c r="Z232" s="21">
        <v>580</v>
      </c>
      <c r="AA232" s="19">
        <f t="shared" si="10"/>
        <v>6.363028103540465</v>
      </c>
      <c r="AB232" s="2">
        <v>56.9</v>
      </c>
      <c r="AC232" s="20"/>
      <c r="AD232" s="19" t="e">
        <f t="shared" si="11"/>
        <v>#NUM!</v>
      </c>
      <c r="AE232" s="4">
        <v>136.155</v>
      </c>
      <c r="AF232" s="1">
        <v>6.25</v>
      </c>
      <c r="AG232" s="242">
        <v>518.01300000000003</v>
      </c>
      <c r="AH232" s="242">
        <v>10.7</v>
      </c>
      <c r="AI232" s="245">
        <v>92.236000000000004</v>
      </c>
    </row>
    <row r="233" spans="1:35">
      <c r="A233" s="24">
        <v>22</v>
      </c>
      <c r="B233" s="28" t="s">
        <v>11</v>
      </c>
      <c r="C233" s="28" t="s">
        <v>10</v>
      </c>
      <c r="D233" s="23">
        <v>2010</v>
      </c>
      <c r="E233" s="239">
        <v>17.5</v>
      </c>
      <c r="F233">
        <v>3.94489</v>
      </c>
      <c r="G233" s="17">
        <v>19000000000</v>
      </c>
      <c r="H233" s="242">
        <v>10808.4</v>
      </c>
      <c r="I233" s="4">
        <v>0.45</v>
      </c>
      <c r="J233" s="24">
        <v>15.673</v>
      </c>
      <c r="K233" s="26">
        <v>0.58730000000000004</v>
      </c>
      <c r="L233" s="24">
        <v>629</v>
      </c>
      <c r="M233">
        <v>16.299999</v>
      </c>
      <c r="N233" s="27">
        <v>78.400000000000006</v>
      </c>
      <c r="O233" s="26">
        <v>11.1</v>
      </c>
      <c r="P233" s="25">
        <v>556.4</v>
      </c>
      <c r="S233" s="14">
        <v>371159</v>
      </c>
      <c r="T233" s="224">
        <v>0.91</v>
      </c>
      <c r="U233" s="25">
        <v>100</v>
      </c>
      <c r="V233" s="24">
        <v>9139.2353999999996</v>
      </c>
      <c r="W233" s="22">
        <v>16.899999999999999</v>
      </c>
      <c r="X233" s="20">
        <v>15.673</v>
      </c>
      <c r="Y233" s="19">
        <f t="shared" si="9"/>
        <v>2.7519394866719309</v>
      </c>
      <c r="Z233" s="21">
        <v>629</v>
      </c>
      <c r="AA233" s="19">
        <f t="shared" si="10"/>
        <v>6.444131256700441</v>
      </c>
      <c r="AB233" s="2">
        <v>16.3</v>
      </c>
      <c r="AC233" s="20">
        <v>9139.24</v>
      </c>
      <c r="AD233" s="19">
        <f t="shared" si="11"/>
        <v>9.1203325100062784</v>
      </c>
      <c r="AE233" s="4">
        <v>70.647300000000001</v>
      </c>
      <c r="AF233" s="1">
        <v>4.8219700000000003</v>
      </c>
      <c r="AG233" s="242">
        <v>124.209</v>
      </c>
      <c r="AH233" s="242">
        <v>9.5</v>
      </c>
      <c r="AI233" s="245">
        <v>60.892000000000003</v>
      </c>
    </row>
    <row r="234" spans="1:35">
      <c r="A234" s="24">
        <v>22</v>
      </c>
      <c r="B234" s="28" t="s">
        <v>11</v>
      </c>
      <c r="C234" s="28" t="s">
        <v>10</v>
      </c>
      <c r="D234" s="23">
        <v>2011</v>
      </c>
      <c r="E234" s="239">
        <v>19</v>
      </c>
      <c r="F234">
        <v>3.5712899999999999</v>
      </c>
      <c r="G234" s="17">
        <v>19000000000</v>
      </c>
      <c r="H234" s="242">
        <v>11370.3</v>
      </c>
      <c r="I234" s="4">
        <v>0.48</v>
      </c>
      <c r="J234" s="24">
        <v>19.528998999999999</v>
      </c>
      <c r="K234" s="26">
        <v>0.498</v>
      </c>
      <c r="L234" s="24">
        <v>643</v>
      </c>
      <c r="M234">
        <v>11.4</v>
      </c>
      <c r="N234" s="27">
        <v>90</v>
      </c>
      <c r="O234" s="26">
        <v>9.4</v>
      </c>
      <c r="P234" s="25">
        <v>1331.9</v>
      </c>
      <c r="S234" s="14">
        <v>380152</v>
      </c>
      <c r="T234" s="224">
        <v>0.97</v>
      </c>
      <c r="U234" s="25">
        <v>100</v>
      </c>
      <c r="V234" s="24">
        <v>9072.0234</v>
      </c>
      <c r="W234" s="22">
        <v>15.3</v>
      </c>
      <c r="X234" s="20">
        <v>19.529</v>
      </c>
      <c r="Y234" s="19">
        <f t="shared" si="9"/>
        <v>2.9719005403006453</v>
      </c>
      <c r="Z234" s="21">
        <v>643</v>
      </c>
      <c r="AA234" s="19">
        <f t="shared" si="10"/>
        <v>6.4661447242376191</v>
      </c>
      <c r="AB234" s="2">
        <v>11.4</v>
      </c>
      <c r="AC234" s="20">
        <v>9072.02</v>
      </c>
      <c r="AD234" s="19">
        <f t="shared" si="11"/>
        <v>9.1129502305506414</v>
      </c>
      <c r="AE234" s="4">
        <v>75.645399999999995</v>
      </c>
      <c r="AF234" s="1">
        <v>4.8226699999999996</v>
      </c>
      <c r="AG234" s="242">
        <v>124.29600000000001</v>
      </c>
      <c r="AH234" s="242">
        <v>10.4</v>
      </c>
      <c r="AI234" s="245">
        <v>60.78</v>
      </c>
    </row>
    <row r="235" spans="1:35">
      <c r="A235" s="24">
        <v>22</v>
      </c>
      <c r="B235" s="28" t="s">
        <v>11</v>
      </c>
      <c r="C235" s="28" t="s">
        <v>10</v>
      </c>
      <c r="D235" s="23">
        <v>2012</v>
      </c>
      <c r="E235" s="239">
        <v>20.5</v>
      </c>
      <c r="F235">
        <v>1.5288600000000001</v>
      </c>
      <c r="G235" s="17">
        <v>7600000000</v>
      </c>
      <c r="H235" s="242">
        <v>11542.2</v>
      </c>
      <c r="I235" s="4">
        <v>0.46</v>
      </c>
      <c r="J235" s="24">
        <v>16.399000000000001</v>
      </c>
      <c r="K235" s="26">
        <v>0.58960000000000001</v>
      </c>
      <c r="L235" s="24">
        <v>643</v>
      </c>
      <c r="M235">
        <v>12</v>
      </c>
      <c r="N235" s="27">
        <v>76.3</v>
      </c>
      <c r="O235" s="26">
        <v>11</v>
      </c>
      <c r="P235" s="25">
        <v>217.5</v>
      </c>
      <c r="Q235">
        <v>0.5</v>
      </c>
      <c r="R235">
        <v>1.9</v>
      </c>
      <c r="S235" s="14">
        <v>387443</v>
      </c>
      <c r="T235" s="224">
        <v>1.46</v>
      </c>
      <c r="U235" s="25">
        <v>100</v>
      </c>
      <c r="V235" s="24">
        <v>8864.9326000000001</v>
      </c>
      <c r="W235" s="22">
        <v>16.2</v>
      </c>
      <c r="X235" s="20">
        <v>16.399000000000001</v>
      </c>
      <c r="Y235" s="19">
        <f t="shared" si="9"/>
        <v>2.7972203573613088</v>
      </c>
      <c r="Z235" s="21">
        <v>643</v>
      </c>
      <c r="AA235" s="19">
        <f t="shared" si="10"/>
        <v>6.4661447242376191</v>
      </c>
      <c r="AB235" s="2">
        <v>12</v>
      </c>
      <c r="AC235" s="20">
        <v>8864.93</v>
      </c>
      <c r="AD235" s="19">
        <f t="shared" si="11"/>
        <v>9.0898583222560383</v>
      </c>
      <c r="AE235" s="4">
        <v>77.172499999999999</v>
      </c>
      <c r="AF235" s="1">
        <v>4.8227000000000002</v>
      </c>
      <c r="AG235" s="242">
        <v>124.3</v>
      </c>
      <c r="AH235" s="242">
        <v>10.9</v>
      </c>
      <c r="AI235" s="245">
        <v>60.654000000000003</v>
      </c>
    </row>
    <row r="236" spans="1:35">
      <c r="A236" s="24">
        <v>22</v>
      </c>
      <c r="B236" s="28" t="s">
        <v>11</v>
      </c>
      <c r="C236" s="28" t="s">
        <v>10</v>
      </c>
      <c r="D236" s="23">
        <v>2013</v>
      </c>
      <c r="E236" s="239">
        <v>20.5</v>
      </c>
      <c r="F236">
        <v>0.25898300000000002</v>
      </c>
      <c r="G236" s="17">
        <v>1300000000</v>
      </c>
      <c r="H236" s="242">
        <v>11628.2</v>
      </c>
      <c r="I236" s="4">
        <v>0.46</v>
      </c>
      <c r="J236" s="24">
        <v>15.401999999999999</v>
      </c>
      <c r="K236" s="26">
        <v>0.62360000000000004</v>
      </c>
      <c r="L236" s="24">
        <v>667</v>
      </c>
      <c r="M236">
        <v>15.1</v>
      </c>
      <c r="N236" s="27">
        <v>75.599999999999994</v>
      </c>
      <c r="O236" s="26">
        <v>12.2</v>
      </c>
      <c r="P236" s="25">
        <v>288.8</v>
      </c>
      <c r="Q236">
        <v>0.5</v>
      </c>
      <c r="R236">
        <v>2</v>
      </c>
      <c r="S236" s="14">
        <v>399380</v>
      </c>
      <c r="T236" s="224">
        <v>0.97</v>
      </c>
      <c r="U236" s="25">
        <v>100</v>
      </c>
      <c r="V236" s="24">
        <v>8943.4727000000003</v>
      </c>
      <c r="W236" s="22">
        <v>16</v>
      </c>
      <c r="X236" s="20">
        <v>15.401999999999999</v>
      </c>
      <c r="Y236" s="19">
        <f t="shared" si="9"/>
        <v>2.7344973711170582</v>
      </c>
      <c r="Z236" s="21">
        <v>667</v>
      </c>
      <c r="AA236" s="19">
        <f t="shared" si="10"/>
        <v>6.5027900459156234</v>
      </c>
      <c r="AB236" s="2">
        <v>15.1</v>
      </c>
      <c r="AC236" s="20">
        <v>8943.4699999999993</v>
      </c>
      <c r="AD236" s="19">
        <f t="shared" si="11"/>
        <v>9.098678936036217</v>
      </c>
      <c r="AE236" s="4">
        <v>79.623099999999994</v>
      </c>
      <c r="AF236" s="1">
        <v>4.8221299999999996</v>
      </c>
      <c r="AG236" s="242">
        <v>124.229</v>
      </c>
      <c r="AH236" s="242">
        <v>11.4</v>
      </c>
      <c r="AI236" s="245">
        <v>60.529000000000003</v>
      </c>
    </row>
    <row r="237" spans="1:35">
      <c r="A237" s="24">
        <v>22</v>
      </c>
      <c r="B237" s="28" t="s">
        <v>11</v>
      </c>
      <c r="C237" s="28" t="s">
        <v>10</v>
      </c>
      <c r="D237" s="23">
        <v>2014</v>
      </c>
      <c r="E237" s="239">
        <v>20.2</v>
      </c>
      <c r="F237">
        <v>3.8508900000000001</v>
      </c>
      <c r="G237" s="17">
        <v>21000000000</v>
      </c>
      <c r="H237" s="242">
        <v>12093.2</v>
      </c>
      <c r="I237" s="4">
        <v>0.45</v>
      </c>
      <c r="J237" s="24">
        <v>15.516999999999999</v>
      </c>
      <c r="K237" s="26">
        <v>0.65339999999999998</v>
      </c>
      <c r="L237" s="24">
        <v>673</v>
      </c>
      <c r="M237">
        <v>26.5</v>
      </c>
      <c r="N237" s="27">
        <v>73.5</v>
      </c>
      <c r="O237" s="26">
        <v>13</v>
      </c>
      <c r="P237" s="25">
        <v>466.6</v>
      </c>
      <c r="Q237">
        <v>0.6</v>
      </c>
      <c r="R237">
        <v>2</v>
      </c>
      <c r="S237" s="14">
        <v>398677</v>
      </c>
      <c r="T237" s="224">
        <v>0.74</v>
      </c>
      <c r="U237" s="25">
        <v>105</v>
      </c>
      <c r="V237" s="24">
        <v>9228.9053000000004</v>
      </c>
      <c r="W237" s="22">
        <v>17</v>
      </c>
      <c r="X237" s="20">
        <v>15.516999999999999</v>
      </c>
      <c r="Y237" s="19">
        <f t="shared" si="9"/>
        <v>2.7419361971013467</v>
      </c>
      <c r="Z237" s="21">
        <v>673</v>
      </c>
      <c r="AA237" s="19">
        <f t="shared" si="10"/>
        <v>6.5117453296447279</v>
      </c>
      <c r="AB237" s="2">
        <v>26.5</v>
      </c>
      <c r="AC237" s="20">
        <v>9228.91</v>
      </c>
      <c r="AD237" s="19">
        <f t="shared" si="11"/>
        <v>9.1300962273489183</v>
      </c>
      <c r="AE237" s="4">
        <v>81.8262</v>
      </c>
      <c r="AF237" s="1">
        <v>4.8214399999999999</v>
      </c>
      <c r="AG237" s="242">
        <v>124.14400000000001</v>
      </c>
      <c r="AH237" s="242">
        <v>11.6</v>
      </c>
      <c r="AI237" s="245">
        <v>60.402999999999999</v>
      </c>
    </row>
    <row r="238" spans="1:35">
      <c r="A238" s="24">
        <v>22</v>
      </c>
      <c r="B238" s="28" t="s">
        <v>11</v>
      </c>
      <c r="C238" s="28" t="s">
        <v>10</v>
      </c>
      <c r="D238" s="23">
        <v>2015</v>
      </c>
      <c r="E238" s="239">
        <v>20.9</v>
      </c>
      <c r="F238">
        <v>3.2954599999999998</v>
      </c>
      <c r="G238" s="17">
        <v>16000000000</v>
      </c>
      <c r="H238" s="242">
        <v>12637.5</v>
      </c>
      <c r="I238" s="4">
        <v>0.46</v>
      </c>
      <c r="J238" s="24">
        <v>15.577</v>
      </c>
      <c r="K238" s="26">
        <v>0.68720000000000003</v>
      </c>
      <c r="L238" s="24">
        <v>697</v>
      </c>
      <c r="M238">
        <v>32.5</v>
      </c>
      <c r="N238" s="27">
        <v>69.7</v>
      </c>
      <c r="O238" s="26">
        <v>11.9</v>
      </c>
      <c r="P238" s="25">
        <v>484.5</v>
      </c>
      <c r="Q238">
        <v>0.7</v>
      </c>
      <c r="R238">
        <v>1.9</v>
      </c>
      <c r="S238" s="14">
        <v>418033</v>
      </c>
      <c r="T238" s="224">
        <v>1.83</v>
      </c>
      <c r="U238" s="25">
        <v>108</v>
      </c>
      <c r="V238" s="24">
        <v>9703.5810999999994</v>
      </c>
      <c r="W238" s="22">
        <v>17.600000000000001</v>
      </c>
      <c r="X238" s="20">
        <v>15.577</v>
      </c>
      <c r="Y238" s="19">
        <f t="shared" si="9"/>
        <v>2.7457954673444687</v>
      </c>
      <c r="Z238" s="21">
        <v>697</v>
      </c>
      <c r="AA238" s="19">
        <f t="shared" si="10"/>
        <v>6.5467854107605241</v>
      </c>
      <c r="AB238" s="2">
        <v>32.5</v>
      </c>
      <c r="AC238" s="20">
        <v>9703.58</v>
      </c>
      <c r="AD238" s="19">
        <f t="shared" si="11"/>
        <v>9.1802501685660438</v>
      </c>
      <c r="AE238" s="4">
        <v>82.406800000000004</v>
      </c>
      <c r="AF238" s="1">
        <v>4.8207800000000001</v>
      </c>
      <c r="AG238" s="242">
        <v>124.062</v>
      </c>
      <c r="AH238" s="242">
        <v>11.9</v>
      </c>
      <c r="AI238" s="245">
        <v>60.277999999999999</v>
      </c>
    </row>
    <row r="239" spans="1:35">
      <c r="A239" s="24">
        <v>22</v>
      </c>
      <c r="B239" s="28" t="s">
        <v>11</v>
      </c>
      <c r="C239" s="28" t="s">
        <v>10</v>
      </c>
      <c r="D239" s="23">
        <v>2016</v>
      </c>
      <c r="E239" s="239">
        <v>19.600000000000001</v>
      </c>
      <c r="F239">
        <v>3.81609</v>
      </c>
      <c r="G239" s="17">
        <v>18000000000</v>
      </c>
      <c r="H239" s="242">
        <v>13026.2</v>
      </c>
      <c r="I239" s="4">
        <v>0.45</v>
      </c>
      <c r="J239" s="24">
        <v>15.962</v>
      </c>
      <c r="K239" s="26">
        <v>0.68889999999999996</v>
      </c>
      <c r="L239" s="24">
        <v>642</v>
      </c>
      <c r="M239">
        <v>34.799999</v>
      </c>
      <c r="N239" s="27">
        <v>82.2</v>
      </c>
      <c r="O239" s="26">
        <v>1.6</v>
      </c>
      <c r="P239" s="25">
        <v>412.7</v>
      </c>
      <c r="Q239">
        <v>0.6</v>
      </c>
      <c r="R239">
        <v>1.9</v>
      </c>
      <c r="S239" s="14">
        <v>422007</v>
      </c>
      <c r="T239" s="224">
        <v>1.17</v>
      </c>
      <c r="U239" s="25">
        <v>116</v>
      </c>
      <c r="V239" s="24">
        <v>9701.8330000000005</v>
      </c>
      <c r="W239" s="22">
        <v>17.8</v>
      </c>
      <c r="X239" s="20">
        <v>15.962</v>
      </c>
      <c r="Y239" s="19">
        <f t="shared" si="9"/>
        <v>2.7702108974538171</v>
      </c>
      <c r="Z239" s="21">
        <v>642</v>
      </c>
      <c r="AA239" s="19">
        <f t="shared" si="10"/>
        <v>6.4645883036899612</v>
      </c>
      <c r="AB239" s="2">
        <v>34.799999999999997</v>
      </c>
      <c r="AC239" s="20">
        <v>9701.83</v>
      </c>
      <c r="AD239" s="19">
        <f t="shared" si="11"/>
        <v>9.180069806491268</v>
      </c>
      <c r="AE239" s="4">
        <v>85.222399999999993</v>
      </c>
      <c r="AF239" s="1">
        <v>4.8203500000000004</v>
      </c>
      <c r="AG239" s="242">
        <v>124.008</v>
      </c>
      <c r="AH239" s="242">
        <v>11.3</v>
      </c>
      <c r="AI239" s="245">
        <v>60.177999999999997</v>
      </c>
    </row>
    <row r="240" spans="1:35">
      <c r="A240" s="24">
        <v>22</v>
      </c>
      <c r="B240" s="28" t="s">
        <v>11</v>
      </c>
      <c r="C240" s="28" t="s">
        <v>10</v>
      </c>
      <c r="D240" s="23">
        <v>2017</v>
      </c>
      <c r="E240" s="239">
        <v>20.100000000000001</v>
      </c>
      <c r="F240">
        <v>2.3781300000000001</v>
      </c>
      <c r="G240" s="17">
        <v>13000000000</v>
      </c>
      <c r="H240" s="242">
        <v>13695.6</v>
      </c>
      <c r="I240" s="4">
        <v>0.47</v>
      </c>
      <c r="J240" s="24">
        <v>17.292998999999998</v>
      </c>
      <c r="K240" s="26">
        <v>0.68049999999999999</v>
      </c>
      <c r="L240" s="24">
        <v>611</v>
      </c>
      <c r="M240">
        <v>33.799999</v>
      </c>
      <c r="N240" s="27">
        <v>82.7</v>
      </c>
      <c r="O240" s="26">
        <v>1.4</v>
      </c>
      <c r="P240" s="25">
        <v>1619.4</v>
      </c>
      <c r="Q240">
        <v>0.6</v>
      </c>
      <c r="R240">
        <v>1.9</v>
      </c>
      <c r="S240" s="14">
        <v>427247</v>
      </c>
      <c r="T240" s="224">
        <v>0.9</v>
      </c>
      <c r="U240" s="25">
        <v>119</v>
      </c>
      <c r="V240" s="24">
        <v>9251.5985999999994</v>
      </c>
      <c r="W240" s="22">
        <v>18.100000000000001</v>
      </c>
      <c r="X240" s="20">
        <v>17.292999999999999</v>
      </c>
      <c r="Y240" s="19">
        <f t="shared" si="9"/>
        <v>2.850301795343785</v>
      </c>
      <c r="Z240" s="21">
        <v>611</v>
      </c>
      <c r="AA240" s="19">
        <f t="shared" si="10"/>
        <v>6.4150969591715956</v>
      </c>
      <c r="AB240" s="2">
        <v>33.799999999999997</v>
      </c>
      <c r="AC240" s="20">
        <v>9251.6</v>
      </c>
      <c r="AD240" s="19">
        <f t="shared" si="11"/>
        <v>9.1325517885213436</v>
      </c>
      <c r="AE240" s="4">
        <v>88.609800000000007</v>
      </c>
      <c r="AF240" s="1">
        <v>4.8204700000000003</v>
      </c>
      <c r="AG240" s="242">
        <v>124.024</v>
      </c>
      <c r="AH240" s="242">
        <v>11.1</v>
      </c>
      <c r="AI240" s="245">
        <v>60.104999999999997</v>
      </c>
    </row>
    <row r="241" spans="1:35">
      <c r="A241" s="24">
        <v>22</v>
      </c>
      <c r="B241" s="28" t="s">
        <v>11</v>
      </c>
      <c r="C241" s="28" t="s">
        <v>10</v>
      </c>
      <c r="D241" s="23">
        <v>2018</v>
      </c>
      <c r="E241" s="239">
        <v>20.399999999999999</v>
      </c>
      <c r="F241">
        <v>3.3480400000000001</v>
      </c>
      <c r="G241" s="17">
        <v>20000000000</v>
      </c>
      <c r="H241" s="242">
        <v>14551.1</v>
      </c>
      <c r="I241" s="4">
        <v>0.44</v>
      </c>
      <c r="J241" s="24">
        <v>17.794001000000002</v>
      </c>
      <c r="K241" s="26">
        <v>0.70269999999999999</v>
      </c>
      <c r="L241" s="24">
        <v>618</v>
      </c>
      <c r="M241">
        <v>34.299999</v>
      </c>
      <c r="N241" s="27">
        <v>87.6</v>
      </c>
      <c r="O241" s="26">
        <v>1.5</v>
      </c>
      <c r="P241" s="25">
        <v>1975.2</v>
      </c>
      <c r="Q241">
        <v>0.9</v>
      </c>
      <c r="R241">
        <v>1.9</v>
      </c>
      <c r="S241" s="14">
        <v>429029</v>
      </c>
      <c r="T241" s="224">
        <v>0.57999999999999996</v>
      </c>
      <c r="U241" s="25">
        <v>122</v>
      </c>
      <c r="V241" s="24">
        <v>8841.4385000000002</v>
      </c>
      <c r="W241" s="22">
        <v>19.5</v>
      </c>
      <c r="X241" s="20">
        <v>17.794</v>
      </c>
      <c r="Y241" s="19">
        <f t="shared" si="9"/>
        <v>2.8788613218225758</v>
      </c>
      <c r="Z241" s="21">
        <v>618</v>
      </c>
      <c r="AA241" s="19">
        <f t="shared" si="10"/>
        <v>6.4264884574576904</v>
      </c>
      <c r="AB241" s="2">
        <v>34.299999999999997</v>
      </c>
      <c r="AC241" s="20">
        <v>8841.44</v>
      </c>
      <c r="AD241" s="19">
        <f t="shared" si="11"/>
        <v>9.0872050382931899</v>
      </c>
      <c r="AE241" s="4">
        <v>89.558199999999999</v>
      </c>
      <c r="AF241" s="1">
        <v>4.8205400000000003</v>
      </c>
      <c r="AG241" s="242">
        <v>124.032</v>
      </c>
      <c r="AH241" s="242">
        <v>15.1</v>
      </c>
      <c r="AI241" s="245">
        <v>60.058</v>
      </c>
    </row>
    <row r="242" spans="1:35">
      <c r="A242" s="24">
        <v>22</v>
      </c>
      <c r="B242" s="28" t="s">
        <v>11</v>
      </c>
      <c r="C242" s="28" t="s">
        <v>10</v>
      </c>
      <c r="D242" s="23">
        <v>2019</v>
      </c>
      <c r="E242" s="239">
        <v>20.9</v>
      </c>
      <c r="F242">
        <v>3.15456</v>
      </c>
      <c r="G242" s="17">
        <v>19000000000</v>
      </c>
      <c r="H242" s="242">
        <v>15221.3</v>
      </c>
      <c r="I242" s="4">
        <v>0.43</v>
      </c>
      <c r="J242" s="24">
        <v>17.056999000000001</v>
      </c>
      <c r="K242" s="26">
        <v>0.77110000000000001</v>
      </c>
      <c r="L242" s="24">
        <v>598</v>
      </c>
      <c r="M242">
        <v>34.099997999999999</v>
      </c>
      <c r="N242" s="27">
        <v>82.4</v>
      </c>
      <c r="O242" s="26">
        <v>9.1999999999999993</v>
      </c>
      <c r="P242" s="25">
        <v>1577.3</v>
      </c>
      <c r="Q242">
        <v>0.8</v>
      </c>
      <c r="R242">
        <v>2</v>
      </c>
      <c r="S242" s="14">
        <v>435574</v>
      </c>
      <c r="T242" s="224">
        <v>0.53</v>
      </c>
      <c r="U242" s="25">
        <v>124</v>
      </c>
      <c r="V242" s="24">
        <v>6967.3500999999997</v>
      </c>
      <c r="W242" s="22">
        <v>19.5</v>
      </c>
      <c r="X242" s="20">
        <v>17.056999999999999</v>
      </c>
      <c r="Y242" s="19">
        <f t="shared" si="9"/>
        <v>2.8365606766587357</v>
      </c>
      <c r="Z242" s="21">
        <v>598</v>
      </c>
      <c r="AA242" s="19">
        <f t="shared" si="10"/>
        <v>6.3935907539506314</v>
      </c>
      <c r="AB242" s="2">
        <v>34.1</v>
      </c>
      <c r="AC242" s="20">
        <v>6967.35</v>
      </c>
      <c r="AD242" s="19">
        <f t="shared" si="11"/>
        <v>8.8489902305990658</v>
      </c>
      <c r="AE242" s="4">
        <v>88.251400000000004</v>
      </c>
      <c r="AF242" s="1">
        <v>4.8204900000000004</v>
      </c>
      <c r="AG242" s="242">
        <v>124.026</v>
      </c>
      <c r="AH242" s="242">
        <v>15.6</v>
      </c>
      <c r="AI242" s="245">
        <v>60.036999999999999</v>
      </c>
    </row>
    <row r="243" spans="1:35">
      <c r="A243" s="24">
        <v>22</v>
      </c>
      <c r="B243" s="28" t="s">
        <v>11</v>
      </c>
      <c r="C243" s="28" t="s">
        <v>10</v>
      </c>
      <c r="D243" s="23">
        <v>2020</v>
      </c>
      <c r="E243" s="239">
        <v>21.5</v>
      </c>
      <c r="F243">
        <v>3.3149899999999999</v>
      </c>
      <c r="G243" s="17">
        <v>20000000000</v>
      </c>
      <c r="H243" s="242">
        <v>14937.6</v>
      </c>
      <c r="I243" s="4">
        <v>0.45</v>
      </c>
      <c r="J243" s="24">
        <v>16.774999999999999</v>
      </c>
      <c r="K243" s="26">
        <v>0.76490000000000002</v>
      </c>
      <c r="L243" s="24">
        <v>595</v>
      </c>
      <c r="M243">
        <v>38.700001</v>
      </c>
      <c r="N243" s="27">
        <v>85.9</v>
      </c>
      <c r="O243" s="26">
        <v>7.4</v>
      </c>
      <c r="P243" s="25">
        <v>736.6</v>
      </c>
      <c r="Q243">
        <v>0.7</v>
      </c>
      <c r="R243">
        <v>1.9</v>
      </c>
      <c r="S243" s="14">
        <v>437080</v>
      </c>
      <c r="T243" s="224">
        <v>0.46</v>
      </c>
      <c r="U243" s="25">
        <v>127</v>
      </c>
      <c r="V243" s="24">
        <v>6900.0181000000002</v>
      </c>
      <c r="W243" s="22">
        <v>19.3</v>
      </c>
      <c r="X243" s="20">
        <v>16.774999999999999</v>
      </c>
      <c r="Y243" s="19">
        <f t="shared" si="9"/>
        <v>2.8198896828577453</v>
      </c>
      <c r="Z243" s="21">
        <v>595</v>
      </c>
      <c r="AA243" s="19">
        <f t="shared" si="10"/>
        <v>6.3885614055456301</v>
      </c>
      <c r="AB243" s="2">
        <v>38.700000000000003</v>
      </c>
      <c r="AC243" s="20">
        <v>6900.02</v>
      </c>
      <c r="AD243" s="19">
        <f t="shared" si="11"/>
        <v>8.8392795891318752</v>
      </c>
      <c r="AE243" s="4">
        <v>88.372399999999999</v>
      </c>
      <c r="AF243" s="1">
        <v>4.81867</v>
      </c>
      <c r="AG243" s="242">
        <v>123.801</v>
      </c>
      <c r="AH243" s="242">
        <v>16.100000000000001</v>
      </c>
      <c r="AI243" s="245">
        <v>60.042999999999999</v>
      </c>
    </row>
    <row r="244" spans="1:35">
      <c r="A244" s="24">
        <v>23</v>
      </c>
      <c r="B244" s="28" t="s">
        <v>9</v>
      </c>
      <c r="C244" s="28" t="s">
        <v>8</v>
      </c>
      <c r="D244" s="23">
        <v>2010</v>
      </c>
      <c r="E244" s="239">
        <v>31</v>
      </c>
      <c r="F244">
        <v>3.7606000000000002</v>
      </c>
      <c r="G244" s="17">
        <v>9000000000</v>
      </c>
      <c r="H244" s="242">
        <v>19698.7</v>
      </c>
      <c r="I244" s="4">
        <v>0.72</v>
      </c>
      <c r="J244" s="24">
        <v>19.722000000000001</v>
      </c>
      <c r="K244" s="26">
        <v>0.92290000000000005</v>
      </c>
      <c r="L244" s="24">
        <v>549</v>
      </c>
      <c r="M244">
        <v>18.700001</v>
      </c>
      <c r="N244" s="27">
        <v>85</v>
      </c>
      <c r="O244" s="26">
        <v>1.8</v>
      </c>
      <c r="P244" s="25">
        <v>17661</v>
      </c>
      <c r="S244" s="14">
        <v>89774</v>
      </c>
      <c r="T244" s="224">
        <v>0.24</v>
      </c>
      <c r="U244" s="25">
        <v>100</v>
      </c>
      <c r="V244" s="24">
        <v>5589.5312999999996</v>
      </c>
      <c r="W244" s="22">
        <v>23.6</v>
      </c>
      <c r="X244" s="20">
        <v>19.722000000000001</v>
      </c>
      <c r="Y244" s="19">
        <f t="shared" si="9"/>
        <v>2.9817347639101373</v>
      </c>
      <c r="Z244" s="21">
        <v>549</v>
      </c>
      <c r="AA244" s="19">
        <f t="shared" si="10"/>
        <v>6.3080984415095305</v>
      </c>
      <c r="AB244" s="2">
        <v>18.7</v>
      </c>
      <c r="AC244" s="20">
        <v>5589.53</v>
      </c>
      <c r="AD244" s="19">
        <f t="shared" si="11"/>
        <v>8.6286504839023461</v>
      </c>
      <c r="AE244" s="4">
        <v>53.326999999999998</v>
      </c>
      <c r="AF244" s="1">
        <v>4.7487500000000002</v>
      </c>
      <c r="AG244" s="242">
        <v>115.43899999999999</v>
      </c>
      <c r="AH244" s="242">
        <v>27.8</v>
      </c>
      <c r="AI244" s="245">
        <v>60.567</v>
      </c>
    </row>
    <row r="245" spans="1:35">
      <c r="A245" s="24">
        <v>23</v>
      </c>
      <c r="B245" s="28" t="s">
        <v>9</v>
      </c>
      <c r="C245" s="28" t="s">
        <v>8</v>
      </c>
      <c r="D245" s="23">
        <v>2011</v>
      </c>
      <c r="E245" s="239">
        <v>31.5</v>
      </c>
      <c r="F245">
        <v>4.0016299999999996</v>
      </c>
      <c r="G245" s="17">
        <v>9800000000</v>
      </c>
      <c r="H245" s="242">
        <v>19389.599999999999</v>
      </c>
      <c r="I245" s="4">
        <v>0.67</v>
      </c>
      <c r="J245" s="24">
        <v>18.235001</v>
      </c>
      <c r="K245" s="26">
        <v>0.97929999999999995</v>
      </c>
      <c r="L245" s="24">
        <v>526</v>
      </c>
      <c r="M245">
        <v>20.100000000000001</v>
      </c>
      <c r="N245" s="27">
        <v>83</v>
      </c>
      <c r="O245" s="26">
        <v>1.7</v>
      </c>
      <c r="P245" s="25">
        <v>17629</v>
      </c>
      <c r="S245" s="14">
        <v>87587</v>
      </c>
      <c r="T245" s="224">
        <v>0.5</v>
      </c>
      <c r="U245" s="25">
        <v>95</v>
      </c>
      <c r="V245" s="24">
        <v>5443.8306000000002</v>
      </c>
      <c r="W245" s="22">
        <v>24.3</v>
      </c>
      <c r="X245" s="20">
        <v>18.234999999999999</v>
      </c>
      <c r="Y245" s="19">
        <f t="shared" si="9"/>
        <v>2.9033428242606436</v>
      </c>
      <c r="Z245" s="21">
        <v>526</v>
      </c>
      <c r="AA245" s="19">
        <f t="shared" si="10"/>
        <v>6.2653012127377101</v>
      </c>
      <c r="AB245" s="2">
        <v>20.100000000000001</v>
      </c>
      <c r="AC245" s="20">
        <v>5443.83</v>
      </c>
      <c r="AD245" s="19">
        <f t="shared" si="11"/>
        <v>8.602238136244841</v>
      </c>
      <c r="AE245" s="4">
        <v>58.067399999999999</v>
      </c>
      <c r="AF245" s="1">
        <v>4.7472799999999999</v>
      </c>
      <c r="AG245" s="242">
        <v>115.27</v>
      </c>
      <c r="AH245" s="242">
        <v>27.2</v>
      </c>
      <c r="AI245" s="245">
        <v>61.167000000000002</v>
      </c>
    </row>
    <row r="246" spans="1:35">
      <c r="A246" s="24">
        <v>23</v>
      </c>
      <c r="B246" s="28" t="s">
        <v>9</v>
      </c>
      <c r="C246" s="28" t="s">
        <v>8</v>
      </c>
      <c r="D246" s="23">
        <v>2012</v>
      </c>
      <c r="E246" s="239">
        <v>34</v>
      </c>
      <c r="F246">
        <v>9.8811800000000005</v>
      </c>
      <c r="G246" s="17">
        <v>21000000000</v>
      </c>
      <c r="H246" s="242">
        <v>18679.8</v>
      </c>
      <c r="I246" s="4">
        <v>0.65</v>
      </c>
      <c r="J246" s="24">
        <v>16.080998999999998</v>
      </c>
      <c r="K246" s="26">
        <v>1.0243</v>
      </c>
      <c r="L246" s="24">
        <v>527</v>
      </c>
      <c r="M246">
        <v>26.1</v>
      </c>
      <c r="N246" s="27">
        <v>86.6</v>
      </c>
      <c r="O246" s="26">
        <v>2</v>
      </c>
      <c r="P246" s="25">
        <v>19036.900000000001</v>
      </c>
      <c r="Q246">
        <v>0.6</v>
      </c>
      <c r="R246">
        <v>1.5</v>
      </c>
      <c r="S246" s="14">
        <v>82546</v>
      </c>
      <c r="T246" s="224">
        <v>0.27</v>
      </c>
      <c r="U246" s="25">
        <v>91</v>
      </c>
      <c r="V246" s="24">
        <v>5466.8407999999999</v>
      </c>
      <c r="W246" s="22">
        <v>25.4</v>
      </c>
      <c r="X246" s="20">
        <v>16.081</v>
      </c>
      <c r="Y246" s="19">
        <f t="shared" si="9"/>
        <v>2.7776384508718874</v>
      </c>
      <c r="Z246" s="21">
        <v>527</v>
      </c>
      <c r="AA246" s="19">
        <f t="shared" si="10"/>
        <v>6.2672005485413624</v>
      </c>
      <c r="AB246" s="2">
        <v>26.1</v>
      </c>
      <c r="AC246" s="20">
        <v>5466.84</v>
      </c>
      <c r="AD246" s="19">
        <f t="shared" si="11"/>
        <v>8.6064560319585865</v>
      </c>
      <c r="AE246" s="4">
        <v>60.275700000000001</v>
      </c>
      <c r="AF246" s="1">
        <v>4.74322</v>
      </c>
      <c r="AG246" s="242">
        <v>114.803</v>
      </c>
      <c r="AH246" s="242">
        <v>25.5</v>
      </c>
      <c r="AI246" s="245">
        <v>61.762999999999998</v>
      </c>
    </row>
    <row r="247" spans="1:35">
      <c r="A247" s="24">
        <v>23</v>
      </c>
      <c r="B247" s="28" t="s">
        <v>9</v>
      </c>
      <c r="C247" s="28" t="s">
        <v>8</v>
      </c>
      <c r="D247" s="23">
        <v>2013</v>
      </c>
      <c r="E247" s="239">
        <v>34</v>
      </c>
      <c r="F247">
        <v>6.9460899999999999</v>
      </c>
      <c r="G247" s="17">
        <v>16000000000</v>
      </c>
      <c r="H247" s="242">
        <v>18597.7</v>
      </c>
      <c r="I247" s="4">
        <v>0.68</v>
      </c>
      <c r="J247" s="24">
        <v>13.871</v>
      </c>
      <c r="K247" s="26">
        <v>1.1931</v>
      </c>
      <c r="L247" s="24">
        <v>523</v>
      </c>
      <c r="M247">
        <v>25.799999</v>
      </c>
      <c r="N247" s="27">
        <v>86.6</v>
      </c>
      <c r="O247" s="26">
        <v>2.5</v>
      </c>
      <c r="P247" s="25">
        <v>17528.8</v>
      </c>
      <c r="Q247">
        <v>0.6</v>
      </c>
      <c r="R247">
        <v>1.4</v>
      </c>
      <c r="S247" s="14">
        <v>79255</v>
      </c>
      <c r="T247" s="224">
        <v>0.28999999999999998</v>
      </c>
      <c r="U247" s="25">
        <v>92</v>
      </c>
      <c r="V247" s="24">
        <v>5890.4008999999996</v>
      </c>
      <c r="W247" s="22">
        <v>28.8</v>
      </c>
      <c r="X247" s="20">
        <v>13.871</v>
      </c>
      <c r="Y247" s="19">
        <f t="shared" si="9"/>
        <v>2.629800329781153</v>
      </c>
      <c r="Z247" s="21">
        <v>523</v>
      </c>
      <c r="AA247" s="19">
        <f t="shared" si="10"/>
        <v>6.2595814640649232</v>
      </c>
      <c r="AB247" s="2">
        <v>25.8</v>
      </c>
      <c r="AC247" s="20">
        <v>5890.4</v>
      </c>
      <c r="AD247" s="19">
        <f t="shared" si="11"/>
        <v>8.6810791860545073</v>
      </c>
      <c r="AE247" s="4">
        <v>61.118600000000001</v>
      </c>
      <c r="AF247" s="1">
        <v>4.7375699999999998</v>
      </c>
      <c r="AG247" s="242">
        <v>114.15600000000001</v>
      </c>
      <c r="AH247" s="242">
        <v>30.2</v>
      </c>
      <c r="AI247" s="245">
        <v>62.351999999999997</v>
      </c>
    </row>
    <row r="248" spans="1:35">
      <c r="A248" s="24">
        <v>23</v>
      </c>
      <c r="B248" s="28" t="s">
        <v>9</v>
      </c>
      <c r="C248" s="28" t="s">
        <v>8</v>
      </c>
      <c r="D248" s="23">
        <v>2014</v>
      </c>
      <c r="E248" s="239">
        <v>33.6</v>
      </c>
      <c r="F248">
        <v>5.2355200000000002</v>
      </c>
      <c r="G248" s="17">
        <v>12000000000</v>
      </c>
      <c r="H248" s="242">
        <v>18836.900000000001</v>
      </c>
      <c r="I248" s="4">
        <v>0.74</v>
      </c>
      <c r="J248" s="24">
        <v>15.398999999999999</v>
      </c>
      <c r="K248" s="26">
        <v>1.0931999999999999</v>
      </c>
      <c r="L248" s="24">
        <v>520</v>
      </c>
      <c r="M248">
        <v>30.4</v>
      </c>
      <c r="N248" s="27">
        <v>76.900000000000006</v>
      </c>
      <c r="O248" s="26">
        <v>2.4</v>
      </c>
      <c r="P248" s="25">
        <v>19966.2</v>
      </c>
      <c r="Q248">
        <v>0.7</v>
      </c>
      <c r="R248">
        <v>1.4</v>
      </c>
      <c r="S248" s="14">
        <v>79264</v>
      </c>
      <c r="T248" s="224">
        <v>0</v>
      </c>
      <c r="U248" s="25">
        <v>95</v>
      </c>
      <c r="V248" s="24">
        <v>5697.8456999999999</v>
      </c>
      <c r="W248" s="22">
        <v>28.5</v>
      </c>
      <c r="X248" s="20">
        <v>15.398999999999999</v>
      </c>
      <c r="Y248" s="19">
        <f t="shared" si="9"/>
        <v>2.7343025722462757</v>
      </c>
      <c r="Z248" s="21">
        <v>520</v>
      </c>
      <c r="AA248" s="19">
        <f t="shared" si="10"/>
        <v>6.253828811575473</v>
      </c>
      <c r="AB248" s="2">
        <v>30.4</v>
      </c>
      <c r="AC248" s="20">
        <v>5697.85</v>
      </c>
      <c r="AD248" s="19">
        <f t="shared" si="11"/>
        <v>8.6478441896850189</v>
      </c>
      <c r="AE248" s="4">
        <v>61.814100000000003</v>
      </c>
      <c r="AF248" s="1">
        <v>4.73217</v>
      </c>
      <c r="AG248" s="242">
        <v>113.542</v>
      </c>
      <c r="AH248" s="242">
        <v>30.5</v>
      </c>
      <c r="AI248" s="245">
        <v>62.936</v>
      </c>
    </row>
    <row r="249" spans="1:35">
      <c r="A249" s="24">
        <v>23</v>
      </c>
      <c r="B249" s="28" t="s">
        <v>9</v>
      </c>
      <c r="C249" s="28" t="s">
        <v>8</v>
      </c>
      <c r="D249" s="23">
        <v>2015</v>
      </c>
      <c r="E249" s="239">
        <v>34.700000000000003</v>
      </c>
      <c r="F249">
        <v>0.63807499999999995</v>
      </c>
      <c r="G249" s="17">
        <v>1300000000</v>
      </c>
      <c r="H249" s="242">
        <v>19215.8</v>
      </c>
      <c r="I249" s="4">
        <v>0.69</v>
      </c>
      <c r="J249" s="24">
        <v>16.191998999999999</v>
      </c>
      <c r="K249" s="26">
        <v>1.1097999999999999</v>
      </c>
      <c r="L249" s="24">
        <v>513</v>
      </c>
      <c r="M249">
        <v>29.799999</v>
      </c>
      <c r="N249" s="27">
        <v>78</v>
      </c>
      <c r="O249" s="26">
        <v>2.1</v>
      </c>
      <c r="P249" s="25">
        <v>25832.6</v>
      </c>
      <c r="Q249">
        <v>0.8</v>
      </c>
      <c r="R249">
        <v>1.5</v>
      </c>
      <c r="S249" s="14">
        <v>82202</v>
      </c>
      <c r="T249" s="224">
        <v>0.48</v>
      </c>
      <c r="U249" s="25">
        <v>95</v>
      </c>
      <c r="V249" s="24">
        <v>6223.1187</v>
      </c>
      <c r="W249" s="22">
        <v>30.3</v>
      </c>
      <c r="X249" s="20">
        <v>16.192</v>
      </c>
      <c r="Y249" s="19">
        <f t="shared" si="9"/>
        <v>2.784517293105055</v>
      </c>
      <c r="Z249" s="21">
        <v>513</v>
      </c>
      <c r="AA249" s="19">
        <f t="shared" si="10"/>
        <v>6.2402758451707694</v>
      </c>
      <c r="AB249" s="2">
        <v>29.8</v>
      </c>
      <c r="AC249" s="20">
        <v>6223.12</v>
      </c>
      <c r="AD249" s="19">
        <f t="shared" si="11"/>
        <v>8.7360266676871703</v>
      </c>
      <c r="AE249" s="4">
        <v>61.275100000000002</v>
      </c>
      <c r="AF249" s="1">
        <v>4.7280300000000004</v>
      </c>
      <c r="AG249" s="242">
        <v>113.07299999999999</v>
      </c>
      <c r="AH249" s="242">
        <v>27.2</v>
      </c>
      <c r="AI249" s="245">
        <v>63.514000000000003</v>
      </c>
    </row>
    <row r="250" spans="1:35">
      <c r="A250" s="24">
        <v>23</v>
      </c>
      <c r="B250" s="28" t="s">
        <v>9</v>
      </c>
      <c r="C250" s="28" t="s">
        <v>8</v>
      </c>
      <c r="D250" s="23">
        <v>2016</v>
      </c>
      <c r="E250" s="239">
        <v>33.700000000000003</v>
      </c>
      <c r="F250">
        <v>3.56501</v>
      </c>
      <c r="G250" s="17">
        <v>7400000000</v>
      </c>
      <c r="H250" s="242">
        <v>19662.8</v>
      </c>
      <c r="I250" s="4">
        <v>0.72</v>
      </c>
      <c r="J250" s="24">
        <v>15.394</v>
      </c>
      <c r="K250" s="26">
        <v>1.1846000000000001</v>
      </c>
      <c r="L250" s="24">
        <v>511</v>
      </c>
      <c r="M250">
        <v>30.9</v>
      </c>
      <c r="N250" s="27">
        <v>82.1</v>
      </c>
      <c r="O250" s="26">
        <v>2.1</v>
      </c>
      <c r="P250" s="25">
        <v>30961.7</v>
      </c>
      <c r="Q250">
        <v>0.8</v>
      </c>
      <c r="R250">
        <v>1.5</v>
      </c>
      <c r="S250" s="14">
        <v>84026</v>
      </c>
      <c r="T250" s="224">
        <v>0.1</v>
      </c>
      <c r="U250" s="25">
        <v>98</v>
      </c>
      <c r="V250" s="24">
        <v>5897.2084999999997</v>
      </c>
      <c r="W250" s="22">
        <v>32.1</v>
      </c>
      <c r="X250" s="20">
        <v>15.394</v>
      </c>
      <c r="Y250" s="19">
        <f t="shared" si="9"/>
        <v>2.7339778231121259</v>
      </c>
      <c r="Z250" s="21">
        <v>511</v>
      </c>
      <c r="AA250" s="19">
        <f t="shared" si="10"/>
        <v>6.2363695902037044</v>
      </c>
      <c r="AB250" s="2">
        <v>30.9</v>
      </c>
      <c r="AC250" s="20">
        <v>5897.21</v>
      </c>
      <c r="AD250" s="19">
        <f t="shared" si="11"/>
        <v>8.6822346366942291</v>
      </c>
      <c r="AE250" s="4">
        <v>59.778399999999998</v>
      </c>
      <c r="AF250" s="1">
        <v>4.7248700000000001</v>
      </c>
      <c r="AG250" s="242">
        <v>112.71599999999999</v>
      </c>
      <c r="AH250" s="242">
        <v>29</v>
      </c>
      <c r="AI250" s="245">
        <v>64.085999999999999</v>
      </c>
    </row>
    <row r="251" spans="1:35">
      <c r="A251" s="24">
        <v>23</v>
      </c>
      <c r="B251" s="28" t="s">
        <v>9</v>
      </c>
      <c r="C251" s="28" t="s">
        <v>8</v>
      </c>
      <c r="D251" s="23">
        <v>2017</v>
      </c>
      <c r="E251" s="239">
        <v>34.6</v>
      </c>
      <c r="F251">
        <v>4.8373200000000001</v>
      </c>
      <c r="G251" s="17">
        <v>11000000000</v>
      </c>
      <c r="H251" s="242">
        <v>20364.2</v>
      </c>
      <c r="I251" s="4">
        <v>0.71</v>
      </c>
      <c r="J251" s="24">
        <v>17.212999</v>
      </c>
      <c r="K251" s="26">
        <v>1.1186</v>
      </c>
      <c r="L251" s="24">
        <v>508</v>
      </c>
      <c r="M251">
        <v>29.1</v>
      </c>
      <c r="N251" s="27">
        <v>80.900000000000006</v>
      </c>
      <c r="O251" s="26">
        <v>2</v>
      </c>
      <c r="P251" s="25">
        <v>34223.5</v>
      </c>
      <c r="Q251">
        <v>0.9</v>
      </c>
      <c r="R251">
        <v>1.5</v>
      </c>
      <c r="S251" s="14">
        <v>93140</v>
      </c>
      <c r="T251" s="224">
        <v>0.1</v>
      </c>
      <c r="U251" s="25">
        <v>102</v>
      </c>
      <c r="V251" s="24">
        <v>5542.2597999999998</v>
      </c>
      <c r="W251" s="22">
        <v>31.2</v>
      </c>
      <c r="X251" s="20">
        <v>17.213000000000001</v>
      </c>
      <c r="Y251" s="19">
        <f t="shared" si="9"/>
        <v>2.8456649122893687</v>
      </c>
      <c r="Z251" s="21">
        <v>508</v>
      </c>
      <c r="AA251" s="19">
        <f t="shared" si="10"/>
        <v>6.230481447578482</v>
      </c>
      <c r="AB251" s="2">
        <v>29.1</v>
      </c>
      <c r="AC251" s="20">
        <v>5542.26</v>
      </c>
      <c r="AD251" s="19">
        <f t="shared" si="11"/>
        <v>8.6201576387937848</v>
      </c>
      <c r="AE251" s="4">
        <v>63.792000000000002</v>
      </c>
      <c r="AF251" s="1">
        <v>4.7224399999999997</v>
      </c>
      <c r="AG251" s="242">
        <v>112.44199999999999</v>
      </c>
      <c r="AH251" s="242">
        <v>24.4</v>
      </c>
      <c r="AI251" s="245">
        <v>64.652000000000001</v>
      </c>
    </row>
    <row r="252" spans="1:35">
      <c r="A252" s="24">
        <v>23</v>
      </c>
      <c r="B252" s="28" t="s">
        <v>9</v>
      </c>
      <c r="C252" s="28" t="s">
        <v>8</v>
      </c>
      <c r="D252" s="23">
        <v>2018</v>
      </c>
      <c r="E252" s="239">
        <v>34.799999999999997</v>
      </c>
      <c r="F252">
        <v>3.2409400000000002</v>
      </c>
      <c r="G252" s="17">
        <v>7800000000</v>
      </c>
      <c r="H252" s="242">
        <v>20997.8</v>
      </c>
      <c r="I252" s="4">
        <v>0.69</v>
      </c>
      <c r="J252" s="24">
        <v>17.062999999999999</v>
      </c>
      <c r="K252" s="26">
        <v>1.1556</v>
      </c>
      <c r="L252" s="24">
        <v>533</v>
      </c>
      <c r="M252">
        <v>29.1</v>
      </c>
      <c r="N252" s="27">
        <v>73</v>
      </c>
      <c r="O252" s="26">
        <v>2.2000000000000002</v>
      </c>
      <c r="P252" s="25">
        <v>33186.1</v>
      </c>
      <c r="Q252">
        <v>1</v>
      </c>
      <c r="R252">
        <v>1.6</v>
      </c>
      <c r="S252" s="14">
        <v>98264</v>
      </c>
      <c r="T252" s="224">
        <v>0.19</v>
      </c>
      <c r="U252" s="25">
        <v>107</v>
      </c>
      <c r="V252" s="24">
        <v>4808.8842999999997</v>
      </c>
      <c r="W252" s="22">
        <v>31.4</v>
      </c>
      <c r="X252" s="20">
        <v>17.062999999999999</v>
      </c>
      <c r="Y252" s="19">
        <f t="shared" si="9"/>
        <v>2.8369123765451278</v>
      </c>
      <c r="Z252" s="21">
        <v>533</v>
      </c>
      <c r="AA252" s="19">
        <f t="shared" si="10"/>
        <v>6.2785214241658442</v>
      </c>
      <c r="AB252" s="2">
        <v>29.1</v>
      </c>
      <c r="AC252" s="20">
        <v>4808.88</v>
      </c>
      <c r="AD252" s="19">
        <f t="shared" si="11"/>
        <v>8.4782194877536003</v>
      </c>
      <c r="AE252" s="4">
        <v>65.025000000000006</v>
      </c>
      <c r="AF252" s="1">
        <v>4.7208300000000003</v>
      </c>
      <c r="AG252" s="242">
        <v>112.262</v>
      </c>
      <c r="AH252" s="242">
        <v>27.5</v>
      </c>
      <c r="AI252" s="245">
        <v>65.210999999999999</v>
      </c>
    </row>
    <row r="253" spans="1:35">
      <c r="A253" s="24">
        <v>23</v>
      </c>
      <c r="B253" s="28" t="s">
        <v>9</v>
      </c>
      <c r="C253" s="28" t="s">
        <v>8</v>
      </c>
      <c r="D253" s="23">
        <v>2019</v>
      </c>
      <c r="E253" s="239">
        <v>35.5</v>
      </c>
      <c r="F253">
        <v>4.2979399999999996</v>
      </c>
      <c r="G253" s="17">
        <v>10000000000</v>
      </c>
      <c r="H253" s="242">
        <v>21569.200000000001</v>
      </c>
      <c r="I253" s="4">
        <v>0.66</v>
      </c>
      <c r="J253" s="24">
        <v>17.274000000000001</v>
      </c>
      <c r="K253" s="26">
        <v>1.1740999999999999</v>
      </c>
      <c r="L253" s="24">
        <v>515</v>
      </c>
      <c r="M253">
        <v>28.9</v>
      </c>
      <c r="N253" s="27">
        <v>78.5</v>
      </c>
      <c r="O253" s="26">
        <v>2.2999999999999998</v>
      </c>
      <c r="P253" s="25">
        <v>26752.7</v>
      </c>
      <c r="Q253">
        <v>1</v>
      </c>
      <c r="R253">
        <v>1.5</v>
      </c>
      <c r="S253" s="14">
        <v>90728</v>
      </c>
      <c r="T253" s="224">
        <v>0.28999999999999998</v>
      </c>
      <c r="U253" s="25">
        <v>110</v>
      </c>
      <c r="V253" s="24">
        <v>4075.5088000000001</v>
      </c>
      <c r="W253" s="22">
        <v>30.7</v>
      </c>
      <c r="X253" s="20">
        <v>17.274000000000001</v>
      </c>
      <c r="Y253" s="19">
        <f t="shared" si="9"/>
        <v>2.8492024808580938</v>
      </c>
      <c r="Z253" s="21">
        <v>515</v>
      </c>
      <c r="AA253" s="19">
        <f t="shared" si="10"/>
        <v>6.2441669006637364</v>
      </c>
      <c r="AB253" s="2">
        <v>28.9</v>
      </c>
      <c r="AC253" s="20"/>
      <c r="AD253" s="19" t="e">
        <f t="shared" si="11"/>
        <v>#NUM!</v>
      </c>
      <c r="AE253" s="4">
        <v>65.218900000000005</v>
      </c>
      <c r="AF253" s="1">
        <v>4.7210700000000001</v>
      </c>
      <c r="AG253" s="242">
        <v>112.289</v>
      </c>
      <c r="AH253" s="242">
        <v>28.2</v>
      </c>
      <c r="AI253" s="245">
        <v>65.763999999999996</v>
      </c>
    </row>
    <row r="254" spans="1:35">
      <c r="A254" s="24">
        <v>23</v>
      </c>
      <c r="B254" s="28" t="s">
        <v>9</v>
      </c>
      <c r="C254" s="28" t="s">
        <v>8</v>
      </c>
      <c r="D254" s="23">
        <v>2020</v>
      </c>
      <c r="E254" s="239">
        <v>35.9</v>
      </c>
      <c r="F254">
        <v>1.73847</v>
      </c>
      <c r="G254" s="17">
        <v>4000000000</v>
      </c>
      <c r="H254" s="242">
        <v>19778.7</v>
      </c>
      <c r="I254" s="4">
        <v>0.65</v>
      </c>
      <c r="J254" s="24">
        <v>15.542</v>
      </c>
      <c r="K254" s="26">
        <v>1.1983999999999999</v>
      </c>
      <c r="L254" s="24">
        <v>473</v>
      </c>
      <c r="M254">
        <v>26.799999</v>
      </c>
      <c r="N254" s="27">
        <v>62.9</v>
      </c>
      <c r="O254" s="26">
        <v>2.5</v>
      </c>
      <c r="P254" s="25">
        <v>12289.4</v>
      </c>
      <c r="Q254">
        <v>0.9</v>
      </c>
      <c r="R254">
        <v>1.5</v>
      </c>
      <c r="S254" s="14">
        <v>85587</v>
      </c>
      <c r="T254" s="224">
        <v>0.53</v>
      </c>
      <c r="U254" s="25">
        <v>102</v>
      </c>
      <c r="V254" s="24">
        <v>3342.1333</v>
      </c>
      <c r="W254" s="22">
        <v>30.4</v>
      </c>
      <c r="X254" s="20">
        <v>15.542</v>
      </c>
      <c r="Y254" s="19">
        <f t="shared" si="9"/>
        <v>2.7435460367870506</v>
      </c>
      <c r="Z254" s="21">
        <v>473</v>
      </c>
      <c r="AA254" s="19">
        <f t="shared" si="10"/>
        <v>6.1590953884919326</v>
      </c>
      <c r="AB254" s="2">
        <v>26.8</v>
      </c>
      <c r="AC254" s="20"/>
      <c r="AD254" s="19" t="e">
        <f t="shared" si="11"/>
        <v>#NUM!</v>
      </c>
      <c r="AE254" s="4">
        <v>60.705399999999997</v>
      </c>
      <c r="AF254" s="1">
        <v>4.7221200000000003</v>
      </c>
      <c r="AG254" s="242">
        <v>112.407</v>
      </c>
      <c r="AH254" s="242">
        <v>31.3</v>
      </c>
      <c r="AI254" s="245">
        <v>66.31</v>
      </c>
    </row>
    <row r="255" spans="1:35">
      <c r="A255" s="24">
        <v>24</v>
      </c>
      <c r="B255" s="28" t="s">
        <v>7</v>
      </c>
      <c r="C255" s="28" t="s">
        <v>6</v>
      </c>
      <c r="D255" s="23">
        <v>2010</v>
      </c>
      <c r="E255" s="239">
        <v>35.5</v>
      </c>
      <c r="F255">
        <v>1.8897200000000001</v>
      </c>
      <c r="G255" s="17">
        <v>3200000000</v>
      </c>
      <c r="H255" s="242">
        <v>7660.71</v>
      </c>
      <c r="I255" s="4">
        <v>0.28999999999999998</v>
      </c>
      <c r="J255" s="24">
        <v>13.743</v>
      </c>
      <c r="K255" s="26">
        <v>0.50819999999999999</v>
      </c>
      <c r="L255" s="24">
        <v>316</v>
      </c>
      <c r="M255">
        <v>12.8</v>
      </c>
      <c r="N255" s="27">
        <v>84.7</v>
      </c>
      <c r="O255" s="26">
        <v>3.5</v>
      </c>
      <c r="P255" s="25">
        <v>67.7</v>
      </c>
      <c r="S255" s="14">
        <v>77071</v>
      </c>
      <c r="T255" s="224">
        <v>0.25</v>
      </c>
      <c r="U255" s="25">
        <v>100</v>
      </c>
      <c r="V255" s="24">
        <v>5669.8887000000004</v>
      </c>
      <c r="W255" s="22">
        <v>12.1</v>
      </c>
      <c r="X255" s="20">
        <v>13.743</v>
      </c>
      <c r="Y255" s="19">
        <f t="shared" si="9"/>
        <v>2.6205296035727148</v>
      </c>
      <c r="Z255" s="21">
        <v>316</v>
      </c>
      <c r="AA255" s="19">
        <f t="shared" si="10"/>
        <v>5.7557422135869123</v>
      </c>
      <c r="AB255" s="2">
        <v>12.8</v>
      </c>
      <c r="AC255" s="20">
        <v>5669.89</v>
      </c>
      <c r="AD255" s="19">
        <f t="shared" si="11"/>
        <v>8.6429249961808754</v>
      </c>
      <c r="AE255" s="4">
        <v>65.674000000000007</v>
      </c>
      <c r="AF255" s="1">
        <v>4.4774599999999998</v>
      </c>
      <c r="AG255" s="242">
        <v>88.0107</v>
      </c>
      <c r="AH255" s="242">
        <v>24.1</v>
      </c>
      <c r="AI255" s="245">
        <v>53.829000000000001</v>
      </c>
    </row>
    <row r="256" spans="1:35">
      <c r="A256" s="24">
        <v>24</v>
      </c>
      <c r="B256" s="28" t="s">
        <v>7</v>
      </c>
      <c r="C256" s="28" t="s">
        <v>6</v>
      </c>
      <c r="D256" s="23">
        <v>2011</v>
      </c>
      <c r="E256" s="239">
        <v>37</v>
      </c>
      <c r="F256">
        <v>1.2304299999999999</v>
      </c>
      <c r="G256" s="17">
        <v>2400000000</v>
      </c>
      <c r="H256" s="242">
        <v>8044.57</v>
      </c>
      <c r="I256" s="4">
        <v>0.31</v>
      </c>
      <c r="J256" s="24">
        <v>19.274000000000001</v>
      </c>
      <c r="K256" s="26">
        <v>0.38300000000000001</v>
      </c>
      <c r="L256" s="24">
        <v>319</v>
      </c>
      <c r="M256">
        <v>11.7</v>
      </c>
      <c r="N256" s="27">
        <v>85.1</v>
      </c>
      <c r="O256" s="26">
        <v>2.5</v>
      </c>
      <c r="P256" s="25">
        <v>137.6</v>
      </c>
      <c r="S256" s="14">
        <v>81120</v>
      </c>
      <c r="T256" s="224">
        <v>0.25</v>
      </c>
      <c r="U256" s="25">
        <v>99</v>
      </c>
      <c r="V256" s="24">
        <v>5157.2583000000004</v>
      </c>
      <c r="W256" s="22">
        <v>9.1999999999999993</v>
      </c>
      <c r="X256" s="20">
        <v>19.274000000000001</v>
      </c>
      <c r="Y256" s="19">
        <f t="shared" si="9"/>
        <v>2.9587570374290957</v>
      </c>
      <c r="Z256" s="21">
        <v>319</v>
      </c>
      <c r="AA256" s="19">
        <f t="shared" si="10"/>
        <v>5.7651911027848444</v>
      </c>
      <c r="AB256" s="2">
        <v>11.7</v>
      </c>
      <c r="AC256" s="20">
        <v>5157.26</v>
      </c>
      <c r="AD256" s="19">
        <f t="shared" si="11"/>
        <v>8.5481607096891246</v>
      </c>
      <c r="AE256" s="4">
        <v>72.428700000000006</v>
      </c>
      <c r="AF256" s="1">
        <v>4.4720199999999997</v>
      </c>
      <c r="AG256" s="242">
        <v>87.533199999999994</v>
      </c>
      <c r="AH256" s="242">
        <v>21.1</v>
      </c>
      <c r="AI256" s="245">
        <v>53.96</v>
      </c>
    </row>
    <row r="257" spans="1:35">
      <c r="A257" s="24">
        <v>24</v>
      </c>
      <c r="B257" s="28" t="s">
        <v>7</v>
      </c>
      <c r="C257" s="28" t="s">
        <v>6</v>
      </c>
      <c r="D257" s="23">
        <v>2012</v>
      </c>
      <c r="E257" s="239">
        <v>39.5</v>
      </c>
      <c r="F257">
        <v>1.7014400000000001</v>
      </c>
      <c r="G257" s="17">
        <v>3000000000</v>
      </c>
      <c r="H257" s="242">
        <v>8234.2900000000009</v>
      </c>
      <c r="I257" s="4">
        <v>0.3</v>
      </c>
      <c r="J257" s="24">
        <v>17.934000000000001</v>
      </c>
      <c r="K257" s="26">
        <v>0.4143</v>
      </c>
      <c r="L257" s="24">
        <v>317</v>
      </c>
      <c r="M257">
        <v>14.8</v>
      </c>
      <c r="N257" s="27">
        <v>84.3</v>
      </c>
      <c r="O257" s="26">
        <v>2.6</v>
      </c>
      <c r="P257" s="25">
        <v>674.4</v>
      </c>
      <c r="Q257">
        <v>0.5</v>
      </c>
      <c r="R257">
        <v>1.2</v>
      </c>
      <c r="S257" s="14">
        <v>84408</v>
      </c>
      <c r="T257" s="224">
        <v>0.25</v>
      </c>
      <c r="U257" s="25">
        <v>99</v>
      </c>
      <c r="V257" s="24">
        <v>5183.4731000000002</v>
      </c>
      <c r="W257" s="22">
        <v>9.8000000000000007</v>
      </c>
      <c r="X257" s="20">
        <v>17.934000000000001</v>
      </c>
      <c r="Y257" s="19">
        <f t="shared" si="9"/>
        <v>2.886698352529856</v>
      </c>
      <c r="Z257" s="21">
        <v>317</v>
      </c>
      <c r="AA257" s="19">
        <f t="shared" si="10"/>
        <v>5.7589017738772803</v>
      </c>
      <c r="AB257" s="2">
        <v>14.8</v>
      </c>
      <c r="AC257" s="20">
        <v>5183.47</v>
      </c>
      <c r="AD257" s="19">
        <f t="shared" si="11"/>
        <v>8.553229995151165</v>
      </c>
      <c r="AE257" s="4">
        <v>71.488299999999995</v>
      </c>
      <c r="AF257" s="1">
        <v>4.4682199999999996</v>
      </c>
      <c r="AG257" s="242">
        <v>87.201300000000003</v>
      </c>
      <c r="AH257" s="242">
        <v>21.5</v>
      </c>
      <c r="AI257" s="245">
        <v>53.973999999999997</v>
      </c>
    </row>
    <row r="258" spans="1:35">
      <c r="A258" s="24">
        <v>24</v>
      </c>
      <c r="B258" s="28" t="s">
        <v>7</v>
      </c>
      <c r="C258" s="28" t="s">
        <v>6</v>
      </c>
      <c r="D258" s="23">
        <v>2013</v>
      </c>
      <c r="E258" s="239">
        <v>39.5</v>
      </c>
      <c r="F258">
        <v>2.0310100000000002</v>
      </c>
      <c r="G258" s="17">
        <v>3900000000</v>
      </c>
      <c r="H258" s="242">
        <v>8287.9599999999991</v>
      </c>
      <c r="I258" s="4">
        <v>0.3</v>
      </c>
      <c r="J258" s="24">
        <v>17.716999000000001</v>
      </c>
      <c r="K258" s="26">
        <v>0.41710000000000003</v>
      </c>
      <c r="L258" s="24">
        <v>297</v>
      </c>
      <c r="M258">
        <v>13.2</v>
      </c>
      <c r="N258" s="27">
        <v>86.7</v>
      </c>
      <c r="O258" s="26">
        <v>2.5</v>
      </c>
      <c r="P258" s="25">
        <v>598.29999999999995</v>
      </c>
      <c r="Q258">
        <v>0.4</v>
      </c>
      <c r="R258">
        <v>1.1000000000000001</v>
      </c>
      <c r="S258" s="14">
        <v>84826</v>
      </c>
      <c r="T258" s="224">
        <v>0.12</v>
      </c>
      <c r="U258" s="25">
        <v>102</v>
      </c>
      <c r="V258" s="24">
        <v>5139.7002000000002</v>
      </c>
      <c r="W258" s="22">
        <v>9.1999999999999993</v>
      </c>
      <c r="X258" s="20">
        <v>17.716999999999999</v>
      </c>
      <c r="Y258" s="19">
        <f t="shared" ref="Y258:Y298" si="12">LN(X258)</f>
        <v>2.8745246306183003</v>
      </c>
      <c r="Z258" s="21">
        <v>297</v>
      </c>
      <c r="AA258" s="19">
        <f t="shared" ref="AA258:AA298" si="13">LN(Z258)</f>
        <v>5.6937321388026998</v>
      </c>
      <c r="AB258" s="2">
        <v>13.2</v>
      </c>
      <c r="AC258" s="20">
        <v>5139.7</v>
      </c>
      <c r="AD258" s="19">
        <f t="shared" ref="AD258:AD298" si="14">LN(AC258)</f>
        <v>8.5447499909871087</v>
      </c>
      <c r="AE258" s="4">
        <v>73.402000000000001</v>
      </c>
      <c r="AF258" s="1">
        <v>4.4644599999999999</v>
      </c>
      <c r="AG258" s="242">
        <v>86.874300000000005</v>
      </c>
      <c r="AH258" s="242">
        <v>23.1</v>
      </c>
      <c r="AI258" s="245">
        <v>53.936999999999998</v>
      </c>
    </row>
    <row r="259" spans="1:35">
      <c r="A259" s="24">
        <v>24</v>
      </c>
      <c r="B259" s="28" t="s">
        <v>7</v>
      </c>
      <c r="C259" s="28" t="s">
        <v>6</v>
      </c>
      <c r="D259" s="23">
        <v>2014</v>
      </c>
      <c r="E259" s="239">
        <v>40.200000000000003</v>
      </c>
      <c r="F259">
        <v>1.93729</v>
      </c>
      <c r="G259" s="17">
        <v>3900000000</v>
      </c>
      <c r="H259" s="242">
        <v>8661.4699999999993</v>
      </c>
      <c r="I259" s="4">
        <v>0.26</v>
      </c>
      <c r="J259" s="24">
        <v>18.603999999999999</v>
      </c>
      <c r="K259" s="26">
        <v>0.41770000000000002</v>
      </c>
      <c r="L259" s="24">
        <v>272</v>
      </c>
      <c r="M259">
        <v>13.1</v>
      </c>
      <c r="N259" s="27">
        <v>87.3</v>
      </c>
      <c r="O259" s="26">
        <v>2.1</v>
      </c>
      <c r="P259" s="25">
        <v>186.1</v>
      </c>
      <c r="Q259">
        <v>0.9</v>
      </c>
      <c r="R259">
        <v>1</v>
      </c>
      <c r="S259" s="14">
        <v>82744</v>
      </c>
      <c r="T259" s="224">
        <v>0.25</v>
      </c>
      <c r="U259" s="25">
        <v>104</v>
      </c>
      <c r="V259" s="24">
        <v>5050.1478999999999</v>
      </c>
      <c r="W259" s="22">
        <v>9.4</v>
      </c>
      <c r="X259" s="20">
        <v>18.603999999999999</v>
      </c>
      <c r="Y259" s="19">
        <f t="shared" si="12"/>
        <v>2.9233766113618507</v>
      </c>
      <c r="Z259" s="21">
        <v>272</v>
      </c>
      <c r="AA259" s="19">
        <f t="shared" si="13"/>
        <v>5.6058020662959978</v>
      </c>
      <c r="AB259" s="2">
        <v>13.1</v>
      </c>
      <c r="AC259" s="20">
        <v>5050.1499999999996</v>
      </c>
      <c r="AD259" s="19">
        <f t="shared" si="14"/>
        <v>8.5271732247985774</v>
      </c>
      <c r="AE259" s="4">
        <v>73.838999999999999</v>
      </c>
      <c r="AF259" s="1">
        <v>4.4604999999999997</v>
      </c>
      <c r="AG259" s="242">
        <v>86.530699999999996</v>
      </c>
      <c r="AH259" s="242">
        <v>24.3</v>
      </c>
      <c r="AI259" s="245">
        <v>53.9</v>
      </c>
    </row>
    <row r="260" spans="1:35">
      <c r="A260" s="24">
        <v>24</v>
      </c>
      <c r="B260" s="28" t="s">
        <v>7</v>
      </c>
      <c r="C260" s="28" t="s">
        <v>6</v>
      </c>
      <c r="D260" s="23">
        <v>2015</v>
      </c>
      <c r="E260" s="239">
        <v>41.2</v>
      </c>
      <c r="F260">
        <v>2.42726</v>
      </c>
      <c r="G260" s="17">
        <v>4300000000</v>
      </c>
      <c r="H260" s="242">
        <v>8977.02</v>
      </c>
      <c r="I260" s="4">
        <v>0.28999999999999998</v>
      </c>
      <c r="J260" s="24">
        <v>22.422001000000002</v>
      </c>
      <c r="K260" s="26">
        <v>0.36099999999999999</v>
      </c>
      <c r="L260" s="24">
        <v>286</v>
      </c>
      <c r="M260">
        <v>13.3</v>
      </c>
      <c r="N260" s="27">
        <v>66</v>
      </c>
      <c r="O260" s="26">
        <v>1.7</v>
      </c>
      <c r="P260" s="25">
        <v>131.1</v>
      </c>
      <c r="Q260">
        <v>0.6</v>
      </c>
      <c r="R260">
        <v>1</v>
      </c>
      <c r="S260" s="14">
        <v>84244</v>
      </c>
      <c r="T260" s="224">
        <v>0.23</v>
      </c>
      <c r="U260" s="25">
        <v>110</v>
      </c>
      <c r="V260" s="24">
        <v>5183.3456999999999</v>
      </c>
      <c r="W260" s="22">
        <v>9.3000000000000007</v>
      </c>
      <c r="X260" s="20">
        <v>22.422000000000001</v>
      </c>
      <c r="Y260" s="19">
        <f t="shared" si="12"/>
        <v>3.1100426197314017</v>
      </c>
      <c r="Z260" s="21">
        <v>286</v>
      </c>
      <c r="AA260" s="19">
        <f t="shared" si="13"/>
        <v>5.6559918108198524</v>
      </c>
      <c r="AB260" s="2">
        <v>13.3</v>
      </c>
      <c r="AC260" s="20">
        <v>5183.3500000000004</v>
      </c>
      <c r="AD260" s="19">
        <f t="shared" si="14"/>
        <v>8.5532068443681855</v>
      </c>
      <c r="AE260" s="4">
        <v>73.316400000000002</v>
      </c>
      <c r="AF260" s="1">
        <v>4.4558</v>
      </c>
      <c r="AG260" s="242">
        <v>86.124899999999997</v>
      </c>
      <c r="AH260" s="242">
        <v>23.7</v>
      </c>
      <c r="AI260" s="245">
        <v>53.887</v>
      </c>
    </row>
    <row r="261" spans="1:35">
      <c r="A261" s="24">
        <v>24</v>
      </c>
      <c r="B261" s="28" t="s">
        <v>7</v>
      </c>
      <c r="C261" s="28" t="s">
        <v>6</v>
      </c>
      <c r="D261" s="23">
        <v>2016</v>
      </c>
      <c r="E261" s="239">
        <v>40.200000000000003</v>
      </c>
      <c r="F261">
        <v>3.37418</v>
      </c>
      <c r="G261" s="17">
        <v>6300000000</v>
      </c>
      <c r="H261" s="242">
        <v>9286.8799999999992</v>
      </c>
      <c r="I261" s="4">
        <v>0.28000000000000003</v>
      </c>
      <c r="J261" s="24">
        <v>23.004000000000001</v>
      </c>
      <c r="K261" s="26">
        <v>0.36680000000000001</v>
      </c>
      <c r="L261" s="24">
        <v>307</v>
      </c>
      <c r="M261">
        <v>13.4</v>
      </c>
      <c r="N261" s="27">
        <v>74</v>
      </c>
      <c r="O261" s="26">
        <v>1.7</v>
      </c>
      <c r="P261" s="25">
        <v>149.30000000000001</v>
      </c>
      <c r="Q261">
        <v>0.5</v>
      </c>
      <c r="R261">
        <v>1.1000000000000001</v>
      </c>
      <c r="S261" s="14">
        <v>85799</v>
      </c>
      <c r="T261" s="224">
        <v>0.28999999999999998</v>
      </c>
      <c r="U261" s="25">
        <v>113</v>
      </c>
      <c r="V261" s="24">
        <v>5216.1318000000001</v>
      </c>
      <c r="W261" s="22">
        <v>10</v>
      </c>
      <c r="X261" s="20">
        <v>23.004000000000001</v>
      </c>
      <c r="Y261" s="19">
        <f t="shared" si="12"/>
        <v>3.1356681138515077</v>
      </c>
      <c r="Z261" s="21">
        <v>307</v>
      </c>
      <c r="AA261" s="19">
        <f t="shared" si="13"/>
        <v>5.7268477475871968</v>
      </c>
      <c r="AB261" s="2">
        <v>13.4</v>
      </c>
      <c r="AC261" s="20">
        <v>5216.13</v>
      </c>
      <c r="AD261" s="19">
        <f t="shared" si="14"/>
        <v>8.5595110266087922</v>
      </c>
      <c r="AE261" s="4">
        <v>74.528300000000002</v>
      </c>
      <c r="AF261" s="1">
        <v>4.4500599999999997</v>
      </c>
      <c r="AG261" s="242">
        <v>85.632199999999997</v>
      </c>
      <c r="AH261" s="242">
        <v>24.4</v>
      </c>
      <c r="AI261" s="245">
        <v>53.9</v>
      </c>
    </row>
    <row r="262" spans="1:35">
      <c r="A262" s="24">
        <v>24</v>
      </c>
      <c r="B262" s="28" t="s">
        <v>7</v>
      </c>
      <c r="C262" s="28" t="s">
        <v>6</v>
      </c>
      <c r="D262" s="23">
        <v>2017</v>
      </c>
      <c r="E262" s="239">
        <v>41.1</v>
      </c>
      <c r="F262">
        <v>2.8327300000000002</v>
      </c>
      <c r="G262" s="17">
        <v>6000000000</v>
      </c>
      <c r="H262" s="242">
        <v>10106.200000000001</v>
      </c>
      <c r="I262" s="4">
        <v>0.28000000000000003</v>
      </c>
      <c r="J262" s="24">
        <v>21.59</v>
      </c>
      <c r="K262" s="26">
        <v>0.42920000000000003</v>
      </c>
      <c r="L262" s="24">
        <v>315</v>
      </c>
      <c r="M262">
        <v>14</v>
      </c>
      <c r="N262" s="27">
        <v>83.4</v>
      </c>
      <c r="O262" s="26">
        <v>1.8</v>
      </c>
      <c r="P262" s="25">
        <v>75.400000000000006</v>
      </c>
      <c r="Q262">
        <v>0.6</v>
      </c>
      <c r="R262">
        <v>1.1000000000000001</v>
      </c>
      <c r="S262" s="14">
        <v>86361</v>
      </c>
      <c r="T262" s="224">
        <v>0.43</v>
      </c>
      <c r="U262" s="25">
        <v>112</v>
      </c>
      <c r="V262" s="24">
        <v>5067.7749000000003</v>
      </c>
      <c r="W262" s="22">
        <v>10.8</v>
      </c>
      <c r="X262" s="20">
        <v>21.59</v>
      </c>
      <c r="Y262" s="19">
        <f t="shared" si="12"/>
        <v>3.072230244526716</v>
      </c>
      <c r="Z262" s="21">
        <v>315</v>
      </c>
      <c r="AA262" s="19">
        <f t="shared" si="13"/>
        <v>5.7525726388256331</v>
      </c>
      <c r="AB262" s="2">
        <v>14</v>
      </c>
      <c r="AC262" s="20">
        <v>5067.7700000000004</v>
      </c>
      <c r="AD262" s="19">
        <f t="shared" si="14"/>
        <v>8.530656157617198</v>
      </c>
      <c r="AE262" s="4">
        <v>74.351200000000006</v>
      </c>
      <c r="AF262" s="1">
        <v>4.44428</v>
      </c>
      <c r="AG262" s="242">
        <v>85.1387</v>
      </c>
      <c r="AH262" s="242">
        <v>23.4</v>
      </c>
      <c r="AI262" s="245">
        <v>53.936</v>
      </c>
    </row>
    <row r="263" spans="1:35">
      <c r="A263" s="24">
        <v>24</v>
      </c>
      <c r="B263" s="28" t="s">
        <v>7</v>
      </c>
      <c r="C263" s="28" t="s">
        <v>6</v>
      </c>
      <c r="D263" s="23">
        <v>2018</v>
      </c>
      <c r="E263" s="239">
        <v>41.3</v>
      </c>
      <c r="F263">
        <v>3.0162200000000001</v>
      </c>
      <c r="G263" s="17">
        <v>7300000000</v>
      </c>
      <c r="H263" s="242">
        <v>10788</v>
      </c>
      <c r="I263" s="4">
        <v>0.28000000000000003</v>
      </c>
      <c r="J263" s="24">
        <v>23.417000000000002</v>
      </c>
      <c r="K263" s="26">
        <v>0.4224</v>
      </c>
      <c r="L263" s="24">
        <v>329</v>
      </c>
      <c r="M263">
        <v>11.1</v>
      </c>
      <c r="N263" s="27">
        <v>83.1</v>
      </c>
      <c r="O263" s="26">
        <v>1.6</v>
      </c>
      <c r="P263" s="25">
        <v>155.1</v>
      </c>
      <c r="Q263">
        <v>0.4</v>
      </c>
      <c r="R263">
        <v>1.1000000000000001</v>
      </c>
      <c r="S263" s="14">
        <v>86347</v>
      </c>
      <c r="T263" s="224">
        <v>0.49</v>
      </c>
      <c r="U263" s="25">
        <v>110</v>
      </c>
      <c r="V263" s="24">
        <v>4851.9076999999997</v>
      </c>
      <c r="W263" s="22">
        <v>10.7</v>
      </c>
      <c r="X263" s="20">
        <v>23.417000000000002</v>
      </c>
      <c r="Y263" s="19">
        <f t="shared" si="12"/>
        <v>3.1534622543198756</v>
      </c>
      <c r="Z263" s="21">
        <v>329</v>
      </c>
      <c r="AA263" s="19">
        <f t="shared" si="13"/>
        <v>5.7960577507653719</v>
      </c>
      <c r="AB263" s="2">
        <v>11.1</v>
      </c>
      <c r="AC263" s="20">
        <v>4851.91</v>
      </c>
      <c r="AD263" s="19">
        <f t="shared" si="14"/>
        <v>8.4871277208399682</v>
      </c>
      <c r="AE263" s="4">
        <v>72.866500000000002</v>
      </c>
      <c r="AF263" s="1">
        <v>4.4384100000000002</v>
      </c>
      <c r="AG263" s="242">
        <v>84.64</v>
      </c>
      <c r="AH263" s="242">
        <v>23</v>
      </c>
      <c r="AI263" s="245">
        <v>53.997999999999998</v>
      </c>
    </row>
    <row r="264" spans="1:35">
      <c r="A264" s="24">
        <v>24</v>
      </c>
      <c r="B264" s="28" t="s">
        <v>7</v>
      </c>
      <c r="C264" s="28" t="s">
        <v>6</v>
      </c>
      <c r="D264" s="23">
        <v>2019</v>
      </c>
      <c r="E264" s="239">
        <v>42.1</v>
      </c>
      <c r="F264">
        <v>2.9265400000000001</v>
      </c>
      <c r="G264" s="17">
        <v>7400000000</v>
      </c>
      <c r="H264" s="242">
        <v>11270.5</v>
      </c>
      <c r="I264" s="4">
        <v>0.26</v>
      </c>
      <c r="J264" s="24">
        <v>27.959999</v>
      </c>
      <c r="K264" s="26">
        <v>0.36840000000000001</v>
      </c>
      <c r="L264" s="24">
        <v>336</v>
      </c>
      <c r="M264">
        <v>11.5</v>
      </c>
      <c r="N264" s="27">
        <v>81.5</v>
      </c>
      <c r="O264" s="26">
        <v>1.4</v>
      </c>
      <c r="P264" s="25">
        <v>428.6</v>
      </c>
      <c r="Q264">
        <v>0.5</v>
      </c>
      <c r="R264">
        <v>1.1000000000000001</v>
      </c>
      <c r="S264" s="14">
        <v>90179</v>
      </c>
      <c r="T264" s="224">
        <v>0.41</v>
      </c>
      <c r="U264" s="25">
        <v>111</v>
      </c>
      <c r="V264" s="24">
        <v>4636.0405000000001</v>
      </c>
      <c r="W264" s="22">
        <v>9.5</v>
      </c>
      <c r="X264" s="20">
        <v>27.96</v>
      </c>
      <c r="Y264" s="19">
        <f t="shared" si="12"/>
        <v>3.3307749173656096</v>
      </c>
      <c r="Z264" s="21">
        <v>336</v>
      </c>
      <c r="AA264" s="19">
        <f t="shared" si="13"/>
        <v>5.8171111599632042</v>
      </c>
      <c r="AB264" s="2">
        <v>11.5</v>
      </c>
      <c r="AC264" s="20"/>
      <c r="AD264" s="19" t="e">
        <f t="shared" si="14"/>
        <v>#NUM!</v>
      </c>
      <c r="AE264" s="4">
        <v>68.903800000000004</v>
      </c>
      <c r="AF264" s="1">
        <v>4.4331399999999999</v>
      </c>
      <c r="AG264" s="242">
        <v>84.195300000000003</v>
      </c>
      <c r="AH264" s="242">
        <v>23.5</v>
      </c>
      <c r="AI264" s="245">
        <v>54.084000000000003</v>
      </c>
    </row>
    <row r="265" spans="1:35">
      <c r="A265" s="24">
        <v>24</v>
      </c>
      <c r="B265" s="28" t="s">
        <v>7</v>
      </c>
      <c r="C265" s="28" t="s">
        <v>6</v>
      </c>
      <c r="D265" s="23">
        <v>2020</v>
      </c>
      <c r="E265" s="239">
        <v>42.7</v>
      </c>
      <c r="F265">
        <v>1.4293400000000001</v>
      </c>
      <c r="G265" s="17">
        <v>3600000000</v>
      </c>
      <c r="H265" s="242">
        <v>10916.3</v>
      </c>
      <c r="I265" s="4">
        <v>0.27</v>
      </c>
      <c r="J265" s="24">
        <v>29.370999999999999</v>
      </c>
      <c r="K265" s="26">
        <v>0.3448</v>
      </c>
      <c r="L265" s="24">
        <v>346</v>
      </c>
      <c r="M265">
        <v>11.9</v>
      </c>
      <c r="N265" s="27">
        <v>76</v>
      </c>
      <c r="O265" s="26">
        <v>1.5</v>
      </c>
      <c r="P265" s="25">
        <v>557.29999999999995</v>
      </c>
      <c r="Q265">
        <v>0.5</v>
      </c>
      <c r="R265">
        <v>1</v>
      </c>
      <c r="S265" s="14">
        <v>88583</v>
      </c>
      <c r="T265" s="224">
        <v>0.26</v>
      </c>
      <c r="U265" s="25">
        <v>112</v>
      </c>
      <c r="V265" s="24">
        <v>4420.1733000000004</v>
      </c>
      <c r="W265" s="22">
        <v>9.3000000000000007</v>
      </c>
      <c r="X265" s="20">
        <v>29.370999999999999</v>
      </c>
      <c r="Y265" s="19">
        <f t="shared" si="12"/>
        <v>3.3800077929795518</v>
      </c>
      <c r="Z265" s="21">
        <v>346</v>
      </c>
      <c r="AA265" s="19">
        <f t="shared" si="13"/>
        <v>5.8464387750577247</v>
      </c>
      <c r="AB265" s="2">
        <v>11.9</v>
      </c>
      <c r="AC265" s="20"/>
      <c r="AD265" s="19" t="e">
        <f t="shared" si="14"/>
        <v>#NUM!</v>
      </c>
      <c r="AE265" s="4">
        <v>64.6143</v>
      </c>
      <c r="AF265" s="1">
        <v>4.4276299999999997</v>
      </c>
      <c r="AG265" s="242">
        <v>83.732799999999997</v>
      </c>
      <c r="AH265" s="242">
        <v>24.1</v>
      </c>
      <c r="AI265" s="245">
        <v>54.194000000000003</v>
      </c>
    </row>
    <row r="266" spans="1:35">
      <c r="A266" s="24">
        <v>25</v>
      </c>
      <c r="B266" s="28" t="s">
        <v>5</v>
      </c>
      <c r="C266" s="28" t="s">
        <v>4</v>
      </c>
      <c r="D266" s="23">
        <v>2010</v>
      </c>
      <c r="E266" s="239">
        <v>16</v>
      </c>
      <c r="F266">
        <v>0.126859</v>
      </c>
      <c r="G266" s="17">
        <v>630000000</v>
      </c>
      <c r="H266" s="242">
        <v>48204.7</v>
      </c>
      <c r="I266" s="4">
        <v>0.81</v>
      </c>
      <c r="J266" s="24">
        <v>22.777999999999999</v>
      </c>
      <c r="K266" s="26">
        <v>1.9827999999999999</v>
      </c>
      <c r="L266" s="24">
        <v>518</v>
      </c>
      <c r="M266">
        <v>47.799999</v>
      </c>
      <c r="N266" s="27">
        <v>83.9</v>
      </c>
      <c r="O266" s="26">
        <v>7.2</v>
      </c>
      <c r="P266" s="25">
        <v>82.3</v>
      </c>
      <c r="S266" s="14">
        <v>69105</v>
      </c>
      <c r="T266" s="224">
        <v>0.43</v>
      </c>
      <c r="U266" s="25">
        <v>100</v>
      </c>
      <c r="V266" s="24">
        <v>5194.0454</v>
      </c>
      <c r="W266" s="22">
        <v>27.6</v>
      </c>
      <c r="X266" s="20">
        <v>22.777999999999999</v>
      </c>
      <c r="Y266" s="19">
        <f t="shared" si="12"/>
        <v>3.1257951578521594</v>
      </c>
      <c r="Z266" s="21">
        <v>518</v>
      </c>
      <c r="AA266" s="19">
        <f t="shared" si="13"/>
        <v>6.2499752422594828</v>
      </c>
      <c r="AB266" s="2">
        <v>47.8</v>
      </c>
      <c r="AC266" s="20">
        <v>5194.05</v>
      </c>
      <c r="AD266" s="19">
        <f t="shared" si="14"/>
        <v>8.555269018668465</v>
      </c>
      <c r="AE266" s="4">
        <v>62.403399999999998</v>
      </c>
      <c r="AF266" s="1">
        <v>3.1364899999999998</v>
      </c>
      <c r="AG266" s="242">
        <v>23.0229</v>
      </c>
      <c r="AH266" s="242">
        <v>44.7</v>
      </c>
      <c r="AI266" s="245">
        <v>85.055999999999997</v>
      </c>
    </row>
    <row r="267" spans="1:35">
      <c r="A267" s="24">
        <v>25</v>
      </c>
      <c r="B267" s="28" t="s">
        <v>5</v>
      </c>
      <c r="C267" s="28" t="s">
        <v>4</v>
      </c>
      <c r="D267" s="23">
        <v>2011</v>
      </c>
      <c r="E267" s="239">
        <v>16.5</v>
      </c>
      <c r="F267">
        <v>1.22329</v>
      </c>
      <c r="G267" s="17">
        <v>7000000000</v>
      </c>
      <c r="H267" s="242">
        <v>49355.7</v>
      </c>
      <c r="I267" s="4">
        <v>0.81</v>
      </c>
      <c r="J267" s="24">
        <v>24.24</v>
      </c>
      <c r="K267" s="26">
        <v>1.9406000000000001</v>
      </c>
      <c r="L267" s="24">
        <v>520</v>
      </c>
      <c r="M267">
        <v>47</v>
      </c>
      <c r="N267" s="27">
        <v>83.6</v>
      </c>
      <c r="O267" s="26">
        <v>7.6</v>
      </c>
      <c r="P267" s="25">
        <v>122.8</v>
      </c>
      <c r="S267" s="14">
        <v>74573</v>
      </c>
      <c r="T267" s="224">
        <v>0.78</v>
      </c>
      <c r="U267" s="25">
        <v>100</v>
      </c>
      <c r="V267" s="24">
        <v>5013.1665000000003</v>
      </c>
      <c r="W267" s="22">
        <v>26.9</v>
      </c>
      <c r="X267" s="20">
        <v>24.24</v>
      </c>
      <c r="Y267" s="19">
        <f t="shared" si="12"/>
        <v>3.1880041612011136</v>
      </c>
      <c r="Z267" s="21">
        <v>520</v>
      </c>
      <c r="AA267" s="19">
        <f t="shared" si="13"/>
        <v>6.253828811575473</v>
      </c>
      <c r="AB267" s="2">
        <v>47</v>
      </c>
      <c r="AC267" s="20">
        <v>5013.17</v>
      </c>
      <c r="AD267" s="19">
        <f t="shared" si="14"/>
        <v>8.5198237285177552</v>
      </c>
      <c r="AE267" s="4">
        <v>63.7971</v>
      </c>
      <c r="AF267" s="1">
        <v>3.1440399999999999</v>
      </c>
      <c r="AG267" s="242">
        <v>23.197399999999998</v>
      </c>
      <c r="AH267" s="242">
        <v>45.4</v>
      </c>
      <c r="AI267" s="245">
        <v>85.296999999999997</v>
      </c>
    </row>
    <row r="268" spans="1:35">
      <c r="A268" s="24">
        <v>25</v>
      </c>
      <c r="B268" s="28" t="s">
        <v>5</v>
      </c>
      <c r="C268" s="28" t="s">
        <v>4</v>
      </c>
      <c r="D268" s="23">
        <v>2012</v>
      </c>
      <c r="E268" s="239">
        <v>18</v>
      </c>
      <c r="F268">
        <v>0.77737000000000001</v>
      </c>
      <c r="G268" s="17">
        <v>4300000000</v>
      </c>
      <c r="H268" s="242">
        <v>48788.9</v>
      </c>
      <c r="I268" s="4">
        <v>0.81</v>
      </c>
      <c r="J268" s="24">
        <v>23.094999000000001</v>
      </c>
      <c r="K268" s="26">
        <v>1.9404999999999999</v>
      </c>
      <c r="L268" s="24">
        <v>516</v>
      </c>
      <c r="M268">
        <v>46.900002000000001</v>
      </c>
      <c r="N268" s="27">
        <v>84.3</v>
      </c>
      <c r="O268" s="26">
        <v>8.1999999999999993</v>
      </c>
      <c r="P268" s="25">
        <v>71.2</v>
      </c>
      <c r="Q268">
        <v>0.4</v>
      </c>
      <c r="R268">
        <v>1.5</v>
      </c>
      <c r="S268" s="14">
        <v>74598</v>
      </c>
      <c r="T268" s="224">
        <v>0.48</v>
      </c>
      <c r="U268" s="25">
        <v>98</v>
      </c>
      <c r="V268" s="24">
        <v>4817.7938999999997</v>
      </c>
      <c r="W268" s="22">
        <v>26.3</v>
      </c>
      <c r="X268" s="20">
        <v>23.094999999999999</v>
      </c>
      <c r="Y268" s="19">
        <f t="shared" si="12"/>
        <v>3.1396161438825687</v>
      </c>
      <c r="Z268" s="21">
        <v>516</v>
      </c>
      <c r="AA268" s="19">
        <f t="shared" si="13"/>
        <v>6.2461067654815627</v>
      </c>
      <c r="AB268" s="2">
        <v>46.9</v>
      </c>
      <c r="AC268" s="20">
        <v>4817.79</v>
      </c>
      <c r="AD268" s="19">
        <f t="shared" si="14"/>
        <v>8.4800705956744586</v>
      </c>
      <c r="AE268" s="4">
        <v>61.261600000000001</v>
      </c>
      <c r="AF268" s="1">
        <v>3.15144</v>
      </c>
      <c r="AG268" s="242">
        <v>23.369599999999998</v>
      </c>
      <c r="AH268" s="242">
        <v>48.3</v>
      </c>
      <c r="AI268" s="245">
        <v>85.62</v>
      </c>
    </row>
    <row r="269" spans="1:35">
      <c r="A269" s="24">
        <v>25</v>
      </c>
      <c r="B269" s="28" t="s">
        <v>5</v>
      </c>
      <c r="C269" s="28" t="s">
        <v>4</v>
      </c>
      <c r="D269" s="23">
        <v>2013</v>
      </c>
      <c r="E269" s="239">
        <v>18</v>
      </c>
      <c r="F269">
        <v>0.25469599999999998</v>
      </c>
      <c r="G269" s="17">
        <v>1500000000</v>
      </c>
      <c r="H269" s="242">
        <v>48927.6</v>
      </c>
      <c r="I269" s="4">
        <v>0.81</v>
      </c>
      <c r="J269" s="24">
        <v>24.889999</v>
      </c>
      <c r="K269" s="26">
        <v>1.9071</v>
      </c>
      <c r="L269" s="24">
        <v>490</v>
      </c>
      <c r="M269">
        <v>48.200001</v>
      </c>
      <c r="N269" s="27">
        <v>83.7</v>
      </c>
      <c r="O269" s="26">
        <v>7.2</v>
      </c>
      <c r="P269" s="25">
        <v>43.2</v>
      </c>
      <c r="Q269">
        <v>0.4</v>
      </c>
      <c r="R269">
        <v>1.6</v>
      </c>
      <c r="S269" s="14">
        <v>74963</v>
      </c>
      <c r="T269" s="224">
        <v>0.91</v>
      </c>
      <c r="U269" s="25">
        <v>99</v>
      </c>
      <c r="V269" s="24">
        <v>4805.3521000000001</v>
      </c>
      <c r="W269" s="22">
        <v>24.9</v>
      </c>
      <c r="X269" s="20">
        <v>24.89</v>
      </c>
      <c r="Y269" s="19">
        <f t="shared" si="12"/>
        <v>3.2144661163795005</v>
      </c>
      <c r="Z269" s="21">
        <v>490</v>
      </c>
      <c r="AA269" s="19">
        <f t="shared" si="13"/>
        <v>6.1944053911046719</v>
      </c>
      <c r="AB269" s="2">
        <v>48.2</v>
      </c>
      <c r="AC269" s="20">
        <v>4805.3500000000004</v>
      </c>
      <c r="AD269" s="19">
        <f t="shared" si="14"/>
        <v>8.4774851595424749</v>
      </c>
      <c r="AE269" s="4">
        <v>56.179299999999998</v>
      </c>
      <c r="AF269" s="1">
        <v>3.15991</v>
      </c>
      <c r="AG269" s="242">
        <v>23.5685</v>
      </c>
      <c r="AH269" s="242">
        <v>47.3</v>
      </c>
      <c r="AI269" s="245">
        <v>85.936000000000007</v>
      </c>
    </row>
    <row r="270" spans="1:35">
      <c r="A270" s="24">
        <v>25</v>
      </c>
      <c r="B270" s="28" t="s">
        <v>5</v>
      </c>
      <c r="C270" s="28" t="s">
        <v>4</v>
      </c>
      <c r="D270" s="23">
        <v>2014</v>
      </c>
      <c r="E270" s="239">
        <v>17.3</v>
      </c>
      <c r="F270">
        <v>-1.0454300000000001</v>
      </c>
      <c r="G270" s="17">
        <v>-6000000000</v>
      </c>
      <c r="H270" s="242">
        <v>49556.7</v>
      </c>
      <c r="I270" s="4">
        <v>0.81</v>
      </c>
      <c r="J270" s="24">
        <v>23.040001</v>
      </c>
      <c r="K270" s="26">
        <v>1.9057999999999999</v>
      </c>
      <c r="L270" s="24">
        <v>453</v>
      </c>
      <c r="M270">
        <v>49.299999</v>
      </c>
      <c r="N270" s="27">
        <v>84.1</v>
      </c>
      <c r="O270" s="26">
        <v>6.4</v>
      </c>
      <c r="P270" s="25">
        <v>20.8</v>
      </c>
      <c r="Q270">
        <v>0.4</v>
      </c>
      <c r="R270">
        <v>1.4</v>
      </c>
      <c r="S270" s="14">
        <v>75670</v>
      </c>
      <c r="T270" s="224">
        <v>0.7</v>
      </c>
      <c r="U270" s="25">
        <v>101</v>
      </c>
      <c r="V270" s="24">
        <v>4866.1522999999997</v>
      </c>
      <c r="W270" s="22">
        <v>25.4</v>
      </c>
      <c r="X270" s="20">
        <v>23.04</v>
      </c>
      <c r="Y270" s="19">
        <f t="shared" si="12"/>
        <v>3.1372318358276905</v>
      </c>
      <c r="Z270" s="21">
        <v>453</v>
      </c>
      <c r="AA270" s="19">
        <f t="shared" si="13"/>
        <v>6.1158921254830343</v>
      </c>
      <c r="AB270" s="2">
        <v>49.3</v>
      </c>
      <c r="AC270" s="20">
        <v>4866.1499999999996</v>
      </c>
      <c r="AD270" s="19">
        <f t="shared" si="14"/>
        <v>8.490058349008919</v>
      </c>
      <c r="AE270" s="4">
        <v>56.575899999999997</v>
      </c>
      <c r="AF270" s="1">
        <v>3.1698300000000001</v>
      </c>
      <c r="AG270" s="242">
        <v>23.8035</v>
      </c>
      <c r="AH270" s="242">
        <v>48.6</v>
      </c>
      <c r="AI270" s="245">
        <v>86.247</v>
      </c>
    </row>
    <row r="271" spans="1:35">
      <c r="A271" s="24">
        <v>25</v>
      </c>
      <c r="B271" s="28" t="s">
        <v>5</v>
      </c>
      <c r="C271" s="28" t="s">
        <v>4</v>
      </c>
      <c r="D271" s="23">
        <v>2015</v>
      </c>
      <c r="E271" s="239">
        <v>18.100000000000001</v>
      </c>
      <c r="F271">
        <v>1.94889</v>
      </c>
      <c r="G271" s="17">
        <v>9800000000</v>
      </c>
      <c r="H271" s="242">
        <v>51198</v>
      </c>
      <c r="I271" s="4">
        <v>0.81</v>
      </c>
      <c r="J271" s="24">
        <v>23.094000000000001</v>
      </c>
      <c r="K271" s="26">
        <v>2.0114000000000001</v>
      </c>
      <c r="L271" s="24">
        <v>439</v>
      </c>
      <c r="M271">
        <v>47.599997999999999</v>
      </c>
      <c r="N271" s="27">
        <v>83.6</v>
      </c>
      <c r="O271" s="26">
        <v>6.7</v>
      </c>
      <c r="P271" s="25">
        <v>56</v>
      </c>
      <c r="Q271">
        <v>0.4</v>
      </c>
      <c r="R271">
        <v>1.4</v>
      </c>
      <c r="S271" s="14">
        <v>78165</v>
      </c>
      <c r="T271" s="224">
        <v>1</v>
      </c>
      <c r="U271" s="25">
        <v>103</v>
      </c>
      <c r="V271" s="24">
        <v>4665.5537000000004</v>
      </c>
      <c r="W271" s="22">
        <v>25.5</v>
      </c>
      <c r="X271" s="20">
        <v>23.094000000000001</v>
      </c>
      <c r="Y271" s="19">
        <f t="shared" si="12"/>
        <v>3.1395728435296641</v>
      </c>
      <c r="Z271" s="21">
        <v>439</v>
      </c>
      <c r="AA271" s="19">
        <f t="shared" si="13"/>
        <v>6.0844994130751715</v>
      </c>
      <c r="AB271" s="2">
        <v>47.6</v>
      </c>
      <c r="AC271" s="20">
        <v>4665.55</v>
      </c>
      <c r="AD271" s="19">
        <f t="shared" si="14"/>
        <v>8.4479610055816057</v>
      </c>
      <c r="AE271" s="4">
        <v>55.495699999999999</v>
      </c>
      <c r="AF271" s="1">
        <v>3.1804800000000002</v>
      </c>
      <c r="AG271" s="242">
        <v>24.058299999999999</v>
      </c>
      <c r="AH271" s="242">
        <v>51.9</v>
      </c>
      <c r="AI271" s="245">
        <v>86.552999999999997</v>
      </c>
    </row>
    <row r="272" spans="1:35">
      <c r="A272" s="24">
        <v>25</v>
      </c>
      <c r="B272" s="28" t="s">
        <v>5</v>
      </c>
      <c r="C272" s="28" t="s">
        <v>4</v>
      </c>
      <c r="D272" s="23">
        <v>2016</v>
      </c>
      <c r="E272" s="239">
        <v>17.3</v>
      </c>
      <c r="F272">
        <v>3.00854</v>
      </c>
      <c r="G272" s="17">
        <v>15000000000</v>
      </c>
      <c r="H272" s="242">
        <v>51746.7</v>
      </c>
      <c r="I272" s="4">
        <v>0.79</v>
      </c>
      <c r="J272" s="24">
        <v>24.603000999999999</v>
      </c>
      <c r="K272" s="26">
        <v>2.0141</v>
      </c>
      <c r="L272" s="24">
        <v>452</v>
      </c>
      <c r="M272">
        <v>48.400002000000001</v>
      </c>
      <c r="N272" s="27">
        <v>83.4</v>
      </c>
      <c r="O272" s="26">
        <v>6.9</v>
      </c>
      <c r="P272" s="25">
        <v>31.8</v>
      </c>
      <c r="Q272">
        <v>0.5</v>
      </c>
      <c r="R272">
        <v>1.4</v>
      </c>
      <c r="S272" s="14">
        <v>80333</v>
      </c>
      <c r="T272" s="224">
        <v>0.61</v>
      </c>
      <c r="U272" s="25">
        <v>104</v>
      </c>
      <c r="V272" s="24">
        <v>4562.3603999999996</v>
      </c>
      <c r="W272" s="22">
        <v>26.4</v>
      </c>
      <c r="X272" s="20">
        <v>24.603000000000002</v>
      </c>
      <c r="Y272" s="19">
        <f t="shared" si="12"/>
        <v>3.2028683867223839</v>
      </c>
      <c r="Z272" s="21">
        <v>452</v>
      </c>
      <c r="AA272" s="19">
        <f t="shared" si="13"/>
        <v>6.1136821798322316</v>
      </c>
      <c r="AB272" s="2">
        <v>48.4</v>
      </c>
      <c r="AC272" s="20">
        <v>4562.3599999999997</v>
      </c>
      <c r="AD272" s="19">
        <f t="shared" si="14"/>
        <v>8.4255953124884471</v>
      </c>
      <c r="AE272" s="4">
        <v>54.512099999999997</v>
      </c>
      <c r="AF272" s="1">
        <v>3.1930399999999999</v>
      </c>
      <c r="AG272" s="242">
        <v>24.362400000000001</v>
      </c>
      <c r="AH272" s="242">
        <v>50.9</v>
      </c>
      <c r="AI272" s="245">
        <v>86.852000000000004</v>
      </c>
    </row>
    <row r="273" spans="1:35">
      <c r="A273" s="24">
        <v>25</v>
      </c>
      <c r="B273" s="28" t="s">
        <v>5</v>
      </c>
      <c r="C273" s="28" t="s">
        <v>4</v>
      </c>
      <c r="D273" s="23">
        <v>2017</v>
      </c>
      <c r="E273" s="239">
        <v>17.899999999999999</v>
      </c>
      <c r="F273">
        <v>4.5338399999999996</v>
      </c>
      <c r="G273" s="17">
        <v>24000000000</v>
      </c>
      <c r="H273" s="242">
        <v>51985.9</v>
      </c>
      <c r="I273" s="4">
        <v>0.78</v>
      </c>
      <c r="J273" s="24">
        <v>22.815000999999999</v>
      </c>
      <c r="K273" s="26">
        <v>1.9456</v>
      </c>
      <c r="L273" s="24">
        <v>459</v>
      </c>
      <c r="M273">
        <v>46.799999</v>
      </c>
      <c r="N273" s="27">
        <v>83.5</v>
      </c>
      <c r="O273" s="26">
        <v>6.7</v>
      </c>
      <c r="P273" s="25">
        <v>46.1</v>
      </c>
      <c r="Q273">
        <v>0.5</v>
      </c>
      <c r="R273">
        <v>1.5</v>
      </c>
      <c r="S273" s="14">
        <v>83566</v>
      </c>
      <c r="T273" s="224">
        <v>1.39</v>
      </c>
      <c r="U273" s="25">
        <v>103</v>
      </c>
      <c r="V273" s="24">
        <v>4403.3734999999997</v>
      </c>
      <c r="W273" s="22">
        <v>25.4</v>
      </c>
      <c r="X273" s="20">
        <v>22.815000000000001</v>
      </c>
      <c r="Y273" s="19">
        <f t="shared" si="12"/>
        <v>3.1274182143793658</v>
      </c>
      <c r="Z273" s="21">
        <v>459</v>
      </c>
      <c r="AA273" s="19">
        <f t="shared" si="13"/>
        <v>6.1290502100605453</v>
      </c>
      <c r="AB273" s="2">
        <v>46.8</v>
      </c>
      <c r="AC273" s="20">
        <v>4403.37</v>
      </c>
      <c r="AD273" s="19">
        <f t="shared" si="14"/>
        <v>8.3901254358385735</v>
      </c>
      <c r="AE273" s="4">
        <v>57.292299999999997</v>
      </c>
      <c r="AF273" s="1">
        <v>3.2065199999999998</v>
      </c>
      <c r="AG273" s="242">
        <v>24.692900000000002</v>
      </c>
      <c r="AH273" s="242">
        <v>51.8</v>
      </c>
      <c r="AI273" s="245">
        <v>87.146000000000001</v>
      </c>
    </row>
    <row r="274" spans="1:35">
      <c r="A274" s="24">
        <v>25</v>
      </c>
      <c r="B274" s="28" t="s">
        <v>5</v>
      </c>
      <c r="C274" s="28" t="s">
        <v>4</v>
      </c>
      <c r="D274" s="23">
        <v>2018</v>
      </c>
      <c r="E274" s="239">
        <v>18.2</v>
      </c>
      <c r="F274">
        <v>-0.12953700000000001</v>
      </c>
      <c r="G274" s="17">
        <v>-710000000</v>
      </c>
      <c r="H274" s="242">
        <v>52363.4</v>
      </c>
      <c r="I274" s="4">
        <v>0.78</v>
      </c>
      <c r="J274" s="24">
        <v>25.068999999999999</v>
      </c>
      <c r="K274" s="26">
        <v>1.9154</v>
      </c>
      <c r="L274" s="24">
        <v>472</v>
      </c>
      <c r="M274">
        <v>45.799999</v>
      </c>
      <c r="N274" s="27">
        <v>83.3</v>
      </c>
      <c r="O274" s="26">
        <v>6.6</v>
      </c>
      <c r="P274" s="25">
        <v>19.100000000000001</v>
      </c>
      <c r="Q274">
        <v>0.4</v>
      </c>
      <c r="R274">
        <v>1.4</v>
      </c>
      <c r="S274" s="14">
        <v>80130</v>
      </c>
      <c r="T274" s="224">
        <v>1.88</v>
      </c>
      <c r="U274" s="25">
        <v>102</v>
      </c>
      <c r="V274" s="24">
        <v>3890.9169999999999</v>
      </c>
      <c r="W274" s="22">
        <v>26.8</v>
      </c>
      <c r="X274" s="20">
        <v>25.068999999999999</v>
      </c>
      <c r="Y274" s="19">
        <f t="shared" si="12"/>
        <v>3.2216320230619178</v>
      </c>
      <c r="Z274" s="21">
        <v>472</v>
      </c>
      <c r="AA274" s="19">
        <f t="shared" si="13"/>
        <v>6.156978985585555</v>
      </c>
      <c r="AB274" s="2">
        <v>45.8</v>
      </c>
      <c r="AC274" s="20">
        <v>3890.92</v>
      </c>
      <c r="AD274" s="19">
        <f t="shared" si="14"/>
        <v>8.2664009125059046</v>
      </c>
      <c r="AE274" s="4">
        <v>61.049399999999999</v>
      </c>
      <c r="AF274" s="1">
        <v>3.2181299999999999</v>
      </c>
      <c r="AG274" s="242">
        <v>24.9815</v>
      </c>
      <c r="AH274" s="242">
        <v>51.6</v>
      </c>
      <c r="AI274" s="245">
        <v>87.430999999999997</v>
      </c>
    </row>
    <row r="275" spans="1:35">
      <c r="A275" s="24">
        <v>25</v>
      </c>
      <c r="B275" s="28" t="s">
        <v>5</v>
      </c>
      <c r="C275" s="28" t="s">
        <v>4</v>
      </c>
      <c r="D275" s="23">
        <v>2019</v>
      </c>
      <c r="E275" s="239">
        <v>18.8</v>
      </c>
      <c r="F275">
        <v>2.98448</v>
      </c>
      <c r="G275" s="17">
        <v>16000000000</v>
      </c>
      <c r="H275" s="242">
        <v>53156.9</v>
      </c>
      <c r="I275" s="4">
        <v>0.79</v>
      </c>
      <c r="J275" s="24">
        <v>24.677</v>
      </c>
      <c r="K275" s="26">
        <v>1.8713</v>
      </c>
      <c r="L275" s="24">
        <v>484</v>
      </c>
      <c r="M275">
        <v>46.599997999999999</v>
      </c>
      <c r="N275" s="27">
        <v>86.6</v>
      </c>
      <c r="O275" s="26">
        <v>6.4</v>
      </c>
      <c r="P275" s="25">
        <v>54.2</v>
      </c>
      <c r="Q275">
        <v>0.4</v>
      </c>
      <c r="R275">
        <v>1.3</v>
      </c>
      <c r="S275" s="14">
        <v>81185</v>
      </c>
      <c r="T275" s="224">
        <v>1.4</v>
      </c>
      <c r="U275" s="25">
        <v>103</v>
      </c>
      <c r="V275" s="24">
        <v>3378.4603999999999</v>
      </c>
      <c r="W275" s="22">
        <v>25</v>
      </c>
      <c r="X275" s="20">
        <v>24.677</v>
      </c>
      <c r="Y275" s="19">
        <f t="shared" si="12"/>
        <v>3.2058716357329469</v>
      </c>
      <c r="Z275" s="21">
        <v>484</v>
      </c>
      <c r="AA275" s="19">
        <f t="shared" si="13"/>
        <v>6.1820849067166321</v>
      </c>
      <c r="AB275" s="2">
        <v>46.6</v>
      </c>
      <c r="AC275" s="20"/>
      <c r="AD275" s="19" t="e">
        <f t="shared" si="14"/>
        <v>#NUM!</v>
      </c>
      <c r="AE275" s="4">
        <v>60.046100000000003</v>
      </c>
      <c r="AF275" s="1">
        <v>3.2283499999999998</v>
      </c>
      <c r="AG275" s="242">
        <v>25.2379</v>
      </c>
      <c r="AH275" s="242">
        <v>52.9</v>
      </c>
      <c r="AI275" s="245">
        <v>87.707999999999998</v>
      </c>
    </row>
    <row r="276" spans="1:35">
      <c r="A276" s="24">
        <v>25</v>
      </c>
      <c r="B276" s="28" t="s">
        <v>5</v>
      </c>
      <c r="C276" s="28" t="s">
        <v>4</v>
      </c>
      <c r="D276" s="23">
        <v>2020</v>
      </c>
      <c r="E276" s="239">
        <v>19.2</v>
      </c>
      <c r="F276">
        <v>3.39683</v>
      </c>
      <c r="G276" s="17">
        <v>19000000000</v>
      </c>
      <c r="H276" s="242">
        <v>51715.8</v>
      </c>
      <c r="I276" s="4">
        <v>0.78</v>
      </c>
      <c r="J276" s="24">
        <v>23.649000000000001</v>
      </c>
      <c r="K276" s="26">
        <v>1.9179999999999999</v>
      </c>
      <c r="L276" s="24">
        <v>504</v>
      </c>
      <c r="M276">
        <v>38.299999</v>
      </c>
      <c r="N276" s="27">
        <v>74.099999999999994</v>
      </c>
      <c r="O276" s="26">
        <v>6.9</v>
      </c>
      <c r="P276" s="25">
        <v>35.9</v>
      </c>
      <c r="Q276">
        <v>0.5</v>
      </c>
      <c r="R276">
        <v>1.5</v>
      </c>
      <c r="S276" s="14">
        <v>83884</v>
      </c>
      <c r="T276" s="224">
        <v>0.46</v>
      </c>
      <c r="U276" s="25">
        <v>91</v>
      </c>
      <c r="V276" s="24">
        <v>2866.0039000000002</v>
      </c>
      <c r="W276" s="22">
        <v>23.7</v>
      </c>
      <c r="X276" s="20">
        <v>23.649000000000001</v>
      </c>
      <c r="Y276" s="19">
        <f t="shared" si="12"/>
        <v>3.1633208307458811</v>
      </c>
      <c r="Z276" s="21">
        <v>504</v>
      </c>
      <c r="AA276" s="19">
        <f t="shared" si="13"/>
        <v>6.2225762680713688</v>
      </c>
      <c r="AB276" s="2">
        <v>38.299999999999997</v>
      </c>
      <c r="AC276" s="20"/>
      <c r="AD276" s="19" t="e">
        <f t="shared" si="14"/>
        <v>#NUM!</v>
      </c>
      <c r="AE276" s="4">
        <v>56.0364</v>
      </c>
      <c r="AF276" s="1">
        <v>3.2355700000000001</v>
      </c>
      <c r="AG276" s="242">
        <v>25.4209</v>
      </c>
      <c r="AH276" s="242">
        <v>57.8</v>
      </c>
      <c r="AI276" s="245">
        <v>87.977000000000004</v>
      </c>
    </row>
    <row r="277" spans="1:35">
      <c r="A277" s="24">
        <v>26</v>
      </c>
      <c r="B277" s="28" t="s">
        <v>3</v>
      </c>
      <c r="C277" s="28" t="s">
        <v>2</v>
      </c>
      <c r="D277" s="23">
        <v>2010</v>
      </c>
      <c r="E277" s="239">
        <v>21</v>
      </c>
      <c r="F277">
        <v>0.66776100000000005</v>
      </c>
      <c r="G277" s="17">
        <v>320000000</v>
      </c>
      <c r="H277" s="242">
        <v>20444.099999999999</v>
      </c>
      <c r="I277" s="4">
        <v>0.52</v>
      </c>
      <c r="J277" s="24">
        <v>19.072001</v>
      </c>
      <c r="K277" s="26">
        <v>1.1600999999999999</v>
      </c>
      <c r="L277" s="24">
        <v>396</v>
      </c>
      <c r="M277">
        <v>22.4</v>
      </c>
      <c r="N277" s="27">
        <v>78.5</v>
      </c>
      <c r="O277" s="26">
        <v>5.9</v>
      </c>
      <c r="P277" s="25">
        <v>804.5</v>
      </c>
      <c r="S277" s="14">
        <v>14076</v>
      </c>
      <c r="T277" s="224">
        <v>0</v>
      </c>
      <c r="U277" s="25">
        <v>100</v>
      </c>
      <c r="V277" s="24">
        <v>6916.8687</v>
      </c>
      <c r="W277" s="22">
        <v>37.799999999999997</v>
      </c>
      <c r="X277" s="20">
        <v>19.071999999999999</v>
      </c>
      <c r="Y277" s="19">
        <f t="shared" si="12"/>
        <v>2.9482212908829393</v>
      </c>
      <c r="Z277" s="21">
        <v>396</v>
      </c>
      <c r="AA277" s="19">
        <f t="shared" si="13"/>
        <v>5.9814142112544806</v>
      </c>
      <c r="AB277" s="2">
        <v>22.4</v>
      </c>
      <c r="AC277" s="20">
        <v>6916.87</v>
      </c>
      <c r="AD277" s="19">
        <f t="shared" si="14"/>
        <v>8.8417186341489948</v>
      </c>
      <c r="AE277" s="4">
        <v>124.06399999999999</v>
      </c>
      <c r="AF277" s="1">
        <v>4.6218899999999996</v>
      </c>
      <c r="AG277" s="242">
        <v>101.68600000000001</v>
      </c>
      <c r="AH277" s="242">
        <v>20.100000000000001</v>
      </c>
      <c r="AI277" s="245">
        <v>52.658000000000001</v>
      </c>
    </row>
    <row r="278" spans="1:35">
      <c r="A278" s="24">
        <v>26</v>
      </c>
      <c r="B278" s="28" t="s">
        <v>3</v>
      </c>
      <c r="C278" s="28" t="s">
        <v>2</v>
      </c>
      <c r="D278" s="23">
        <v>2011</v>
      </c>
      <c r="E278" s="239">
        <v>21.5</v>
      </c>
      <c r="F278">
        <v>1.71086</v>
      </c>
      <c r="G278" s="17">
        <v>880000000</v>
      </c>
      <c r="H278" s="242">
        <v>20535.400000000001</v>
      </c>
      <c r="I278" s="4">
        <v>0.48</v>
      </c>
      <c r="J278" s="24">
        <v>18.468</v>
      </c>
      <c r="K278" s="26">
        <v>1.2995000000000001</v>
      </c>
      <c r="L278" s="24">
        <v>391</v>
      </c>
      <c r="M278">
        <v>35.700001</v>
      </c>
      <c r="N278" s="27">
        <v>75.099999999999994</v>
      </c>
      <c r="O278" s="26">
        <v>7.6</v>
      </c>
      <c r="P278" s="25">
        <v>824.3</v>
      </c>
      <c r="S278" s="14">
        <v>14352</v>
      </c>
      <c r="T278" s="224">
        <v>0.1</v>
      </c>
      <c r="U278" s="25">
        <v>99</v>
      </c>
      <c r="V278" s="24">
        <v>6777.3451999999997</v>
      </c>
      <c r="W278" s="22">
        <v>40.799999999999997</v>
      </c>
      <c r="X278" s="20">
        <v>18.468</v>
      </c>
      <c r="Y278" s="19">
        <f t="shared" si="12"/>
        <v>2.9160395046447425</v>
      </c>
      <c r="Z278" s="21">
        <v>391</v>
      </c>
      <c r="AA278" s="19">
        <f t="shared" si="13"/>
        <v>5.9687075599853658</v>
      </c>
      <c r="AB278" s="2">
        <v>35.700000000000003</v>
      </c>
      <c r="AC278" s="20">
        <v>6777.35</v>
      </c>
      <c r="AD278" s="19">
        <f t="shared" si="14"/>
        <v>8.8213414490733104</v>
      </c>
      <c r="AE278" s="4">
        <v>137.137</v>
      </c>
      <c r="AF278" s="1">
        <v>4.6239800000000004</v>
      </c>
      <c r="AG278" s="242">
        <v>101.898</v>
      </c>
      <c r="AH278" s="242">
        <v>19.100000000000001</v>
      </c>
      <c r="AI278" s="245">
        <v>52.883000000000003</v>
      </c>
    </row>
    <row r="279" spans="1:35">
      <c r="A279" s="24">
        <v>26</v>
      </c>
      <c r="B279" s="28" t="s">
        <v>3</v>
      </c>
      <c r="C279" s="28" t="s">
        <v>2</v>
      </c>
      <c r="D279" s="23">
        <v>2012</v>
      </c>
      <c r="E279" s="239">
        <v>22.5</v>
      </c>
      <c r="F279">
        <v>7.2645000000000001E-2</v>
      </c>
      <c r="G279" s="17">
        <v>34000000</v>
      </c>
      <c r="H279" s="242">
        <v>19894.900000000001</v>
      </c>
      <c r="I279" s="4">
        <v>0.47</v>
      </c>
      <c r="J279" s="24">
        <v>15.632</v>
      </c>
      <c r="K279" s="26">
        <v>1.4568000000000001</v>
      </c>
      <c r="L279" s="24">
        <v>411</v>
      </c>
      <c r="M279">
        <v>42.099997999999999</v>
      </c>
      <c r="N279" s="27">
        <v>79.7</v>
      </c>
      <c r="O279" s="26">
        <v>9.4</v>
      </c>
      <c r="P279" s="25">
        <v>991.1</v>
      </c>
      <c r="Q279">
        <v>0.3</v>
      </c>
      <c r="R279">
        <v>1.5</v>
      </c>
      <c r="S279" s="14">
        <v>14648</v>
      </c>
      <c r="T279" s="224">
        <v>0</v>
      </c>
      <c r="U279" s="25">
        <v>96</v>
      </c>
      <c r="V279" s="24">
        <v>6090.5888999999997</v>
      </c>
      <c r="W279" s="22">
        <v>43.1</v>
      </c>
      <c r="X279" s="20">
        <v>15.632</v>
      </c>
      <c r="Y279" s="19">
        <f t="shared" si="12"/>
        <v>2.7493200953004271</v>
      </c>
      <c r="Z279" s="21">
        <v>411</v>
      </c>
      <c r="AA279" s="19">
        <f t="shared" si="13"/>
        <v>6.0185932144962342</v>
      </c>
      <c r="AB279" s="2">
        <v>42.1</v>
      </c>
      <c r="AC279" s="20">
        <v>6090.59</v>
      </c>
      <c r="AD279" s="19">
        <f t="shared" si="14"/>
        <v>8.7145002361427295</v>
      </c>
      <c r="AE279" s="4">
        <v>139.05600000000001</v>
      </c>
      <c r="AF279" s="1">
        <v>4.6260899999999996</v>
      </c>
      <c r="AG279" s="242">
        <v>102.114</v>
      </c>
      <c r="AH279" s="242">
        <v>20.2</v>
      </c>
      <c r="AI279" s="245">
        <v>53.107999999999997</v>
      </c>
    </row>
    <row r="280" spans="1:35">
      <c r="A280" s="24">
        <v>26</v>
      </c>
      <c r="B280" s="28" t="s">
        <v>3</v>
      </c>
      <c r="C280" s="28" t="s">
        <v>2</v>
      </c>
      <c r="D280" s="23">
        <v>2013</v>
      </c>
      <c r="E280" s="239">
        <v>22.5</v>
      </c>
      <c r="F280">
        <v>0.21731600000000001</v>
      </c>
      <c r="G280" s="17">
        <v>100000000</v>
      </c>
      <c r="H280" s="242">
        <v>19704.2</v>
      </c>
      <c r="I280" s="4">
        <v>0.44</v>
      </c>
      <c r="J280" s="24">
        <v>16.143999000000001</v>
      </c>
      <c r="K280" s="26">
        <v>1.4702</v>
      </c>
      <c r="L280" s="24">
        <v>381</v>
      </c>
      <c r="M280">
        <v>34.799999</v>
      </c>
      <c r="N280" s="27">
        <v>51</v>
      </c>
      <c r="O280" s="26">
        <v>9.3000000000000007</v>
      </c>
      <c r="P280" s="25">
        <v>1132.8</v>
      </c>
      <c r="Q280">
        <v>0.2</v>
      </c>
      <c r="R280">
        <v>1.5</v>
      </c>
      <c r="S280" s="14">
        <v>14541</v>
      </c>
      <c r="T280" s="224">
        <v>0.97</v>
      </c>
      <c r="U280" s="25">
        <v>94</v>
      </c>
      <c r="V280" s="24">
        <v>6211.5063</v>
      </c>
      <c r="W280" s="22">
        <v>44.3</v>
      </c>
      <c r="X280" s="20">
        <v>16.143999999999998</v>
      </c>
      <c r="Y280" s="19">
        <f t="shared" si="12"/>
        <v>2.7815484636112529</v>
      </c>
      <c r="Z280" s="21">
        <v>381</v>
      </c>
      <c r="AA280" s="19">
        <f t="shared" si="13"/>
        <v>5.9427993751267012</v>
      </c>
      <c r="AB280" s="2">
        <v>34.799999999999997</v>
      </c>
      <c r="AC280" s="20">
        <v>6211.51</v>
      </c>
      <c r="AD280" s="19">
        <f t="shared" si="14"/>
        <v>8.7341593015695249</v>
      </c>
      <c r="AE280" s="4">
        <v>140.79</v>
      </c>
      <c r="AF280" s="1">
        <v>4.6277299999999997</v>
      </c>
      <c r="AG280" s="242">
        <v>102.282</v>
      </c>
      <c r="AH280" s="242">
        <v>22.5</v>
      </c>
      <c r="AI280" s="245">
        <v>53.332000000000001</v>
      </c>
    </row>
    <row r="281" spans="1:35">
      <c r="A281" s="24">
        <v>26</v>
      </c>
      <c r="B281" s="28" t="s">
        <v>3</v>
      </c>
      <c r="C281" s="28" t="s">
        <v>2</v>
      </c>
      <c r="D281" s="23">
        <v>2014</v>
      </c>
      <c r="E281" s="239">
        <v>22.1</v>
      </c>
      <c r="F281">
        <v>2.0587499999999999</v>
      </c>
      <c r="G281" s="17">
        <v>1000000000</v>
      </c>
      <c r="H281" s="242">
        <v>20228.7</v>
      </c>
      <c r="I281" s="4">
        <v>0.39</v>
      </c>
      <c r="J281" s="24">
        <v>17.207999999999998</v>
      </c>
      <c r="K281" s="26">
        <v>1.4047000000000001</v>
      </c>
      <c r="L281" s="24">
        <v>313</v>
      </c>
      <c r="M281">
        <v>36</v>
      </c>
      <c r="N281" s="27">
        <v>81.599999999999994</v>
      </c>
      <c r="O281" s="26">
        <v>8.5</v>
      </c>
      <c r="P281" s="25">
        <v>1111.0999999999999</v>
      </c>
      <c r="Q281">
        <v>0.2</v>
      </c>
      <c r="R281">
        <v>1.6</v>
      </c>
      <c r="S281" s="14">
        <v>14718</v>
      </c>
      <c r="T281" s="224">
        <v>1.0900000000000001</v>
      </c>
      <c r="U281" s="25">
        <v>95</v>
      </c>
      <c r="V281" s="24">
        <v>6468.9022999999997</v>
      </c>
      <c r="W281" s="22">
        <v>42.2</v>
      </c>
      <c r="X281" s="20">
        <v>17.207999999999998</v>
      </c>
      <c r="Y281" s="19">
        <f t="shared" si="12"/>
        <v>2.8453743919654286</v>
      </c>
      <c r="Z281" s="21">
        <v>313</v>
      </c>
      <c r="AA281" s="19">
        <f t="shared" si="13"/>
        <v>5.7462031905401529</v>
      </c>
      <c r="AB281" s="2">
        <v>36</v>
      </c>
      <c r="AC281" s="20">
        <v>6468.9</v>
      </c>
      <c r="AD281" s="19">
        <f t="shared" si="14"/>
        <v>8.7747613575847296</v>
      </c>
      <c r="AE281" s="4">
        <v>141.15100000000001</v>
      </c>
      <c r="AF281" s="1">
        <v>4.6287099999999999</v>
      </c>
      <c r="AG281" s="242">
        <v>102.38200000000001</v>
      </c>
      <c r="AH281" s="242">
        <v>22.9</v>
      </c>
      <c r="AI281" s="245">
        <v>53.557000000000002</v>
      </c>
    </row>
    <row r="282" spans="1:35">
      <c r="A282" s="24">
        <v>26</v>
      </c>
      <c r="B282" s="28" t="s">
        <v>3</v>
      </c>
      <c r="C282" s="28" t="s">
        <v>2</v>
      </c>
      <c r="D282" s="23">
        <v>2015</v>
      </c>
      <c r="E282" s="239">
        <v>23</v>
      </c>
      <c r="F282">
        <v>4.0509700000000004</v>
      </c>
      <c r="G282" s="17">
        <v>1700000000</v>
      </c>
      <c r="H282" s="242">
        <v>20697.3</v>
      </c>
      <c r="I282" s="4">
        <v>0.36</v>
      </c>
      <c r="J282" s="24">
        <v>15.97</v>
      </c>
      <c r="K282" s="26">
        <v>1.4151</v>
      </c>
      <c r="L282" s="24">
        <v>259</v>
      </c>
      <c r="M282">
        <v>54.099997999999999</v>
      </c>
      <c r="N282" s="27">
        <v>86.2</v>
      </c>
      <c r="O282" s="26">
        <v>8.6999999999999993</v>
      </c>
      <c r="P282" s="25">
        <v>1143.0999999999999</v>
      </c>
      <c r="Q282">
        <v>0.3</v>
      </c>
      <c r="R282">
        <v>1.6</v>
      </c>
      <c r="S282" s="14">
        <v>15231</v>
      </c>
      <c r="T282" s="224">
        <v>0</v>
      </c>
      <c r="U282" s="25">
        <v>101</v>
      </c>
      <c r="V282" s="24">
        <v>6531.7217000000001</v>
      </c>
      <c r="W282" s="22">
        <v>44.2</v>
      </c>
      <c r="X282" s="20">
        <v>15.97</v>
      </c>
      <c r="Y282" s="19">
        <f t="shared" si="12"/>
        <v>2.7707119622269212</v>
      </c>
      <c r="Z282" s="21">
        <v>259</v>
      </c>
      <c r="AA282" s="19">
        <f t="shared" si="13"/>
        <v>5.5568280616995374</v>
      </c>
      <c r="AB282" s="2">
        <v>54.1</v>
      </c>
      <c r="AC282" s="20">
        <v>6531.72</v>
      </c>
      <c r="AD282" s="19">
        <f t="shared" si="14"/>
        <v>8.7844255872805892</v>
      </c>
      <c r="AE282" s="4">
        <v>144.56700000000001</v>
      </c>
      <c r="AF282" s="1">
        <v>4.62934</v>
      </c>
      <c r="AG282" s="242">
        <v>102.446</v>
      </c>
      <c r="AH282" s="242">
        <v>21.4</v>
      </c>
      <c r="AI282" s="245">
        <v>53.780999999999999</v>
      </c>
    </row>
    <row r="283" spans="1:35">
      <c r="A283" s="24">
        <v>26</v>
      </c>
      <c r="B283" s="28" t="s">
        <v>3</v>
      </c>
      <c r="C283" s="28" t="s">
        <v>2</v>
      </c>
      <c r="D283" s="23">
        <v>2016</v>
      </c>
      <c r="E283" s="239">
        <v>22.1</v>
      </c>
      <c r="F283">
        <v>3.2654100000000001</v>
      </c>
      <c r="G283" s="17">
        <v>1400000000</v>
      </c>
      <c r="H283" s="242">
        <v>21309.7</v>
      </c>
      <c r="I283" s="4">
        <v>0.36</v>
      </c>
      <c r="J283" s="24">
        <v>15.036</v>
      </c>
      <c r="K283" s="26">
        <v>1.5128999999999999</v>
      </c>
      <c r="L283" s="24">
        <v>251</v>
      </c>
      <c r="M283">
        <v>55.5</v>
      </c>
      <c r="N283" s="27">
        <v>75.8</v>
      </c>
      <c r="O283" s="26">
        <v>8.6999999999999993</v>
      </c>
      <c r="P283" s="25">
        <v>1281.2</v>
      </c>
      <c r="Q283">
        <v>0.3</v>
      </c>
      <c r="R283">
        <v>1.6</v>
      </c>
      <c r="S283" s="14">
        <v>15361</v>
      </c>
      <c r="T283" s="224">
        <v>0</v>
      </c>
      <c r="U283" s="25">
        <v>105</v>
      </c>
      <c r="V283" s="24">
        <v>6613.2407000000003</v>
      </c>
      <c r="W283" s="22">
        <v>47.2</v>
      </c>
      <c r="X283" s="20">
        <v>15.036</v>
      </c>
      <c r="Y283" s="19">
        <f t="shared" si="12"/>
        <v>2.7104473257019315</v>
      </c>
      <c r="Z283" s="21">
        <v>251</v>
      </c>
      <c r="AA283" s="19">
        <f t="shared" si="13"/>
        <v>5.5254529391317835</v>
      </c>
      <c r="AB283" s="2">
        <v>55.5</v>
      </c>
      <c r="AC283" s="20">
        <v>6613.24</v>
      </c>
      <c r="AD283" s="19">
        <f t="shared" si="14"/>
        <v>8.796828979167941</v>
      </c>
      <c r="AE283" s="4">
        <v>143.267</v>
      </c>
      <c r="AF283" s="1">
        <v>4.6300999999999997</v>
      </c>
      <c r="AG283" s="242">
        <v>102.524</v>
      </c>
      <c r="AH283" s="242">
        <v>21</v>
      </c>
      <c r="AI283" s="245">
        <v>54.02</v>
      </c>
    </row>
    <row r="284" spans="1:35">
      <c r="A284" s="24">
        <v>26</v>
      </c>
      <c r="B284" s="28" t="s">
        <v>3</v>
      </c>
      <c r="C284" s="28" t="s">
        <v>2</v>
      </c>
      <c r="D284" s="23">
        <v>2017</v>
      </c>
      <c r="E284" s="239">
        <v>23</v>
      </c>
      <c r="F284">
        <v>2.48421</v>
      </c>
      <c r="G284" s="17">
        <v>1200000000</v>
      </c>
      <c r="H284" s="242">
        <v>22397.8</v>
      </c>
      <c r="I284" s="4">
        <v>0.36</v>
      </c>
      <c r="J284" s="24">
        <v>16.290001</v>
      </c>
      <c r="K284" s="26">
        <v>1.5517000000000001</v>
      </c>
      <c r="L284" s="24">
        <v>254</v>
      </c>
      <c r="M284">
        <v>57.799999</v>
      </c>
      <c r="N284" s="27">
        <v>86.9</v>
      </c>
      <c r="O284" s="26">
        <v>9.8000000000000007</v>
      </c>
      <c r="P284" s="25">
        <v>1023.8</v>
      </c>
      <c r="Q284">
        <v>0.4</v>
      </c>
      <c r="R284">
        <v>1.6</v>
      </c>
      <c r="S284" s="14">
        <v>15837</v>
      </c>
      <c r="T284" s="224">
        <v>0.48</v>
      </c>
      <c r="U284" s="25">
        <v>106</v>
      </c>
      <c r="V284" s="24">
        <v>6495.1298999999999</v>
      </c>
      <c r="W284" s="22">
        <v>47.4</v>
      </c>
      <c r="X284" s="20">
        <v>16.29</v>
      </c>
      <c r="Y284" s="19">
        <f t="shared" si="12"/>
        <v>2.7905514226139538</v>
      </c>
      <c r="Z284" s="21">
        <v>254</v>
      </c>
      <c r="AA284" s="19">
        <f t="shared" si="13"/>
        <v>5.5373342670185366</v>
      </c>
      <c r="AB284" s="2">
        <v>57.8</v>
      </c>
      <c r="AC284" s="20">
        <v>6495.13</v>
      </c>
      <c r="AD284" s="19">
        <f t="shared" si="14"/>
        <v>8.7788079443008531</v>
      </c>
      <c r="AE284" s="4">
        <v>154.75800000000001</v>
      </c>
      <c r="AF284" s="1">
        <v>4.6309399999999998</v>
      </c>
      <c r="AG284" s="242">
        <v>102.611</v>
      </c>
      <c r="AH284" s="242">
        <v>19.7</v>
      </c>
      <c r="AI284" s="245">
        <v>54.273000000000003</v>
      </c>
    </row>
    <row r="285" spans="1:35">
      <c r="A285" s="24">
        <v>26</v>
      </c>
      <c r="B285" s="28" t="s">
        <v>3</v>
      </c>
      <c r="C285" s="28" t="s">
        <v>2</v>
      </c>
      <c r="D285" s="23">
        <v>2018</v>
      </c>
      <c r="E285" s="239">
        <v>23.3</v>
      </c>
      <c r="F285">
        <v>2.8649</v>
      </c>
      <c r="G285" s="17">
        <v>1500000000</v>
      </c>
      <c r="H285" s="242">
        <v>23294</v>
      </c>
      <c r="I285" s="4">
        <v>0.35</v>
      </c>
      <c r="J285" s="24">
        <v>17.929001</v>
      </c>
      <c r="K285" s="26">
        <v>1.4702</v>
      </c>
      <c r="L285" s="24">
        <v>249</v>
      </c>
      <c r="M285">
        <v>58.900002000000001</v>
      </c>
      <c r="N285" s="27">
        <v>84.6</v>
      </c>
      <c r="O285" s="26">
        <v>10.1</v>
      </c>
      <c r="P285" s="25">
        <v>1509.1</v>
      </c>
      <c r="Q285">
        <v>0.4</v>
      </c>
      <c r="R285">
        <v>1.6</v>
      </c>
      <c r="S285" s="14">
        <v>16974</v>
      </c>
      <c r="T285" s="224">
        <v>0</v>
      </c>
      <c r="U285" s="25">
        <v>103</v>
      </c>
      <c r="V285" s="24">
        <v>6203.0478999999996</v>
      </c>
      <c r="W285" s="22">
        <v>46.8</v>
      </c>
      <c r="X285" s="20">
        <v>17.928999999999998</v>
      </c>
      <c r="Y285" s="19">
        <f t="shared" si="12"/>
        <v>2.8864195136132902</v>
      </c>
      <c r="Z285" s="21">
        <v>249</v>
      </c>
      <c r="AA285" s="19">
        <f t="shared" si="13"/>
        <v>5.5174528964647074</v>
      </c>
      <c r="AB285" s="2">
        <v>58.9</v>
      </c>
      <c r="AC285" s="20">
        <v>6203.05</v>
      </c>
      <c r="AD285" s="19">
        <f t="shared" si="14"/>
        <v>8.7327963855564619</v>
      </c>
      <c r="AE285" s="4">
        <v>161.05099999999999</v>
      </c>
      <c r="AF285" s="1">
        <v>4.6346499999999997</v>
      </c>
      <c r="AG285" s="242">
        <v>102.992</v>
      </c>
      <c r="AH285" s="242">
        <v>20.6</v>
      </c>
      <c r="AI285" s="245">
        <v>54.540999999999997</v>
      </c>
    </row>
    <row r="286" spans="1:35">
      <c r="A286" s="24">
        <v>26</v>
      </c>
      <c r="B286" s="28" t="s">
        <v>3</v>
      </c>
      <c r="C286" s="28" t="s">
        <v>2</v>
      </c>
      <c r="D286" s="23">
        <v>2019</v>
      </c>
      <c r="E286" s="239">
        <v>23.9</v>
      </c>
      <c r="F286">
        <v>3.99099</v>
      </c>
      <c r="G286" s="17">
        <v>2200000000</v>
      </c>
      <c r="H286" s="242">
        <v>23943.200000000001</v>
      </c>
      <c r="I286" s="4">
        <v>0.38</v>
      </c>
      <c r="J286" s="24">
        <v>16.469000000000001</v>
      </c>
      <c r="K286" s="26">
        <v>1.6073999999999999</v>
      </c>
      <c r="L286" s="24">
        <v>247</v>
      </c>
      <c r="M286">
        <v>59.200001</v>
      </c>
      <c r="N286" s="27">
        <v>87.8</v>
      </c>
      <c r="O286" s="26">
        <v>10.199999999999999</v>
      </c>
      <c r="P286" s="25">
        <v>1400.2</v>
      </c>
      <c r="Q286">
        <v>0.5</v>
      </c>
      <c r="R286">
        <v>1.8</v>
      </c>
      <c r="S286" s="14">
        <v>20938</v>
      </c>
      <c r="T286" s="224">
        <v>0.48</v>
      </c>
      <c r="U286" s="25">
        <v>101</v>
      </c>
      <c r="V286" s="24">
        <v>7819.8681999999999</v>
      </c>
      <c r="W286" s="22">
        <v>48</v>
      </c>
      <c r="X286" s="20">
        <v>16.469000000000001</v>
      </c>
      <c r="Y286" s="19">
        <f t="shared" si="12"/>
        <v>2.8014798258920712</v>
      </c>
      <c r="Z286" s="21">
        <v>247</v>
      </c>
      <c r="AA286" s="19">
        <f t="shared" si="13"/>
        <v>5.5093883366279774</v>
      </c>
      <c r="AB286" s="2">
        <v>59.2</v>
      </c>
      <c r="AC286" s="20">
        <v>7819.87</v>
      </c>
      <c r="AD286" s="19">
        <f t="shared" si="14"/>
        <v>8.9644232093602554</v>
      </c>
      <c r="AE286" s="4">
        <v>164.99700000000001</v>
      </c>
      <c r="AF286" s="1">
        <v>4.6416199999999996</v>
      </c>
      <c r="AG286" s="242">
        <v>103.712</v>
      </c>
      <c r="AH286" s="242">
        <v>20.9</v>
      </c>
      <c r="AI286" s="245">
        <v>54.822000000000003</v>
      </c>
    </row>
    <row r="287" spans="1:35">
      <c r="A287" s="24">
        <v>26</v>
      </c>
      <c r="B287" s="28" t="s">
        <v>3</v>
      </c>
      <c r="C287" s="28" t="s">
        <v>2</v>
      </c>
      <c r="D287" s="23">
        <v>2020</v>
      </c>
      <c r="E287" s="239">
        <v>24.5</v>
      </c>
      <c r="F287">
        <v>0.94834099999999999</v>
      </c>
      <c r="G287" s="17">
        <v>510000000</v>
      </c>
      <c r="H287" s="242">
        <v>22811.8</v>
      </c>
      <c r="I287" s="4">
        <v>0.34</v>
      </c>
      <c r="J287" s="24">
        <v>16.726998999999999</v>
      </c>
      <c r="K287" s="26">
        <v>1.5808</v>
      </c>
      <c r="L287" s="24">
        <v>261</v>
      </c>
      <c r="M287">
        <v>59.299999</v>
      </c>
      <c r="N287" s="27">
        <v>85.6</v>
      </c>
      <c r="O287" s="26">
        <v>9.9</v>
      </c>
      <c r="P287" s="25">
        <v>1476.2</v>
      </c>
      <c r="Q287">
        <v>0.2</v>
      </c>
      <c r="R287">
        <v>1.6</v>
      </c>
      <c r="S287" s="14">
        <v>15918</v>
      </c>
      <c r="T287" s="224">
        <v>0.48</v>
      </c>
      <c r="U287" s="25">
        <v>99</v>
      </c>
      <c r="V287" s="24">
        <v>8130.0790999999999</v>
      </c>
      <c r="W287" s="22">
        <v>46.2</v>
      </c>
      <c r="X287" s="20">
        <v>16.727</v>
      </c>
      <c r="Y287" s="19">
        <f t="shared" si="12"/>
        <v>2.8170241803298719</v>
      </c>
      <c r="Z287" s="21">
        <v>261</v>
      </c>
      <c r="AA287" s="19">
        <f t="shared" si="13"/>
        <v>5.5645204073226937</v>
      </c>
      <c r="AB287" s="2">
        <v>59.3</v>
      </c>
      <c r="AC287" s="20">
        <v>8130.08</v>
      </c>
      <c r="AD287" s="19">
        <f t="shared" si="14"/>
        <v>9.0033260425918442</v>
      </c>
      <c r="AE287" s="4">
        <v>163.07499999999999</v>
      </c>
      <c r="AF287" s="1">
        <v>4.6483100000000004</v>
      </c>
      <c r="AG287" s="242">
        <v>104.40900000000001</v>
      </c>
      <c r="AH287" s="242">
        <v>22.7</v>
      </c>
      <c r="AI287" s="245">
        <v>55.118000000000002</v>
      </c>
    </row>
    <row r="288" spans="1:35">
      <c r="A288" s="24">
        <v>27</v>
      </c>
      <c r="B288" s="28" t="s">
        <v>1</v>
      </c>
      <c r="C288" s="28" t="s">
        <v>0</v>
      </c>
      <c r="D288" s="23">
        <v>2010</v>
      </c>
      <c r="E288" s="239">
        <v>19.5</v>
      </c>
      <c r="F288">
        <v>2.3222299999999998</v>
      </c>
      <c r="G288" s="17">
        <v>2100000000</v>
      </c>
      <c r="H288" s="242">
        <v>14596.1</v>
      </c>
      <c r="I288" s="4">
        <v>0.28000000000000003</v>
      </c>
      <c r="J288" s="24">
        <v>14.327</v>
      </c>
      <c r="K288" s="26">
        <v>0.98750000000000004</v>
      </c>
      <c r="L288" s="24">
        <v>461</v>
      </c>
      <c r="M288">
        <v>9.1000004000000008</v>
      </c>
      <c r="N288" s="27">
        <v>87.1</v>
      </c>
      <c r="O288" s="26">
        <v>5</v>
      </c>
      <c r="P288" s="25">
        <v>100.6</v>
      </c>
      <c r="S288" s="14">
        <v>50834</v>
      </c>
      <c r="T288" s="224">
        <v>0</v>
      </c>
      <c r="U288" s="25">
        <v>100</v>
      </c>
      <c r="V288" s="24">
        <v>6462.2138999999997</v>
      </c>
      <c r="W288" s="22">
        <v>42.2</v>
      </c>
      <c r="X288" s="20">
        <v>14.327</v>
      </c>
      <c r="Y288" s="19">
        <f t="shared" si="12"/>
        <v>2.6621458689112352</v>
      </c>
      <c r="Z288" s="21">
        <v>461</v>
      </c>
      <c r="AA288" s="19">
        <f t="shared" si="13"/>
        <v>6.1333980429966486</v>
      </c>
      <c r="AB288" s="2">
        <v>9.1</v>
      </c>
      <c r="AC288" s="20">
        <v>6462.21</v>
      </c>
      <c r="AD288" s="19">
        <f t="shared" si="14"/>
        <v>8.7737266435351433</v>
      </c>
      <c r="AE288" s="4">
        <v>145.50399999999999</v>
      </c>
      <c r="AF288" s="1">
        <v>4.7194700000000003</v>
      </c>
      <c r="AG288" s="242">
        <v>112.10899999999999</v>
      </c>
      <c r="AH288" s="242">
        <v>10.3</v>
      </c>
      <c r="AI288" s="245">
        <v>54.685000000000002</v>
      </c>
    </row>
    <row r="289" spans="1:35">
      <c r="A289" s="24">
        <v>27</v>
      </c>
      <c r="B289" s="28" t="s">
        <v>1</v>
      </c>
      <c r="C289" s="28" t="s">
        <v>0</v>
      </c>
      <c r="D289" s="23">
        <v>2011</v>
      </c>
      <c r="E289" s="239">
        <v>20.5</v>
      </c>
      <c r="F289">
        <v>5.4476599999999999</v>
      </c>
      <c r="G289" s="17">
        <v>5400000000</v>
      </c>
      <c r="H289" s="242">
        <v>14950.9</v>
      </c>
      <c r="I289" s="4">
        <v>0.28000000000000003</v>
      </c>
      <c r="J289" s="24">
        <v>13.977</v>
      </c>
      <c r="K289" s="26">
        <v>1.0016</v>
      </c>
      <c r="L289" s="24">
        <v>479</v>
      </c>
      <c r="M289">
        <v>10.9</v>
      </c>
      <c r="N289" s="27">
        <v>86.6</v>
      </c>
      <c r="O289" s="26">
        <v>4.7</v>
      </c>
      <c r="P289" s="25">
        <v>932.4</v>
      </c>
      <c r="S289" s="14">
        <v>49517</v>
      </c>
      <c r="T289" s="224">
        <v>0</v>
      </c>
      <c r="U289" s="25">
        <v>101</v>
      </c>
      <c r="V289" s="24">
        <v>6393.2007000000003</v>
      </c>
      <c r="W289" s="22">
        <v>41.8</v>
      </c>
      <c r="X289" s="20">
        <v>13.977</v>
      </c>
      <c r="Y289" s="19">
        <f t="shared" si="12"/>
        <v>2.6374131215027696</v>
      </c>
      <c r="Z289" s="21">
        <v>479</v>
      </c>
      <c r="AA289" s="19">
        <f t="shared" si="13"/>
        <v>6.1717005974109149</v>
      </c>
      <c r="AB289" s="2">
        <v>10.9</v>
      </c>
      <c r="AC289" s="20">
        <v>6393.2</v>
      </c>
      <c r="AD289" s="19">
        <f t="shared" si="14"/>
        <v>8.7629902044944981</v>
      </c>
      <c r="AE289" s="4">
        <v>160.39599999999999</v>
      </c>
      <c r="AF289" s="1">
        <v>4.7208199999999998</v>
      </c>
      <c r="AG289" s="242">
        <v>112.261</v>
      </c>
      <c r="AH289" s="242">
        <v>10.4</v>
      </c>
      <c r="AI289" s="245">
        <v>54.42</v>
      </c>
    </row>
    <row r="290" spans="1:35">
      <c r="A290" s="24">
        <v>27</v>
      </c>
      <c r="B290" s="28" t="s">
        <v>1</v>
      </c>
      <c r="C290" s="28" t="s">
        <v>0</v>
      </c>
      <c r="D290" s="23">
        <v>2012</v>
      </c>
      <c r="E290" s="239">
        <v>21.5</v>
      </c>
      <c r="F290">
        <v>1.87551</v>
      </c>
      <c r="G290" s="17">
        <v>1800000000</v>
      </c>
      <c r="H290" s="242">
        <v>15159.7</v>
      </c>
      <c r="I290" s="4">
        <v>0.28000000000000003</v>
      </c>
      <c r="J290" s="24">
        <v>11.624000000000001</v>
      </c>
      <c r="K290" s="26">
        <v>1.1495</v>
      </c>
      <c r="L290" s="24">
        <v>491</v>
      </c>
      <c r="M290">
        <v>13.4</v>
      </c>
      <c r="N290" s="27">
        <v>87.8</v>
      </c>
      <c r="O290" s="26">
        <v>4</v>
      </c>
      <c r="P290" s="25">
        <v>819.5</v>
      </c>
      <c r="Q290">
        <v>0.4</v>
      </c>
      <c r="R290">
        <v>1.5</v>
      </c>
      <c r="S290" s="14">
        <v>43835</v>
      </c>
      <c r="T290" s="224">
        <v>0.41</v>
      </c>
      <c r="U290" s="25">
        <v>97</v>
      </c>
      <c r="V290" s="24">
        <v>6034.7772999999997</v>
      </c>
      <c r="W290" s="22">
        <v>44.2</v>
      </c>
      <c r="X290" s="20">
        <v>11.624000000000001</v>
      </c>
      <c r="Y290" s="19">
        <f t="shared" si="12"/>
        <v>2.4530719262679819</v>
      </c>
      <c r="Z290" s="21">
        <v>491</v>
      </c>
      <c r="AA290" s="19">
        <f t="shared" si="13"/>
        <v>6.1964441277945204</v>
      </c>
      <c r="AB290" s="2">
        <v>13.4</v>
      </c>
      <c r="AC290" s="20">
        <v>6034.78</v>
      </c>
      <c r="AD290" s="19">
        <f t="shared" si="14"/>
        <v>8.7052946788489418</v>
      </c>
      <c r="AE290" s="4">
        <v>166.97300000000001</v>
      </c>
      <c r="AF290" s="1">
        <v>4.7225200000000003</v>
      </c>
      <c r="AG290" s="242">
        <v>112.452</v>
      </c>
      <c r="AH290" s="242">
        <v>10.5</v>
      </c>
      <c r="AI290" s="245">
        <v>54.28</v>
      </c>
    </row>
    <row r="291" spans="1:35">
      <c r="A291" s="24">
        <v>27</v>
      </c>
      <c r="B291" s="28" t="s">
        <v>1</v>
      </c>
      <c r="C291" s="28" t="s">
        <v>0</v>
      </c>
      <c r="D291" s="23">
        <v>2013</v>
      </c>
      <c r="E291" s="239">
        <v>21.5</v>
      </c>
      <c r="F291">
        <v>1.01267</v>
      </c>
      <c r="G291" s="17">
        <v>1000000000</v>
      </c>
      <c r="H291" s="242">
        <v>15249.9</v>
      </c>
      <c r="I291" s="4">
        <v>0.28999999999999998</v>
      </c>
      <c r="J291" s="24">
        <v>11.773</v>
      </c>
      <c r="K291" s="26">
        <v>1.2014</v>
      </c>
      <c r="L291" s="24">
        <v>488</v>
      </c>
      <c r="M291">
        <v>10.8</v>
      </c>
      <c r="N291" s="27">
        <v>85.1</v>
      </c>
      <c r="O291" s="26">
        <v>4.5</v>
      </c>
      <c r="P291" s="25">
        <v>473.4</v>
      </c>
      <c r="Q291">
        <v>0.5</v>
      </c>
      <c r="R291">
        <v>1.4</v>
      </c>
      <c r="S291" s="14">
        <v>43909</v>
      </c>
      <c r="T291" s="224">
        <v>0.18</v>
      </c>
      <c r="U291" s="25">
        <v>100</v>
      </c>
      <c r="V291" s="24">
        <v>6212.3353999999999</v>
      </c>
      <c r="W291" s="22">
        <v>45.8</v>
      </c>
      <c r="X291" s="20">
        <v>11.773</v>
      </c>
      <c r="Y291" s="19">
        <f t="shared" si="12"/>
        <v>2.4658087740960597</v>
      </c>
      <c r="Z291" s="21">
        <v>488</v>
      </c>
      <c r="AA291" s="19">
        <f t="shared" si="13"/>
        <v>6.1903154058531475</v>
      </c>
      <c r="AB291" s="2">
        <v>10.8</v>
      </c>
      <c r="AC291" s="20">
        <v>6212.34</v>
      </c>
      <c r="AD291" s="19">
        <f t="shared" si="14"/>
        <v>8.7342929155460673</v>
      </c>
      <c r="AE291" s="4">
        <v>169.08</v>
      </c>
      <c r="AF291" s="1">
        <v>4.7236000000000002</v>
      </c>
      <c r="AG291" s="242">
        <v>112.57299999999999</v>
      </c>
      <c r="AH291" s="242">
        <v>10.7</v>
      </c>
      <c r="AI291" s="245">
        <v>54.14</v>
      </c>
    </row>
    <row r="292" spans="1:35">
      <c r="A292" s="24">
        <v>27</v>
      </c>
      <c r="B292" s="28" t="s">
        <v>1</v>
      </c>
      <c r="C292" s="28" t="s">
        <v>0</v>
      </c>
      <c r="D292" s="23">
        <v>2014</v>
      </c>
      <c r="E292" s="239">
        <v>20.5</v>
      </c>
      <c r="F292">
        <v>-0.35680299999999998</v>
      </c>
      <c r="G292" s="17">
        <v>-360000000</v>
      </c>
      <c r="H292" s="242">
        <v>15647.6</v>
      </c>
      <c r="I292" s="4">
        <v>0.28999999999999998</v>
      </c>
      <c r="J292" s="24">
        <v>12.504</v>
      </c>
      <c r="K292" s="26">
        <v>1.1218999999999999</v>
      </c>
      <c r="L292" s="24">
        <v>485</v>
      </c>
      <c r="M292">
        <v>10.4</v>
      </c>
      <c r="N292" s="27">
        <v>90.7</v>
      </c>
      <c r="O292" s="26">
        <v>4.8</v>
      </c>
      <c r="P292" s="25">
        <v>361.6</v>
      </c>
      <c r="Q292">
        <v>0.5</v>
      </c>
      <c r="R292">
        <v>1</v>
      </c>
      <c r="S292" s="14">
        <v>42938</v>
      </c>
      <c r="T292" s="224">
        <v>0.25</v>
      </c>
      <c r="U292" s="25">
        <v>101</v>
      </c>
      <c r="V292" s="24">
        <v>6309.8076000000001</v>
      </c>
      <c r="W292" s="22">
        <v>42</v>
      </c>
      <c r="X292" s="20">
        <v>12.504</v>
      </c>
      <c r="Y292" s="19">
        <f t="shared" si="12"/>
        <v>2.5260485931191754</v>
      </c>
      <c r="Z292" s="21">
        <v>485</v>
      </c>
      <c r="AA292" s="19">
        <f t="shared" si="13"/>
        <v>6.1841488909374833</v>
      </c>
      <c r="AB292" s="2">
        <v>10.4</v>
      </c>
      <c r="AC292" s="20">
        <v>6309.81</v>
      </c>
      <c r="AD292" s="19">
        <f t="shared" si="14"/>
        <v>8.749860844146891</v>
      </c>
      <c r="AE292" s="4">
        <v>164.95</v>
      </c>
      <c r="AF292" s="1">
        <v>4.7247399999999997</v>
      </c>
      <c r="AG292" s="242">
        <v>112.70099999999999</v>
      </c>
      <c r="AH292" s="242">
        <v>12.2</v>
      </c>
      <c r="AI292" s="245">
        <v>54</v>
      </c>
    </row>
    <row r="293" spans="1:35">
      <c r="A293" s="24">
        <v>27</v>
      </c>
      <c r="B293" s="28" t="s">
        <v>1</v>
      </c>
      <c r="C293" s="28" t="s">
        <v>0</v>
      </c>
      <c r="D293" s="23">
        <v>2015</v>
      </c>
      <c r="E293" s="239">
        <v>21.6</v>
      </c>
      <c r="F293">
        <v>1.7048700000000001</v>
      </c>
      <c r="G293" s="17">
        <v>1500000000</v>
      </c>
      <c r="H293" s="242">
        <v>16442.099999999999</v>
      </c>
      <c r="I293" s="4">
        <v>0.28999999999999998</v>
      </c>
      <c r="J293" s="24">
        <v>13.084</v>
      </c>
      <c r="K293" s="26">
        <v>1.1835</v>
      </c>
      <c r="L293" s="24">
        <v>472</v>
      </c>
      <c r="M293">
        <v>14.9</v>
      </c>
      <c r="N293" s="27">
        <v>86.7</v>
      </c>
      <c r="O293" s="26">
        <v>5</v>
      </c>
      <c r="P293" s="25">
        <v>764.6</v>
      </c>
      <c r="Q293">
        <v>0.5</v>
      </c>
      <c r="R293">
        <v>1.1000000000000001</v>
      </c>
      <c r="S293" s="14">
        <v>44737</v>
      </c>
      <c r="T293" s="224">
        <v>0.78</v>
      </c>
      <c r="U293" s="25">
        <v>97</v>
      </c>
      <c r="V293" s="24">
        <v>6464.9062999999996</v>
      </c>
      <c r="W293" s="22">
        <v>42.4</v>
      </c>
      <c r="X293" s="20">
        <v>13.084</v>
      </c>
      <c r="Y293" s="19">
        <f t="shared" si="12"/>
        <v>2.5713901096761376</v>
      </c>
      <c r="Z293" s="21">
        <v>472</v>
      </c>
      <c r="AA293" s="19">
        <f t="shared" si="13"/>
        <v>6.156978985585555</v>
      </c>
      <c r="AB293" s="2">
        <v>14.9</v>
      </c>
      <c r="AC293" s="20">
        <v>6464.91</v>
      </c>
      <c r="AD293" s="19">
        <f t="shared" si="14"/>
        <v>8.7741443699953692</v>
      </c>
      <c r="AE293" s="4">
        <v>165.94</v>
      </c>
      <c r="AF293" s="1">
        <v>4.7256400000000003</v>
      </c>
      <c r="AG293" s="242">
        <v>112.803</v>
      </c>
      <c r="AH293" s="242">
        <v>13.4</v>
      </c>
      <c r="AI293" s="245">
        <v>53.889000000000003</v>
      </c>
    </row>
    <row r="294" spans="1:35">
      <c r="A294" s="24">
        <v>27</v>
      </c>
      <c r="B294" s="28" t="s">
        <v>1</v>
      </c>
      <c r="C294" s="28" t="s">
        <v>0</v>
      </c>
      <c r="D294" s="23">
        <v>2016</v>
      </c>
      <c r="E294" s="239">
        <v>20.6</v>
      </c>
      <c r="F294">
        <v>5.2777099999999999</v>
      </c>
      <c r="G294" s="17">
        <v>4800000000</v>
      </c>
      <c r="H294" s="242">
        <v>16740.7</v>
      </c>
      <c r="I294" s="4">
        <v>0.28999999999999998</v>
      </c>
      <c r="J294" s="24">
        <v>13.548</v>
      </c>
      <c r="K294" s="26">
        <v>1.2133</v>
      </c>
      <c r="L294" s="24">
        <v>441</v>
      </c>
      <c r="M294">
        <v>23</v>
      </c>
      <c r="N294" s="27">
        <v>89.4</v>
      </c>
      <c r="O294" s="26">
        <v>5.2</v>
      </c>
      <c r="P294" s="25">
        <v>1020.4</v>
      </c>
      <c r="Q294">
        <v>0.6</v>
      </c>
      <c r="R294">
        <v>1.1000000000000001</v>
      </c>
      <c r="S294" s="14">
        <v>45547</v>
      </c>
      <c r="T294" s="224">
        <v>0</v>
      </c>
      <c r="U294" s="25">
        <v>107</v>
      </c>
      <c r="V294" s="24">
        <v>6496.6972999999998</v>
      </c>
      <c r="W294" s="22">
        <v>42.5</v>
      </c>
      <c r="X294" s="20">
        <v>13.548</v>
      </c>
      <c r="Y294" s="19">
        <f t="shared" si="12"/>
        <v>2.6062389349555253</v>
      </c>
      <c r="Z294" s="21">
        <v>441</v>
      </c>
      <c r="AA294" s="19">
        <f t="shared" si="13"/>
        <v>6.089044875446846</v>
      </c>
      <c r="AB294" s="2">
        <v>23</v>
      </c>
      <c r="AC294" s="20">
        <v>6496.7</v>
      </c>
      <c r="AD294" s="19">
        <f t="shared" si="14"/>
        <v>8.7790496346566602</v>
      </c>
      <c r="AE294" s="4">
        <v>167.952</v>
      </c>
      <c r="AF294" s="1">
        <v>4.7269699999999997</v>
      </c>
      <c r="AG294" s="242">
        <v>112.953</v>
      </c>
      <c r="AH294" s="242">
        <v>13.1</v>
      </c>
      <c r="AI294" s="245">
        <v>53.805999999999997</v>
      </c>
    </row>
    <row r="295" spans="1:35">
      <c r="A295" s="24">
        <v>27</v>
      </c>
      <c r="B295" s="28" t="s">
        <v>1</v>
      </c>
      <c r="C295" s="28" t="s">
        <v>0</v>
      </c>
      <c r="D295" s="23">
        <v>2017</v>
      </c>
      <c r="E295" s="239">
        <v>21.5</v>
      </c>
      <c r="F295">
        <v>4.3998600000000003</v>
      </c>
      <c r="G295" s="17">
        <v>4200000000</v>
      </c>
      <c r="H295" s="242">
        <v>17195.3</v>
      </c>
      <c r="I295" s="4">
        <v>0.28999999999999998</v>
      </c>
      <c r="J295" s="24">
        <v>13.75</v>
      </c>
      <c r="K295" s="26">
        <v>1.2091000000000001</v>
      </c>
      <c r="L295" s="24">
        <v>453</v>
      </c>
      <c r="M295">
        <v>29.799999</v>
      </c>
      <c r="N295" s="27">
        <v>88.6</v>
      </c>
      <c r="O295" s="26">
        <v>4.9000000000000004</v>
      </c>
      <c r="P295" s="25">
        <v>1425.9</v>
      </c>
      <c r="Q295">
        <v>0.5</v>
      </c>
      <c r="R295">
        <v>1.2</v>
      </c>
      <c r="S295" s="14">
        <v>47036</v>
      </c>
      <c r="T295" s="224">
        <v>0.42</v>
      </c>
      <c r="U295" s="25">
        <v>112</v>
      </c>
      <c r="V295" s="24">
        <v>6105.1812</v>
      </c>
      <c r="W295" s="22">
        <v>42.9</v>
      </c>
      <c r="X295" s="20">
        <v>13.75</v>
      </c>
      <c r="Y295" s="19">
        <f t="shared" si="12"/>
        <v>2.6210388241125804</v>
      </c>
      <c r="Z295" s="21">
        <v>453</v>
      </c>
      <c r="AA295" s="19">
        <f t="shared" si="13"/>
        <v>6.1158921254830343</v>
      </c>
      <c r="AB295" s="2">
        <v>29.8</v>
      </c>
      <c r="AC295" s="20">
        <v>6105.18</v>
      </c>
      <c r="AD295" s="19">
        <f t="shared" si="14"/>
        <v>8.7168928701396435</v>
      </c>
      <c r="AE295" s="4">
        <v>171.946</v>
      </c>
      <c r="AF295" s="1">
        <v>4.7285300000000001</v>
      </c>
      <c r="AG295" s="242">
        <v>113.129</v>
      </c>
      <c r="AH295" s="242">
        <v>12.4</v>
      </c>
      <c r="AI295" s="245">
        <v>53.750999999999998</v>
      </c>
    </row>
    <row r="296" spans="1:35">
      <c r="A296" s="24">
        <v>27</v>
      </c>
      <c r="B296" s="28" t="s">
        <v>1</v>
      </c>
      <c r="C296" s="28" t="s">
        <v>0</v>
      </c>
      <c r="D296" s="23">
        <v>2018</v>
      </c>
      <c r="E296" s="239">
        <v>21.8</v>
      </c>
      <c r="F296">
        <v>2.1126999999999998</v>
      </c>
      <c r="G296" s="17">
        <v>2300000000</v>
      </c>
      <c r="H296" s="242">
        <v>17869</v>
      </c>
      <c r="I296" s="4">
        <v>0.28999999999999998</v>
      </c>
      <c r="J296" s="24">
        <v>14.824999999999999</v>
      </c>
      <c r="K296" s="26">
        <v>1.1894</v>
      </c>
      <c r="L296" s="24">
        <v>454</v>
      </c>
      <c r="M296">
        <v>36.299999</v>
      </c>
      <c r="N296" s="27">
        <v>88.9</v>
      </c>
      <c r="O296" s="26">
        <v>4.7</v>
      </c>
      <c r="P296" s="25">
        <v>1422.9</v>
      </c>
      <c r="Q296">
        <v>0.6</v>
      </c>
      <c r="R296">
        <v>1.3</v>
      </c>
      <c r="S296" s="14">
        <v>49438</v>
      </c>
      <c r="T296" s="224">
        <v>0.28000000000000003</v>
      </c>
      <c r="U296" s="25">
        <v>114</v>
      </c>
      <c r="V296" s="24">
        <v>5581.2358000000004</v>
      </c>
      <c r="W296" s="22">
        <v>43</v>
      </c>
      <c r="X296" s="20">
        <v>14.824999999999999</v>
      </c>
      <c r="Y296" s="19">
        <f t="shared" si="12"/>
        <v>2.6963149448837891</v>
      </c>
      <c r="Z296" s="21">
        <v>454</v>
      </c>
      <c r="AA296" s="19">
        <f t="shared" si="13"/>
        <v>6.1180971980413483</v>
      </c>
      <c r="AB296" s="2">
        <v>36.299999999999997</v>
      </c>
      <c r="AC296" s="20">
        <v>5581.24</v>
      </c>
      <c r="AD296" s="19">
        <f t="shared" si="14"/>
        <v>8.6271662529098787</v>
      </c>
      <c r="AE296" s="4">
        <v>174.77199999999999</v>
      </c>
      <c r="AF296" s="1">
        <v>4.7299100000000003</v>
      </c>
      <c r="AG296" s="242">
        <v>113.286</v>
      </c>
      <c r="AH296" s="242">
        <v>12.4</v>
      </c>
      <c r="AI296" s="245">
        <v>53.725999999999999</v>
      </c>
    </row>
    <row r="297" spans="1:35">
      <c r="A297" s="24">
        <v>27</v>
      </c>
      <c r="B297" s="28" t="s">
        <v>1</v>
      </c>
      <c r="C297" s="28" t="s">
        <v>0</v>
      </c>
      <c r="D297" s="23">
        <v>2019</v>
      </c>
      <c r="E297" s="239">
        <v>22.5</v>
      </c>
      <c r="F297">
        <v>2.15395</v>
      </c>
      <c r="G297" s="17">
        <v>2300000000</v>
      </c>
      <c r="H297" s="242">
        <v>18251</v>
      </c>
      <c r="I297" s="4">
        <v>0.28999999999999998</v>
      </c>
      <c r="J297" s="24">
        <v>13.602</v>
      </c>
      <c r="K297" s="26">
        <v>1.3387</v>
      </c>
      <c r="L297" s="24">
        <v>455</v>
      </c>
      <c r="M297">
        <v>38.5</v>
      </c>
      <c r="N297" s="27">
        <v>91.2</v>
      </c>
      <c r="O297" s="26">
        <v>8.3000000000000007</v>
      </c>
      <c r="P297" s="25">
        <v>1560.6</v>
      </c>
      <c r="Q297">
        <v>0.5</v>
      </c>
      <c r="R297">
        <v>1.3</v>
      </c>
      <c r="S297" s="14">
        <v>48995</v>
      </c>
      <c r="T297" s="224">
        <v>0.67</v>
      </c>
      <c r="U297" s="25">
        <v>115</v>
      </c>
      <c r="V297" s="24">
        <v>5057.2905000000001</v>
      </c>
      <c r="W297" s="22">
        <v>44</v>
      </c>
      <c r="X297" s="20">
        <v>13.602</v>
      </c>
      <c r="Y297" s="19">
        <f t="shared" si="12"/>
        <v>2.6102168407534472</v>
      </c>
      <c r="Z297" s="21">
        <v>455</v>
      </c>
      <c r="AA297" s="19">
        <f t="shared" si="13"/>
        <v>6.1202974189509503</v>
      </c>
      <c r="AB297" s="2">
        <v>38.5</v>
      </c>
      <c r="AC297" s="20"/>
      <c r="AD297" s="19" t="e">
        <f t="shared" si="14"/>
        <v>#NUM!</v>
      </c>
      <c r="AE297" s="4">
        <v>169.59899999999999</v>
      </c>
      <c r="AF297" s="1">
        <v>4.7312700000000003</v>
      </c>
      <c r="AG297" s="242">
        <v>113.43899999999999</v>
      </c>
      <c r="AH297" s="242">
        <v>17.600000000000001</v>
      </c>
      <c r="AI297" s="245">
        <v>53.728999999999999</v>
      </c>
    </row>
    <row r="298" spans="1:35">
      <c r="A298" s="12">
        <v>27</v>
      </c>
      <c r="B298" s="18" t="s">
        <v>1</v>
      </c>
      <c r="C298" s="18" t="s">
        <v>0</v>
      </c>
      <c r="D298" s="11">
        <v>2020</v>
      </c>
      <c r="E298" s="240">
        <v>23</v>
      </c>
      <c r="F298">
        <v>-1.05976</v>
      </c>
      <c r="G298" s="17">
        <v>-1100000000</v>
      </c>
      <c r="H298" s="243">
        <v>17763.900000000001</v>
      </c>
      <c r="I298" s="6">
        <v>0.28999999999999998</v>
      </c>
      <c r="J298" s="12">
        <v>12.706</v>
      </c>
      <c r="K298" s="15">
        <v>1.3376999999999999</v>
      </c>
      <c r="L298" s="12">
        <v>443</v>
      </c>
      <c r="M298">
        <v>45.299999</v>
      </c>
      <c r="N298" s="16">
        <v>92.6</v>
      </c>
      <c r="O298" s="15">
        <v>10.3</v>
      </c>
      <c r="P298" s="13">
        <v>1296.5</v>
      </c>
      <c r="Q298">
        <v>0.5</v>
      </c>
      <c r="R298">
        <v>1.2</v>
      </c>
      <c r="S298" s="14">
        <v>51486</v>
      </c>
      <c r="T298" s="225">
        <v>0</v>
      </c>
      <c r="U298" s="13">
        <v>120</v>
      </c>
      <c r="V298" s="12">
        <v>4533.3451999999997</v>
      </c>
      <c r="W298" s="10">
        <v>42.7</v>
      </c>
      <c r="X298" s="8">
        <v>12.706</v>
      </c>
      <c r="Y298" s="7">
        <f t="shared" si="12"/>
        <v>2.5420743228443414</v>
      </c>
      <c r="Z298" s="9">
        <v>443</v>
      </c>
      <c r="AA298" s="7">
        <f t="shared" si="13"/>
        <v>6.0935697700451357</v>
      </c>
      <c r="AB298" s="2">
        <v>45.3</v>
      </c>
      <c r="AC298" s="8"/>
      <c r="AD298" s="7" t="e">
        <f t="shared" si="14"/>
        <v>#NUM!</v>
      </c>
      <c r="AE298" s="6">
        <v>158.75700000000001</v>
      </c>
      <c r="AF298" s="5">
        <v>4.7321200000000001</v>
      </c>
      <c r="AG298" s="243">
        <v>113.536</v>
      </c>
      <c r="AH298" s="243">
        <v>17.600000000000001</v>
      </c>
      <c r="AI298" s="245">
        <v>53.76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E2A7-A64D-F94C-A9CB-71D7FDFAD496}">
  <dimension ref="A1:OH298"/>
  <sheetViews>
    <sheetView tabSelected="1" topLeftCell="A30" workbookViewId="0">
      <selection activeCell="F17" sqref="F17"/>
    </sheetView>
  </sheetViews>
  <sheetFormatPr baseColWidth="10" defaultRowHeight="15"/>
  <sheetData>
    <row r="1" spans="1:398">
      <c r="A1" t="s">
        <v>91</v>
      </c>
      <c r="B1" t="s">
        <v>92</v>
      </c>
      <c r="C1" t="s">
        <v>93</v>
      </c>
      <c r="D1" t="s">
        <v>87</v>
      </c>
      <c r="E1" t="s">
        <v>64</v>
      </c>
      <c r="F1" t="s">
        <v>79</v>
      </c>
      <c r="G1" t="s">
        <v>62</v>
      </c>
      <c r="H1" t="s">
        <v>60</v>
      </c>
      <c r="I1" t="s">
        <v>77</v>
      </c>
      <c r="J1" t="s">
        <v>75</v>
      </c>
      <c r="K1" t="s">
        <v>73</v>
      </c>
      <c r="L1" t="s">
        <v>71</v>
      </c>
      <c r="M1" t="s">
        <v>105</v>
      </c>
      <c r="N1" t="s">
        <v>70</v>
      </c>
      <c r="O1" t="s">
        <v>69</v>
      </c>
      <c r="P1" t="s">
        <v>67</v>
      </c>
      <c r="Q1" t="s">
        <v>59</v>
      </c>
      <c r="R1" t="s">
        <v>65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63</v>
      </c>
      <c r="AJ1" t="s">
        <v>78</v>
      </c>
      <c r="AK1" t="s">
        <v>61</v>
      </c>
      <c r="AL1" t="s">
        <v>76</v>
      </c>
      <c r="AM1" t="s">
        <v>74</v>
      </c>
      <c r="AN1" t="s">
        <v>72</v>
      </c>
      <c r="AO1" t="s">
        <v>142</v>
      </c>
      <c r="AP1" t="s">
        <v>66</v>
      </c>
      <c r="AQ1" t="s">
        <v>58</v>
      </c>
      <c r="AR1" t="s">
        <v>57</v>
      </c>
      <c r="AS1" t="s">
        <v>55</v>
      </c>
      <c r="AT1" t="s">
        <v>82</v>
      </c>
      <c r="AU1" t="s">
        <v>53</v>
      </c>
      <c r="AV1" t="s">
        <v>143</v>
      </c>
      <c r="AW1" t="s">
        <v>144</v>
      </c>
      <c r="AX1" t="s">
        <v>145</v>
      </c>
      <c r="AY1" t="s">
        <v>86</v>
      </c>
      <c r="AZ1" t="s">
        <v>80</v>
      </c>
      <c r="BA1" t="s">
        <v>146</v>
      </c>
      <c r="BB1" t="s">
        <v>68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  <c r="BH1" t="s">
        <v>152</v>
      </c>
      <c r="BI1" t="s">
        <v>153</v>
      </c>
      <c r="BJ1" t="s">
        <v>154</v>
      </c>
      <c r="BK1" t="s">
        <v>155</v>
      </c>
      <c r="BL1" t="s">
        <v>156</v>
      </c>
      <c r="BM1" t="s">
        <v>157</v>
      </c>
      <c r="BN1" t="s">
        <v>158</v>
      </c>
      <c r="BO1" t="s">
        <v>159</v>
      </c>
      <c r="BP1" t="s">
        <v>160</v>
      </c>
      <c r="BQ1" t="s">
        <v>161</v>
      </c>
      <c r="BR1" t="s">
        <v>162</v>
      </c>
      <c r="BS1" t="s">
        <v>163</v>
      </c>
      <c r="BT1" t="s">
        <v>164</v>
      </c>
      <c r="BU1" t="s">
        <v>165</v>
      </c>
      <c r="BV1" t="s">
        <v>166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174</v>
      </c>
      <c r="CE1" t="s">
        <v>175</v>
      </c>
      <c r="CF1" t="s">
        <v>176</v>
      </c>
      <c r="CG1" t="s">
        <v>177</v>
      </c>
      <c r="CH1" t="s">
        <v>178</v>
      </c>
      <c r="CI1" t="s">
        <v>179</v>
      </c>
      <c r="CJ1" t="s">
        <v>180</v>
      </c>
      <c r="CK1" t="s">
        <v>181</v>
      </c>
      <c r="CL1" t="s">
        <v>182</v>
      </c>
      <c r="CM1" t="s">
        <v>183</v>
      </c>
      <c r="CN1" t="s">
        <v>184</v>
      </c>
      <c r="CO1" t="s">
        <v>185</v>
      </c>
      <c r="CP1" t="s">
        <v>186</v>
      </c>
      <c r="CQ1" t="s">
        <v>187</v>
      </c>
      <c r="CR1" t="s">
        <v>188</v>
      </c>
      <c r="CS1" t="s">
        <v>189</v>
      </c>
      <c r="CT1" t="s">
        <v>190</v>
      </c>
      <c r="CU1" t="s">
        <v>191</v>
      </c>
      <c r="CV1" t="s">
        <v>192</v>
      </c>
      <c r="CW1" t="s">
        <v>193</v>
      </c>
      <c r="CX1" t="s">
        <v>194</v>
      </c>
      <c r="CY1" t="s">
        <v>195</v>
      </c>
      <c r="CZ1" t="s">
        <v>196</v>
      </c>
      <c r="DA1" t="s">
        <v>197</v>
      </c>
      <c r="DB1" t="s">
        <v>198</v>
      </c>
      <c r="DC1" t="s">
        <v>199</v>
      </c>
      <c r="DD1" t="s">
        <v>200</v>
      </c>
      <c r="DE1" t="s">
        <v>201</v>
      </c>
      <c r="DF1" t="s">
        <v>202</v>
      </c>
      <c r="DG1" t="s">
        <v>203</v>
      </c>
      <c r="DH1" t="s">
        <v>204</v>
      </c>
      <c r="DI1" t="s">
        <v>205</v>
      </c>
      <c r="DJ1" t="s">
        <v>206</v>
      </c>
      <c r="DK1" t="s">
        <v>207</v>
      </c>
      <c r="DL1" t="s">
        <v>208</v>
      </c>
      <c r="DM1" t="s">
        <v>209</v>
      </c>
      <c r="DN1" t="s">
        <v>210</v>
      </c>
      <c r="DO1" t="s">
        <v>211</v>
      </c>
      <c r="DP1" t="s">
        <v>212</v>
      </c>
      <c r="DQ1" t="s">
        <v>213</v>
      </c>
      <c r="DR1" t="s">
        <v>214</v>
      </c>
      <c r="DS1" t="s">
        <v>215</v>
      </c>
      <c r="DT1" t="s">
        <v>216</v>
      </c>
      <c r="DU1" t="s">
        <v>217</v>
      </c>
      <c r="DV1" t="s">
        <v>218</v>
      </c>
      <c r="DW1" t="s">
        <v>219</v>
      </c>
      <c r="DX1" t="s">
        <v>220</v>
      </c>
      <c r="DY1" t="s">
        <v>221</v>
      </c>
      <c r="DZ1" t="s">
        <v>222</v>
      </c>
      <c r="EA1" t="s">
        <v>223</v>
      </c>
      <c r="EB1" t="s">
        <v>224</v>
      </c>
      <c r="EC1" t="s">
        <v>225</v>
      </c>
      <c r="ED1" t="s">
        <v>226</v>
      </c>
      <c r="EE1" t="s">
        <v>227</v>
      </c>
      <c r="EF1" t="s">
        <v>228</v>
      </c>
      <c r="EG1" t="s">
        <v>229</v>
      </c>
      <c r="EH1" t="s">
        <v>230</v>
      </c>
      <c r="EI1" t="s">
        <v>231</v>
      </c>
      <c r="EJ1" t="s">
        <v>232</v>
      </c>
      <c r="EK1" t="s">
        <v>233</v>
      </c>
      <c r="EL1" t="s">
        <v>234</v>
      </c>
      <c r="EM1" t="s">
        <v>235</v>
      </c>
      <c r="EN1" t="s">
        <v>236</v>
      </c>
      <c r="EO1" t="s">
        <v>237</v>
      </c>
      <c r="EP1" t="s">
        <v>238</v>
      </c>
      <c r="EQ1" t="s">
        <v>239</v>
      </c>
      <c r="ER1" t="s">
        <v>240</v>
      </c>
      <c r="ES1" t="s">
        <v>241</v>
      </c>
      <c r="ET1" t="s">
        <v>242</v>
      </c>
      <c r="EU1" t="s">
        <v>243</v>
      </c>
      <c r="EV1" t="s">
        <v>244</v>
      </c>
      <c r="EW1" t="s">
        <v>245</v>
      </c>
      <c r="EX1" t="s">
        <v>246</v>
      </c>
      <c r="EY1" t="s">
        <v>247</v>
      </c>
      <c r="EZ1" t="s">
        <v>248</v>
      </c>
      <c r="FA1" t="s">
        <v>249</v>
      </c>
      <c r="FB1" t="s">
        <v>250</v>
      </c>
      <c r="FC1" t="s">
        <v>251</v>
      </c>
      <c r="FD1" t="s">
        <v>252</v>
      </c>
      <c r="FE1" t="s">
        <v>253</v>
      </c>
      <c r="FF1" t="s">
        <v>254</v>
      </c>
      <c r="FG1" t="s">
        <v>255</v>
      </c>
      <c r="FH1" t="s">
        <v>256</v>
      </c>
      <c r="FI1" t="s">
        <v>257</v>
      </c>
      <c r="FJ1" t="s">
        <v>258</v>
      </c>
      <c r="FK1" t="s">
        <v>259</v>
      </c>
      <c r="FL1" t="s">
        <v>260</v>
      </c>
      <c r="FM1" t="s">
        <v>261</v>
      </c>
      <c r="FN1" t="s">
        <v>262</v>
      </c>
      <c r="FO1" t="s">
        <v>263</v>
      </c>
      <c r="FP1" t="s">
        <v>264</v>
      </c>
      <c r="FQ1" t="s">
        <v>265</v>
      </c>
      <c r="FR1" t="s">
        <v>266</v>
      </c>
      <c r="FS1" t="s">
        <v>267</v>
      </c>
      <c r="FT1" t="s">
        <v>268</v>
      </c>
      <c r="FU1" t="s">
        <v>269</v>
      </c>
      <c r="FV1" t="s">
        <v>270</v>
      </c>
      <c r="FW1" t="s">
        <v>271</v>
      </c>
      <c r="FX1" t="s">
        <v>272</v>
      </c>
      <c r="FY1" t="s">
        <v>273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  <c r="GF1" t="s">
        <v>280</v>
      </c>
      <c r="GG1" t="s">
        <v>281</v>
      </c>
      <c r="GH1" t="s">
        <v>282</v>
      </c>
      <c r="GI1" t="s">
        <v>283</v>
      </c>
      <c r="GJ1" t="s">
        <v>284</v>
      </c>
      <c r="GK1" t="s">
        <v>285</v>
      </c>
      <c r="GL1" t="s">
        <v>286</v>
      </c>
      <c r="GM1" t="s">
        <v>287</v>
      </c>
      <c r="GN1" t="s">
        <v>288</v>
      </c>
      <c r="GO1" t="s">
        <v>289</v>
      </c>
      <c r="GP1" t="s">
        <v>290</v>
      </c>
      <c r="GQ1" t="s">
        <v>291</v>
      </c>
      <c r="GR1" t="s">
        <v>292</v>
      </c>
      <c r="GS1" t="s">
        <v>293</v>
      </c>
      <c r="GT1" t="s">
        <v>294</v>
      </c>
      <c r="GU1" t="s">
        <v>295</v>
      </c>
      <c r="GV1" t="s">
        <v>296</v>
      </c>
      <c r="GW1" t="s">
        <v>297</v>
      </c>
      <c r="GX1" t="s">
        <v>298</v>
      </c>
      <c r="GY1" t="s">
        <v>299</v>
      </c>
      <c r="GZ1" t="s">
        <v>300</v>
      </c>
      <c r="HA1" t="s">
        <v>301</v>
      </c>
      <c r="HB1" t="s">
        <v>302</v>
      </c>
      <c r="HC1" t="s">
        <v>303</v>
      </c>
      <c r="HD1" t="s">
        <v>304</v>
      </c>
      <c r="HE1" t="s">
        <v>305</v>
      </c>
      <c r="HF1" t="s">
        <v>306</v>
      </c>
      <c r="HG1" t="s">
        <v>307</v>
      </c>
      <c r="HH1" t="s">
        <v>308</v>
      </c>
      <c r="HI1" t="s">
        <v>309</v>
      </c>
      <c r="HJ1" t="s">
        <v>310</v>
      </c>
      <c r="HK1" t="s">
        <v>311</v>
      </c>
      <c r="HL1" t="s">
        <v>312</v>
      </c>
      <c r="HM1" t="s">
        <v>313</v>
      </c>
      <c r="HN1" t="s">
        <v>314</v>
      </c>
      <c r="HO1" t="s">
        <v>315</v>
      </c>
      <c r="HP1" t="s">
        <v>316</v>
      </c>
      <c r="HQ1" t="s">
        <v>317</v>
      </c>
      <c r="HR1" t="s">
        <v>318</v>
      </c>
      <c r="HS1" t="s">
        <v>319</v>
      </c>
      <c r="HT1" t="s">
        <v>320</v>
      </c>
      <c r="HU1" t="s">
        <v>321</v>
      </c>
      <c r="HV1" t="s">
        <v>322</v>
      </c>
      <c r="HW1" t="s">
        <v>323</v>
      </c>
      <c r="HX1" t="s">
        <v>324</v>
      </c>
      <c r="HY1" t="s">
        <v>325</v>
      </c>
      <c r="HZ1" t="s">
        <v>326</v>
      </c>
      <c r="IA1" t="s">
        <v>327</v>
      </c>
      <c r="IB1" t="s">
        <v>328</v>
      </c>
      <c r="IC1" t="s">
        <v>329</v>
      </c>
      <c r="ID1" t="s">
        <v>330</v>
      </c>
      <c r="IE1" t="s">
        <v>331</v>
      </c>
      <c r="IF1" t="s">
        <v>332</v>
      </c>
      <c r="IG1" t="s">
        <v>333</v>
      </c>
      <c r="IH1" t="s">
        <v>334</v>
      </c>
      <c r="II1" t="s">
        <v>335</v>
      </c>
      <c r="IJ1" t="s">
        <v>336</v>
      </c>
      <c r="IK1" t="s">
        <v>337</v>
      </c>
      <c r="IL1" t="s">
        <v>338</v>
      </c>
      <c r="IM1" t="s">
        <v>339</v>
      </c>
      <c r="IN1" t="s">
        <v>340</v>
      </c>
      <c r="IO1" t="s">
        <v>341</v>
      </c>
      <c r="IP1" t="s">
        <v>342</v>
      </c>
      <c r="IQ1" t="s">
        <v>343</v>
      </c>
      <c r="IR1" t="s">
        <v>344</v>
      </c>
      <c r="IS1" t="s">
        <v>345</v>
      </c>
      <c r="IT1" t="s">
        <v>346</v>
      </c>
      <c r="IU1" t="s">
        <v>347</v>
      </c>
      <c r="IV1" t="s">
        <v>348</v>
      </c>
      <c r="IW1" t="s">
        <v>349</v>
      </c>
      <c r="IX1" t="s">
        <v>350</v>
      </c>
      <c r="IY1" t="s">
        <v>351</v>
      </c>
      <c r="IZ1" t="s">
        <v>352</v>
      </c>
      <c r="JA1" t="s">
        <v>353</v>
      </c>
      <c r="JB1" t="s">
        <v>354</v>
      </c>
      <c r="JC1" t="s">
        <v>355</v>
      </c>
      <c r="JD1" t="s">
        <v>356</v>
      </c>
      <c r="JE1" t="s">
        <v>357</v>
      </c>
      <c r="JF1" t="s">
        <v>358</v>
      </c>
      <c r="JG1" t="s">
        <v>359</v>
      </c>
      <c r="JH1" t="s">
        <v>360</v>
      </c>
      <c r="JI1" t="s">
        <v>361</v>
      </c>
      <c r="JJ1" t="s">
        <v>362</v>
      </c>
      <c r="JK1" t="s">
        <v>363</v>
      </c>
      <c r="JL1" t="s">
        <v>364</v>
      </c>
      <c r="JM1" t="s">
        <v>365</v>
      </c>
      <c r="JN1" t="s">
        <v>366</v>
      </c>
      <c r="JO1" t="s">
        <v>367</v>
      </c>
      <c r="JP1" t="s">
        <v>368</v>
      </c>
      <c r="JQ1" t="s">
        <v>369</v>
      </c>
      <c r="JR1" t="s">
        <v>370</v>
      </c>
      <c r="JS1" t="s">
        <v>371</v>
      </c>
      <c r="JT1" t="s">
        <v>372</v>
      </c>
      <c r="JU1" t="s">
        <v>373</v>
      </c>
      <c r="JV1" t="s">
        <v>374</v>
      </c>
      <c r="JW1" t="s">
        <v>375</v>
      </c>
      <c r="JX1" t="s">
        <v>376</v>
      </c>
      <c r="JY1" t="s">
        <v>377</v>
      </c>
      <c r="JZ1" t="s">
        <v>378</v>
      </c>
      <c r="KA1" t="s">
        <v>379</v>
      </c>
      <c r="KB1" t="s">
        <v>380</v>
      </c>
      <c r="KC1" t="s">
        <v>381</v>
      </c>
      <c r="KD1" t="s">
        <v>382</v>
      </c>
      <c r="KE1" t="s">
        <v>383</v>
      </c>
      <c r="KF1" t="s">
        <v>384</v>
      </c>
      <c r="KG1" t="s">
        <v>385</v>
      </c>
      <c r="KH1" t="s">
        <v>386</v>
      </c>
      <c r="KI1" t="s">
        <v>387</v>
      </c>
      <c r="KJ1" t="s">
        <v>388</v>
      </c>
      <c r="KK1" t="s">
        <v>389</v>
      </c>
      <c r="KL1" t="s">
        <v>390</v>
      </c>
      <c r="KM1" t="s">
        <v>391</v>
      </c>
      <c r="KN1" t="s">
        <v>392</v>
      </c>
      <c r="KO1" t="s">
        <v>393</v>
      </c>
      <c r="KP1" t="s">
        <v>394</v>
      </c>
      <c r="KQ1" t="s">
        <v>395</v>
      </c>
      <c r="KR1" t="s">
        <v>396</v>
      </c>
      <c r="KS1" t="s">
        <v>397</v>
      </c>
      <c r="KT1" t="s">
        <v>398</v>
      </c>
      <c r="KU1" t="s">
        <v>399</v>
      </c>
      <c r="KV1" t="s">
        <v>400</v>
      </c>
      <c r="KW1" t="s">
        <v>401</v>
      </c>
      <c r="KX1" t="s">
        <v>402</v>
      </c>
      <c r="KY1" t="s">
        <v>403</v>
      </c>
      <c r="KZ1" t="s">
        <v>404</v>
      </c>
      <c r="LA1" t="s">
        <v>405</v>
      </c>
      <c r="LB1" t="s">
        <v>406</v>
      </c>
      <c r="LC1" t="s">
        <v>407</v>
      </c>
      <c r="LD1" t="s">
        <v>408</v>
      </c>
      <c r="LE1" t="s">
        <v>409</v>
      </c>
      <c r="LF1" t="s">
        <v>410</v>
      </c>
      <c r="LG1" t="s">
        <v>411</v>
      </c>
      <c r="LH1" t="s">
        <v>412</v>
      </c>
      <c r="LI1" t="s">
        <v>413</v>
      </c>
      <c r="LJ1" t="s">
        <v>414</v>
      </c>
      <c r="LK1" t="s">
        <v>415</v>
      </c>
      <c r="LL1" t="s">
        <v>416</v>
      </c>
      <c r="LM1" t="s">
        <v>417</v>
      </c>
      <c r="LN1" t="s">
        <v>418</v>
      </c>
      <c r="LO1" t="s">
        <v>419</v>
      </c>
      <c r="LP1" t="s">
        <v>420</v>
      </c>
      <c r="LQ1" t="s">
        <v>421</v>
      </c>
      <c r="LR1" t="s">
        <v>422</v>
      </c>
      <c r="LS1" t="s">
        <v>423</v>
      </c>
      <c r="LT1" t="s">
        <v>424</v>
      </c>
      <c r="LU1" t="s">
        <v>425</v>
      </c>
      <c r="LV1" t="s">
        <v>426</v>
      </c>
      <c r="LW1" t="s">
        <v>427</v>
      </c>
      <c r="LX1" t="s">
        <v>428</v>
      </c>
      <c r="LY1" t="s">
        <v>429</v>
      </c>
      <c r="LZ1" t="s">
        <v>430</v>
      </c>
      <c r="MA1" t="s">
        <v>431</v>
      </c>
      <c r="MB1" t="s">
        <v>432</v>
      </c>
      <c r="MC1" t="s">
        <v>433</v>
      </c>
      <c r="MD1" t="s">
        <v>434</v>
      </c>
      <c r="ME1" t="s">
        <v>435</v>
      </c>
      <c r="MF1" t="s">
        <v>436</v>
      </c>
      <c r="MG1" t="s">
        <v>437</v>
      </c>
      <c r="MH1" t="s">
        <v>438</v>
      </c>
      <c r="MI1" t="s">
        <v>439</v>
      </c>
      <c r="MJ1" t="s">
        <v>440</v>
      </c>
      <c r="MK1" t="s">
        <v>441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457</v>
      </c>
      <c r="NB1" t="s">
        <v>458</v>
      </c>
      <c r="NC1" t="s">
        <v>459</v>
      </c>
      <c r="ND1" t="s">
        <v>460</v>
      </c>
      <c r="NE1" t="s">
        <v>461</v>
      </c>
      <c r="NF1" t="s">
        <v>462</v>
      </c>
      <c r="NG1" t="s">
        <v>463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479</v>
      </c>
      <c r="NX1" t="s">
        <v>480</v>
      </c>
      <c r="NY1" t="s">
        <v>481</v>
      </c>
      <c r="NZ1" t="s">
        <v>482</v>
      </c>
      <c r="OA1" t="s">
        <v>483</v>
      </c>
      <c r="OB1" t="s">
        <v>484</v>
      </c>
      <c r="OC1" t="s">
        <v>485</v>
      </c>
      <c r="OD1" t="s">
        <v>486</v>
      </c>
      <c r="OE1" t="s">
        <v>487</v>
      </c>
      <c r="OF1" t="s">
        <v>488</v>
      </c>
      <c r="OG1" t="s">
        <v>489</v>
      </c>
      <c r="OH1" t="s">
        <v>490</v>
      </c>
    </row>
    <row r="2" spans="1:398">
      <c r="A2">
        <v>1</v>
      </c>
      <c r="B2" t="s">
        <v>52</v>
      </c>
      <c r="C2" t="s">
        <v>51</v>
      </c>
      <c r="D2">
        <v>2010</v>
      </c>
      <c r="E2">
        <v>24.446000000000002</v>
      </c>
      <c r="F2">
        <v>2.0954000000000002</v>
      </c>
      <c r="G2">
        <v>562</v>
      </c>
      <c r="H2">
        <v>59.4</v>
      </c>
      <c r="I2">
        <v>79.900000000000006</v>
      </c>
      <c r="J2">
        <v>6.8</v>
      </c>
      <c r="K2">
        <v>1323.8</v>
      </c>
      <c r="L2">
        <v>1.6</v>
      </c>
      <c r="M2">
        <v>2.1</v>
      </c>
      <c r="N2">
        <v>47157</v>
      </c>
      <c r="O2">
        <v>10.31</v>
      </c>
      <c r="P2">
        <v>0.96</v>
      </c>
      <c r="Q2">
        <v>7711.01</v>
      </c>
      <c r="R2">
        <v>41.5</v>
      </c>
      <c r="S2">
        <v>0.37995600000000002</v>
      </c>
      <c r="T2">
        <v>0.74885740000000001</v>
      </c>
      <c r="U2">
        <v>0.35451559999999999</v>
      </c>
      <c r="V2">
        <v>0.4253826</v>
      </c>
      <c r="W2">
        <v>1.598344</v>
      </c>
      <c r="X2">
        <v>-0.4370888</v>
      </c>
      <c r="Y2">
        <v>-0.23270199999999999</v>
      </c>
      <c r="Z2">
        <v>-0.45039600000000002</v>
      </c>
      <c r="AA2">
        <v>2.5865559999999999</v>
      </c>
      <c r="AB2">
        <v>0.47040490000000001</v>
      </c>
      <c r="AC2">
        <v>-0.46907339999999997</v>
      </c>
      <c r="AD2">
        <v>0.13562759999999999</v>
      </c>
      <c r="AE2">
        <v>6.4911999999999999E-3</v>
      </c>
      <c r="AF2">
        <v>0.17468919999999999</v>
      </c>
      <c r="AG2">
        <v>-9.6848199999999995E-2</v>
      </c>
      <c r="AH2">
        <v>1.030049</v>
      </c>
      <c r="AI2">
        <v>3.1964670000000002</v>
      </c>
      <c r="AJ2">
        <v>0.73974450000000003</v>
      </c>
      <c r="AK2">
        <v>6.3315020000000004</v>
      </c>
      <c r="AL2">
        <v>4.380776</v>
      </c>
      <c r="AM2">
        <v>1.9169229999999999</v>
      </c>
      <c r="AN2">
        <v>7.1882619999999999</v>
      </c>
      <c r="AO2">
        <v>10.761240000000001</v>
      </c>
      <c r="AP2">
        <v>-4.0821999999999997E-2</v>
      </c>
      <c r="AQ2">
        <v>8.9504040000000007</v>
      </c>
      <c r="AR2">
        <v>4.6185799999999997</v>
      </c>
      <c r="AS2">
        <v>3.4372099999999999</v>
      </c>
      <c r="AT2">
        <v>10.6698</v>
      </c>
      <c r="AU2">
        <v>57.399000000000001</v>
      </c>
      <c r="AV2">
        <v>99.644900000000007</v>
      </c>
      <c r="AW2">
        <v>-5.6454000000000004</v>
      </c>
      <c r="AX2" s="17">
        <v>-22000000000</v>
      </c>
      <c r="AY2">
        <v>3.3843899999999998</v>
      </c>
      <c r="AZ2">
        <v>0.66</v>
      </c>
      <c r="BA2">
        <v>2.3331140000000001</v>
      </c>
      <c r="BB2">
        <v>2.3331143999999999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0.207014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0.59225220000000001</v>
      </c>
      <c r="CH2">
        <v>0.23561199999999999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1.718669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0.35076269999999998</v>
      </c>
      <c r="DI2">
        <v>2.953824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0.39088650000000003</v>
      </c>
      <c r="DW2">
        <v>1.1343220000000001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14</v>
      </c>
      <c r="EW2">
        <v>7.1428599999999995E-2</v>
      </c>
      <c r="EX2">
        <v>7.1428599999999995E-2</v>
      </c>
      <c r="EY2">
        <v>7.1428599999999995E-2</v>
      </c>
      <c r="EZ2">
        <v>7.1428599999999995E-2</v>
      </c>
      <c r="FA2">
        <v>7.1428599999999995E-2</v>
      </c>
      <c r="FB2">
        <v>7.1428599999999995E-2</v>
      </c>
      <c r="FC2">
        <v>7.1428599999999995E-2</v>
      </c>
      <c r="FD2">
        <v>7.1428599999999995E-2</v>
      </c>
      <c r="FE2">
        <v>7.1428599999999995E-2</v>
      </c>
      <c r="FF2">
        <v>7.1428599999999995E-2</v>
      </c>
      <c r="FG2">
        <v>7.1428599999999995E-2</v>
      </c>
      <c r="FH2">
        <v>7.1428599999999995E-2</v>
      </c>
      <c r="FI2">
        <v>7.1428599999999995E-2</v>
      </c>
      <c r="FJ2">
        <v>7.1428599999999995E-2</v>
      </c>
      <c r="FK2">
        <v>0.37995610000000002</v>
      </c>
      <c r="FL2">
        <v>0.14436669999999999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0.74885740000000001</v>
      </c>
      <c r="FZ2">
        <v>0.35451559999999999</v>
      </c>
      <c r="GA2">
        <v>0.4253826</v>
      </c>
      <c r="GB2">
        <v>-0.4370888</v>
      </c>
      <c r="GC2">
        <v>-0.45039600000000002</v>
      </c>
      <c r="GD2">
        <v>-0.46907339999999997</v>
      </c>
      <c r="GE2">
        <v>-9.6848199999999995E-2</v>
      </c>
      <c r="GF2">
        <v>0.13562759999999999</v>
      </c>
      <c r="GG2">
        <v>6.4911999999999999E-3</v>
      </c>
      <c r="GH2">
        <v>1.3843760000000001</v>
      </c>
      <c r="GI2">
        <v>1.916496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0.25077100000000002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0.9136879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113.8442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29.5</v>
      </c>
      <c r="OD2">
        <v>43035.4</v>
      </c>
      <c r="OE2">
        <v>1.23</v>
      </c>
      <c r="OF2">
        <v>101.35</v>
      </c>
      <c r="OG2">
        <v>31.1</v>
      </c>
      <c r="OH2">
        <v>57.399000000000001</v>
      </c>
    </row>
    <row r="3" spans="1:398">
      <c r="A3">
        <v>1</v>
      </c>
      <c r="B3" t="s">
        <v>52</v>
      </c>
      <c r="C3" t="s">
        <v>51</v>
      </c>
      <c r="D3">
        <v>2011</v>
      </c>
      <c r="E3">
        <v>25.949000000000002</v>
      </c>
      <c r="F3">
        <v>2.0348999999999999</v>
      </c>
      <c r="G3">
        <v>573</v>
      </c>
      <c r="H3">
        <v>56.7</v>
      </c>
      <c r="I3">
        <v>81.5</v>
      </c>
      <c r="J3">
        <v>6.9</v>
      </c>
      <c r="K3">
        <v>1953.5</v>
      </c>
      <c r="L3">
        <v>1.6</v>
      </c>
      <c r="M3">
        <v>2.1</v>
      </c>
      <c r="N3">
        <v>47178</v>
      </c>
      <c r="O3">
        <v>15.95</v>
      </c>
      <c r="P3">
        <v>0.97</v>
      </c>
      <c r="Q3">
        <v>7491.87</v>
      </c>
      <c r="R3">
        <v>41.3</v>
      </c>
      <c r="S3">
        <v>0.38527499999999998</v>
      </c>
      <c r="T3">
        <v>0.9314635</v>
      </c>
      <c r="U3">
        <v>0.29645060000000001</v>
      </c>
      <c r="V3">
        <v>0.50889969999999995</v>
      </c>
      <c r="W3">
        <v>1.4245369999999999</v>
      </c>
      <c r="X3">
        <v>-0.21484990000000001</v>
      </c>
      <c r="Y3">
        <v>-0.21668889999999999</v>
      </c>
      <c r="Z3">
        <v>-0.36822579999999999</v>
      </c>
      <c r="AA3">
        <v>2.5865559999999999</v>
      </c>
      <c r="AB3">
        <v>0.47040490000000001</v>
      </c>
      <c r="AC3">
        <v>-0.46896189999999999</v>
      </c>
      <c r="AD3">
        <v>0.18463199999999999</v>
      </c>
      <c r="AE3">
        <v>-6.5706500000000001E-2</v>
      </c>
      <c r="AF3">
        <v>0.16415350000000001</v>
      </c>
      <c r="AG3">
        <v>0.1969012</v>
      </c>
      <c r="AH3">
        <v>1.031201</v>
      </c>
      <c r="AI3">
        <v>3.2561330000000002</v>
      </c>
      <c r="AJ3">
        <v>0.71044669999999999</v>
      </c>
      <c r="AK3">
        <v>6.350886</v>
      </c>
      <c r="AL3">
        <v>4.4006030000000003</v>
      </c>
      <c r="AM3">
        <v>1.931521</v>
      </c>
      <c r="AN3">
        <v>7.5773780000000004</v>
      </c>
      <c r="AO3">
        <v>10.76168</v>
      </c>
      <c r="AP3">
        <v>-3.0459199999999999E-2</v>
      </c>
      <c r="AQ3">
        <v>8.9215730000000004</v>
      </c>
      <c r="AR3">
        <v>4.62195</v>
      </c>
      <c r="AS3">
        <v>3.45316</v>
      </c>
      <c r="AT3">
        <v>10.6953</v>
      </c>
      <c r="AU3">
        <v>57.115000000000002</v>
      </c>
      <c r="AV3">
        <v>105.77500000000001</v>
      </c>
      <c r="AW3">
        <v>5.3581300000000001</v>
      </c>
      <c r="AX3" s="17">
        <v>23000000000</v>
      </c>
      <c r="AY3">
        <v>3.4177300000000002</v>
      </c>
      <c r="AZ3">
        <v>0.66</v>
      </c>
      <c r="BA3">
        <v>2.7694589999999999</v>
      </c>
      <c r="BB3">
        <v>2.7694588000000002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0.64185400000000004</v>
      </c>
      <c r="CA3">
        <v>1</v>
      </c>
      <c r="CB3">
        <v>1</v>
      </c>
      <c r="CC3">
        <v>1</v>
      </c>
      <c r="CD3">
        <v>1</v>
      </c>
      <c r="CE3">
        <v>1</v>
      </c>
      <c r="CF3">
        <v>0.48748839999999999</v>
      </c>
      <c r="CG3">
        <v>0.59685149999999998</v>
      </c>
      <c r="CH3">
        <v>0.244473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1.728885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0.35623169999999998</v>
      </c>
      <c r="DI3">
        <v>2.989042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0.39392199999999999</v>
      </c>
      <c r="DW3">
        <v>1.1410640000000001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13.16141</v>
      </c>
      <c r="EW3">
        <v>7.1418800000000005E-2</v>
      </c>
      <c r="EX3">
        <v>7.1320700000000001E-2</v>
      </c>
      <c r="EY3">
        <v>7.1390999999999996E-2</v>
      </c>
      <c r="EZ3">
        <v>7.13057E-2</v>
      </c>
      <c r="FA3">
        <v>7.1412400000000001E-2</v>
      </c>
      <c r="FB3">
        <v>7.1373199999999998E-2</v>
      </c>
      <c r="FC3">
        <v>7.1864200000000003E-2</v>
      </c>
      <c r="FD3">
        <v>7.1354799999999996E-2</v>
      </c>
      <c r="FE3">
        <v>7.1354799999999996E-2</v>
      </c>
      <c r="FF3">
        <v>7.1355299999999997E-2</v>
      </c>
      <c r="FG3">
        <v>7.1809300000000006E-2</v>
      </c>
      <c r="FH3">
        <v>7.1379399999999996E-2</v>
      </c>
      <c r="FI3">
        <v>7.1311600000000003E-2</v>
      </c>
      <c r="FJ3">
        <v>7.1348499999999995E-2</v>
      </c>
      <c r="FK3">
        <v>0.38499630000000001</v>
      </c>
      <c r="FL3">
        <v>0.1482221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0.9314635</v>
      </c>
      <c r="FZ3">
        <v>0.29645060000000001</v>
      </c>
      <c r="GA3">
        <v>0.50889969999999995</v>
      </c>
      <c r="GB3">
        <v>-0.21484990000000001</v>
      </c>
      <c r="GC3">
        <v>-0.36822579999999999</v>
      </c>
      <c r="GD3">
        <v>-0.46896189999999999</v>
      </c>
      <c r="GE3">
        <v>0.1969012</v>
      </c>
      <c r="GF3">
        <v>0.18463199999999999</v>
      </c>
      <c r="GG3">
        <v>-6.5706500000000001E-2</v>
      </c>
      <c r="GH3">
        <v>1.4049069999999999</v>
      </c>
      <c r="GI3">
        <v>1.9737629999999999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0.25409759999999998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0.92723840000000002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114.3886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30.5</v>
      </c>
      <c r="OD3">
        <v>44146.2</v>
      </c>
      <c r="OE3">
        <v>1.9</v>
      </c>
      <c r="OF3">
        <v>101.69199999999999</v>
      </c>
      <c r="OG3">
        <v>31.6</v>
      </c>
      <c r="OH3">
        <v>57.115000000000002</v>
      </c>
    </row>
    <row r="4" spans="1:398">
      <c r="A4">
        <v>1</v>
      </c>
      <c r="B4" t="s">
        <v>52</v>
      </c>
      <c r="C4" t="s">
        <v>51</v>
      </c>
      <c r="D4">
        <v>2012</v>
      </c>
      <c r="E4">
        <v>24.556999999999999</v>
      </c>
      <c r="F4">
        <v>2.1585000000000001</v>
      </c>
      <c r="G4">
        <v>579</v>
      </c>
      <c r="H4">
        <v>57.7</v>
      </c>
      <c r="I4">
        <v>80</v>
      </c>
      <c r="J4">
        <v>7.9</v>
      </c>
      <c r="K4">
        <v>2036</v>
      </c>
      <c r="L4">
        <v>1.6</v>
      </c>
      <c r="M4">
        <v>2.1</v>
      </c>
      <c r="N4">
        <v>47954</v>
      </c>
      <c r="O4">
        <v>11.44</v>
      </c>
      <c r="P4">
        <v>0.95</v>
      </c>
      <c r="Q4">
        <v>7107.81</v>
      </c>
      <c r="R4">
        <v>42.9</v>
      </c>
      <c r="S4">
        <v>0.38357999999999998</v>
      </c>
      <c r="T4">
        <v>0.7623432</v>
      </c>
      <c r="U4">
        <v>0.41507569999999999</v>
      </c>
      <c r="V4">
        <v>0.55445449999999996</v>
      </c>
      <c r="W4">
        <v>1.48891</v>
      </c>
      <c r="X4">
        <v>-0.42319909999999999</v>
      </c>
      <c r="Y4">
        <v>-5.6557999999999997E-2</v>
      </c>
      <c r="Z4">
        <v>-0.35746020000000001</v>
      </c>
      <c r="AA4">
        <v>2.5865559999999999</v>
      </c>
      <c r="AB4">
        <v>0.47040490000000001</v>
      </c>
      <c r="AC4">
        <v>-0.46484130000000001</v>
      </c>
      <c r="AD4">
        <v>8.6623500000000006E-2</v>
      </c>
      <c r="AE4">
        <v>-0.1922373</v>
      </c>
      <c r="AF4">
        <v>0.24843860000000001</v>
      </c>
      <c r="AG4">
        <v>-3.7994199999999999E-2</v>
      </c>
      <c r="AH4">
        <v>1.1475630000000001</v>
      </c>
      <c r="AI4">
        <v>3.2009970000000001</v>
      </c>
      <c r="AJ4">
        <v>0.76941349999999997</v>
      </c>
      <c r="AK4">
        <v>6.3613020000000002</v>
      </c>
      <c r="AL4">
        <v>4.3820269999999999</v>
      </c>
      <c r="AM4">
        <v>2.0668630000000001</v>
      </c>
      <c r="AN4">
        <v>7.6187420000000001</v>
      </c>
      <c r="AO4">
        <v>10.778</v>
      </c>
      <c r="AP4">
        <v>-5.12933E-2</v>
      </c>
      <c r="AQ4">
        <v>8.8689499999999999</v>
      </c>
      <c r="AR4">
        <v>4.6265099999999997</v>
      </c>
      <c r="AS4">
        <v>3.5380600000000002</v>
      </c>
      <c r="AT4">
        <v>10.696999999999999</v>
      </c>
      <c r="AU4">
        <v>57.146999999999998</v>
      </c>
      <c r="AV4">
        <v>105.84099999999999</v>
      </c>
      <c r="AW4">
        <v>1.2829999999999999</v>
      </c>
      <c r="AX4" s="17">
        <v>5200000000</v>
      </c>
      <c r="AY4">
        <v>3.4499900000000001</v>
      </c>
      <c r="AZ4">
        <v>0.62</v>
      </c>
      <c r="BA4">
        <v>2.4371160000000001</v>
      </c>
      <c r="BB4">
        <v>2.4371158999999998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0.30748500000000001</v>
      </c>
      <c r="CA4">
        <v>1</v>
      </c>
      <c r="CB4">
        <v>1</v>
      </c>
      <c r="CC4">
        <v>1</v>
      </c>
      <c r="CD4">
        <v>1</v>
      </c>
      <c r="CE4">
        <v>1</v>
      </c>
      <c r="CF4">
        <v>0.33188849999999998</v>
      </c>
      <c r="CG4">
        <v>0.59622649999999999</v>
      </c>
      <c r="CH4">
        <v>0.24438399999999999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1.845898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0.35548610000000003</v>
      </c>
      <c r="DI4">
        <v>3.4073380000000002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0.3696604</v>
      </c>
      <c r="DW4">
        <v>1.1444570000000001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13.10003</v>
      </c>
      <c r="EW4">
        <v>7.1434200000000003E-2</v>
      </c>
      <c r="EX4">
        <v>7.1413400000000002E-2</v>
      </c>
      <c r="EY4">
        <v>7.1416900000000005E-2</v>
      </c>
      <c r="EZ4">
        <v>7.1428000000000005E-2</v>
      </c>
      <c r="FA4">
        <v>7.14336E-2</v>
      </c>
      <c r="FB4">
        <v>7.1403900000000006E-2</v>
      </c>
      <c r="FC4">
        <v>7.1407799999999994E-2</v>
      </c>
      <c r="FD4">
        <v>7.1426000000000003E-2</v>
      </c>
      <c r="FE4">
        <v>7.1426000000000003E-2</v>
      </c>
      <c r="FF4">
        <v>7.1421299999999993E-2</v>
      </c>
      <c r="FG4">
        <v>7.1469900000000003E-2</v>
      </c>
      <c r="FH4">
        <v>7.1437799999999996E-2</v>
      </c>
      <c r="FI4">
        <v>7.1466600000000005E-2</v>
      </c>
      <c r="FJ4">
        <v>7.1414599999999995E-2</v>
      </c>
      <c r="FK4">
        <v>0.38357760000000002</v>
      </c>
      <c r="FL4">
        <v>0.14713180000000001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0.7623432</v>
      </c>
      <c r="FZ4">
        <v>0.41507569999999999</v>
      </c>
      <c r="GA4">
        <v>0.55445449999999996</v>
      </c>
      <c r="GB4">
        <v>-0.42319909999999999</v>
      </c>
      <c r="GC4">
        <v>-0.35746020000000001</v>
      </c>
      <c r="GD4">
        <v>-0.46484130000000001</v>
      </c>
      <c r="GE4">
        <v>-3.7994199999999999E-2</v>
      </c>
      <c r="GF4">
        <v>8.6623500000000006E-2</v>
      </c>
      <c r="GG4">
        <v>-0.1922373</v>
      </c>
      <c r="GH4">
        <v>1.54094</v>
      </c>
      <c r="GI4">
        <v>2.3744960000000002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0.2378181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0.95538279999999998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114.4252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31.5</v>
      </c>
      <c r="OD4">
        <v>44221.5</v>
      </c>
      <c r="OE4">
        <v>1.36</v>
      </c>
      <c r="OF4">
        <v>102.157</v>
      </c>
      <c r="OG4">
        <v>34.4</v>
      </c>
      <c r="OH4">
        <v>57.146999999999998</v>
      </c>
    </row>
    <row r="5" spans="1:398">
      <c r="A5">
        <v>1</v>
      </c>
      <c r="B5" t="s">
        <v>52</v>
      </c>
      <c r="C5" t="s">
        <v>51</v>
      </c>
      <c r="D5">
        <v>2013</v>
      </c>
      <c r="E5">
        <v>23.832000000000001</v>
      </c>
      <c r="F5">
        <v>2.2054999999999998</v>
      </c>
      <c r="G5">
        <v>578</v>
      </c>
      <c r="H5">
        <v>57.7</v>
      </c>
      <c r="I5">
        <v>79</v>
      </c>
      <c r="J5">
        <v>9.1</v>
      </c>
      <c r="K5">
        <v>2149.6999999999998</v>
      </c>
      <c r="L5">
        <v>1.6</v>
      </c>
      <c r="M5">
        <v>2.1</v>
      </c>
      <c r="N5">
        <v>48925</v>
      </c>
      <c r="O5">
        <v>10.44</v>
      </c>
      <c r="P5">
        <v>0.95</v>
      </c>
      <c r="Q5">
        <v>6895.54</v>
      </c>
      <c r="R5">
        <v>42.7</v>
      </c>
      <c r="S5">
        <v>0.38378699999999999</v>
      </c>
      <c r="T5">
        <v>0.67425999999999997</v>
      </c>
      <c r="U5">
        <v>0.46018389999999998</v>
      </c>
      <c r="V5">
        <v>0.54686199999999996</v>
      </c>
      <c r="W5">
        <v>1.48891</v>
      </c>
      <c r="X5">
        <v>-0.5620986</v>
      </c>
      <c r="Y5">
        <v>0.1355992</v>
      </c>
      <c r="Z5">
        <v>-0.34262340000000002</v>
      </c>
      <c r="AA5">
        <v>2.5865559999999999</v>
      </c>
      <c r="AB5">
        <v>0.47040490000000001</v>
      </c>
      <c r="AC5">
        <v>-0.45968530000000002</v>
      </c>
      <c r="AD5">
        <v>8.6623500000000006E-2</v>
      </c>
      <c r="AE5">
        <v>-0.26217269999999998</v>
      </c>
      <c r="AF5">
        <v>0.237903</v>
      </c>
      <c r="AG5">
        <v>-9.0077400000000002E-2</v>
      </c>
      <c r="AH5">
        <v>1.2519</v>
      </c>
      <c r="AI5">
        <v>3.1710289999999999</v>
      </c>
      <c r="AJ5">
        <v>0.79095420000000005</v>
      </c>
      <c r="AK5">
        <v>6.3595740000000003</v>
      </c>
      <c r="AL5">
        <v>4.3694480000000002</v>
      </c>
      <c r="AM5">
        <v>2.2082739999999998</v>
      </c>
      <c r="AN5">
        <v>7.6730840000000002</v>
      </c>
      <c r="AO5">
        <v>10.79804</v>
      </c>
      <c r="AP5">
        <v>-5.12933E-2</v>
      </c>
      <c r="AQ5">
        <v>8.8386300000000002</v>
      </c>
      <c r="AR5">
        <v>4.6324100000000001</v>
      </c>
      <c r="AS5">
        <v>3.5438499999999999</v>
      </c>
      <c r="AT5">
        <v>10.688599999999999</v>
      </c>
      <c r="AU5">
        <v>57.335999999999999</v>
      </c>
      <c r="AV5">
        <v>104.985</v>
      </c>
      <c r="AW5">
        <v>-0.30263299999999999</v>
      </c>
      <c r="AX5" s="17">
        <v>-1300000000</v>
      </c>
      <c r="AY5">
        <v>3.4812400000000001</v>
      </c>
      <c r="AZ5">
        <v>0.62</v>
      </c>
      <c r="BA5">
        <v>2.3456440000000001</v>
      </c>
      <c r="BB5">
        <v>2.3456445000000001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0.207014</v>
      </c>
      <c r="CA5">
        <v>1</v>
      </c>
      <c r="CB5">
        <v>1</v>
      </c>
      <c r="CC5">
        <v>1</v>
      </c>
      <c r="CD5">
        <v>1</v>
      </c>
      <c r="CE5">
        <v>1</v>
      </c>
      <c r="CF5">
        <v>0.2491864</v>
      </c>
      <c r="CG5">
        <v>0.59657159999999998</v>
      </c>
      <c r="CH5">
        <v>0.24756600000000001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1.9478219999999999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0.35589759999999998</v>
      </c>
      <c r="DI5">
        <v>3.7940109999999998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0.36987439999999999</v>
      </c>
      <c r="DW5">
        <v>1.2076499999999999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13.14667</v>
      </c>
      <c r="EW5">
        <v>7.1482100000000007E-2</v>
      </c>
      <c r="EX5">
        <v>7.1380299999999994E-2</v>
      </c>
      <c r="EY5">
        <v>7.1415500000000007E-2</v>
      </c>
      <c r="EZ5">
        <v>7.1439100000000005E-2</v>
      </c>
      <c r="FA5">
        <v>7.1486099999999997E-2</v>
      </c>
      <c r="FB5">
        <v>7.1226499999999998E-2</v>
      </c>
      <c r="FC5">
        <v>7.1275400000000003E-2</v>
      </c>
      <c r="FD5">
        <v>7.1434899999999996E-2</v>
      </c>
      <c r="FE5">
        <v>7.1434899999999996E-2</v>
      </c>
      <c r="FF5">
        <v>7.1404499999999996E-2</v>
      </c>
      <c r="FG5">
        <v>7.1591299999999997E-2</v>
      </c>
      <c r="FH5">
        <v>7.1458599999999997E-2</v>
      </c>
      <c r="FI5">
        <v>7.15591E-2</v>
      </c>
      <c r="FJ5">
        <v>7.14119E-2</v>
      </c>
      <c r="FK5">
        <v>0.38381900000000002</v>
      </c>
      <c r="FL5">
        <v>0.147317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0.67425999999999997</v>
      </c>
      <c r="FZ5">
        <v>0.46018389999999998</v>
      </c>
      <c r="GA5">
        <v>0.54686199999999996</v>
      </c>
      <c r="GB5">
        <v>-0.5620986</v>
      </c>
      <c r="GC5">
        <v>-0.34262340000000002</v>
      </c>
      <c r="GD5">
        <v>-0.45968530000000002</v>
      </c>
      <c r="GE5">
        <v>-9.0077400000000002E-2</v>
      </c>
      <c r="GF5">
        <v>8.6623500000000006E-2</v>
      </c>
      <c r="GG5">
        <v>-0.26217269999999998</v>
      </c>
      <c r="GH5">
        <v>1.692132</v>
      </c>
      <c r="GI5">
        <v>2.8633120000000001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0.23796780000000001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1.0491220000000001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114.2453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32.5</v>
      </c>
      <c r="OD5">
        <v>43851.4</v>
      </c>
      <c r="OE5">
        <v>1.23</v>
      </c>
      <c r="OF5">
        <v>102.761</v>
      </c>
      <c r="OG5">
        <v>34.6</v>
      </c>
      <c r="OH5">
        <v>57.335999999999999</v>
      </c>
    </row>
    <row r="6" spans="1:398">
      <c r="A6">
        <v>1</v>
      </c>
      <c r="B6" t="s">
        <v>52</v>
      </c>
      <c r="C6" t="s">
        <v>51</v>
      </c>
      <c r="D6">
        <v>2014</v>
      </c>
      <c r="E6">
        <v>24.295000000000002</v>
      </c>
      <c r="F6">
        <v>2.1665999999999999</v>
      </c>
      <c r="G6">
        <v>565</v>
      </c>
      <c r="H6">
        <v>56.3</v>
      </c>
      <c r="I6">
        <v>79.599999999999994</v>
      </c>
      <c r="J6">
        <v>9.9</v>
      </c>
      <c r="K6">
        <v>2229.8000000000002</v>
      </c>
      <c r="L6">
        <v>1.6</v>
      </c>
      <c r="M6">
        <v>2.1</v>
      </c>
      <c r="N6">
        <v>48172</v>
      </c>
      <c r="O6">
        <v>10.37</v>
      </c>
      <c r="P6">
        <v>0.95</v>
      </c>
      <c r="Q6">
        <v>6565.69</v>
      </c>
      <c r="R6">
        <v>40.6</v>
      </c>
      <c r="S6">
        <v>0.37980599999999998</v>
      </c>
      <c r="T6">
        <v>0.73051180000000004</v>
      </c>
      <c r="U6">
        <v>0.4228497</v>
      </c>
      <c r="V6">
        <v>0.44816</v>
      </c>
      <c r="W6">
        <v>1.3987879999999999</v>
      </c>
      <c r="X6">
        <v>-0.47875909999999999</v>
      </c>
      <c r="Y6">
        <v>0.26370379999999999</v>
      </c>
      <c r="Z6">
        <v>-0.3321711</v>
      </c>
      <c r="AA6">
        <v>2.5865559999999999</v>
      </c>
      <c r="AB6">
        <v>0.47040490000000001</v>
      </c>
      <c r="AC6">
        <v>-0.46368379999999998</v>
      </c>
      <c r="AD6">
        <v>8.6623500000000006E-2</v>
      </c>
      <c r="AE6">
        <v>-0.37084440000000002</v>
      </c>
      <c r="AF6">
        <v>0.1272788</v>
      </c>
      <c r="AG6">
        <v>-9.3723200000000007E-2</v>
      </c>
      <c r="AH6">
        <v>1.18855</v>
      </c>
      <c r="AI6">
        <v>3.1902710000000001</v>
      </c>
      <c r="AJ6">
        <v>0.77315909999999999</v>
      </c>
      <c r="AK6">
        <v>6.3368260000000003</v>
      </c>
      <c r="AL6">
        <v>4.377014</v>
      </c>
      <c r="AM6">
        <v>2.292535</v>
      </c>
      <c r="AN6">
        <v>7.7096669999999996</v>
      </c>
      <c r="AO6">
        <v>10.78253</v>
      </c>
      <c r="AP6">
        <v>-5.12933E-2</v>
      </c>
      <c r="AQ6">
        <v>8.7896129999999992</v>
      </c>
      <c r="AR6">
        <v>4.6402200000000002</v>
      </c>
      <c r="AS6">
        <v>3.5751499999999998</v>
      </c>
      <c r="AT6">
        <v>10.6883</v>
      </c>
      <c r="AU6">
        <v>57.526000000000003</v>
      </c>
      <c r="AV6">
        <v>104.497</v>
      </c>
      <c r="AW6">
        <v>0.38955699999999999</v>
      </c>
      <c r="AX6" s="17">
        <v>1700000000</v>
      </c>
      <c r="AY6">
        <v>3.4275199999999999</v>
      </c>
      <c r="AZ6">
        <v>0.6</v>
      </c>
      <c r="BA6">
        <v>2.3389169999999999</v>
      </c>
      <c r="BB6">
        <v>2.3389169999999999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0.19062000000000001</v>
      </c>
      <c r="CA6">
        <v>1</v>
      </c>
      <c r="CB6">
        <v>1</v>
      </c>
      <c r="CC6">
        <v>1</v>
      </c>
      <c r="CD6">
        <v>1</v>
      </c>
      <c r="CE6">
        <v>1</v>
      </c>
      <c r="CF6">
        <v>0.19528619999999999</v>
      </c>
      <c r="CG6">
        <v>0.59294809999999998</v>
      </c>
      <c r="CH6">
        <v>0.24627399999999999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1.892271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0.3515875</v>
      </c>
      <c r="DI6">
        <v>3.5806900000000002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0.3557689</v>
      </c>
      <c r="DW6">
        <v>1.1353629999999999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13.208539999999999</v>
      </c>
      <c r="EW6">
        <v>7.1449899999999997E-2</v>
      </c>
      <c r="EX6">
        <v>7.1398500000000004E-2</v>
      </c>
      <c r="EY6">
        <v>7.1460999999999997E-2</v>
      </c>
      <c r="EZ6">
        <v>7.1467500000000003E-2</v>
      </c>
      <c r="FA6">
        <v>7.1451100000000003E-2</v>
      </c>
      <c r="FB6">
        <v>7.1092900000000001E-2</v>
      </c>
      <c r="FC6">
        <v>7.1213600000000002E-2</v>
      </c>
      <c r="FD6">
        <v>7.1428500000000006E-2</v>
      </c>
      <c r="FE6">
        <v>7.1428500000000006E-2</v>
      </c>
      <c r="FF6">
        <v>7.1418200000000001E-2</v>
      </c>
      <c r="FG6">
        <v>7.15866E-2</v>
      </c>
      <c r="FH6">
        <v>7.1452199999999993E-2</v>
      </c>
      <c r="FI6">
        <v>7.1661199999999994E-2</v>
      </c>
      <c r="FJ6">
        <v>7.1489999999999998E-2</v>
      </c>
      <c r="FK6">
        <v>0.37986150000000002</v>
      </c>
      <c r="FL6">
        <v>0.1442948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0.73051180000000004</v>
      </c>
      <c r="FZ6">
        <v>0.4228497</v>
      </c>
      <c r="GA6">
        <v>0.44816</v>
      </c>
      <c r="GB6">
        <v>-0.47875909999999999</v>
      </c>
      <c r="GC6">
        <v>-0.3321711</v>
      </c>
      <c r="GD6">
        <v>-0.46368379999999998</v>
      </c>
      <c r="GE6">
        <v>-9.3723200000000007E-2</v>
      </c>
      <c r="GF6">
        <v>8.6623500000000006E-2</v>
      </c>
      <c r="GG6">
        <v>-0.37084440000000002</v>
      </c>
      <c r="GH6">
        <v>1.6289340000000001</v>
      </c>
      <c r="GI6">
        <v>2.6534249999999999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0.22791690000000001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0.97736029999999996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114.23909999999999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30.8</v>
      </c>
      <c r="OD6">
        <v>43838.8</v>
      </c>
      <c r="OE6">
        <v>1.21</v>
      </c>
      <c r="OF6">
        <v>103.56699999999999</v>
      </c>
      <c r="OG6">
        <v>35.700000000000003</v>
      </c>
      <c r="OH6">
        <v>57.526000000000003</v>
      </c>
    </row>
    <row r="7" spans="1:398">
      <c r="A7">
        <v>1</v>
      </c>
      <c r="B7" t="s">
        <v>52</v>
      </c>
      <c r="C7" t="s">
        <v>51</v>
      </c>
      <c r="D7">
        <v>2015</v>
      </c>
      <c r="E7">
        <v>23.373999999999999</v>
      </c>
      <c r="F7">
        <v>2.2656000000000001</v>
      </c>
      <c r="G7">
        <v>560</v>
      </c>
      <c r="H7">
        <v>56.9</v>
      </c>
      <c r="I7">
        <v>81.099999999999994</v>
      </c>
      <c r="J7">
        <v>11.2</v>
      </c>
      <c r="K7">
        <v>2162.5</v>
      </c>
      <c r="L7">
        <v>1.5</v>
      </c>
      <c r="M7">
        <v>2.1</v>
      </c>
      <c r="N7">
        <v>48252</v>
      </c>
      <c r="O7">
        <v>10.6</v>
      </c>
      <c r="P7">
        <v>0.95</v>
      </c>
      <c r="Q7">
        <v>6615.97</v>
      </c>
      <c r="R7">
        <v>42.4</v>
      </c>
      <c r="S7">
        <v>0.38346200000000003</v>
      </c>
      <c r="T7">
        <v>0.61861560000000004</v>
      </c>
      <c r="U7">
        <v>0.51786489999999996</v>
      </c>
      <c r="V7">
        <v>0.4101976</v>
      </c>
      <c r="W7">
        <v>1.4374119999999999</v>
      </c>
      <c r="X7">
        <v>-0.27040989999999998</v>
      </c>
      <c r="Y7">
        <v>0.47187400000000002</v>
      </c>
      <c r="Z7">
        <v>-0.34095310000000001</v>
      </c>
      <c r="AA7">
        <v>2.3084220000000002</v>
      </c>
      <c r="AB7">
        <v>0.47040490000000001</v>
      </c>
      <c r="AC7">
        <v>-0.46325899999999998</v>
      </c>
      <c r="AD7">
        <v>8.6623500000000006E-2</v>
      </c>
      <c r="AE7">
        <v>-0.35427969999999998</v>
      </c>
      <c r="AF7">
        <v>0.22209960000000001</v>
      </c>
      <c r="AG7">
        <v>-8.17441E-2</v>
      </c>
      <c r="AH7">
        <v>1.2844960000000001</v>
      </c>
      <c r="AI7">
        <v>3.151624</v>
      </c>
      <c r="AJ7">
        <v>0.8178396</v>
      </c>
      <c r="AK7">
        <v>6.3279370000000004</v>
      </c>
      <c r="AL7">
        <v>4.395683</v>
      </c>
      <c r="AM7">
        <v>2.4159139999999999</v>
      </c>
      <c r="AN7">
        <v>7.6790200000000004</v>
      </c>
      <c r="AO7">
        <v>10.784190000000001</v>
      </c>
      <c r="AP7">
        <v>-5.12933E-2</v>
      </c>
      <c r="AQ7">
        <v>8.7972409999999996</v>
      </c>
      <c r="AR7">
        <v>4.6514300000000004</v>
      </c>
      <c r="AS7">
        <v>3.54962</v>
      </c>
      <c r="AT7">
        <v>10.69</v>
      </c>
      <c r="AU7">
        <v>57.715000000000003</v>
      </c>
      <c r="AV7">
        <v>103.11799999999999</v>
      </c>
      <c r="AW7">
        <v>-1.8041</v>
      </c>
      <c r="AX7" s="17">
        <v>-6800000000</v>
      </c>
      <c r="AY7">
        <v>3.4657399999999998</v>
      </c>
      <c r="AZ7">
        <v>0.61</v>
      </c>
      <c r="BA7">
        <v>2.3608539999999998</v>
      </c>
      <c r="BB7">
        <v>2.3608541000000001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0.207014</v>
      </c>
      <c r="CA7">
        <v>1</v>
      </c>
      <c r="CB7">
        <v>1</v>
      </c>
      <c r="CC7">
        <v>1</v>
      </c>
      <c r="CD7">
        <v>1</v>
      </c>
      <c r="CE7">
        <v>1</v>
      </c>
      <c r="CF7">
        <v>0.1649484</v>
      </c>
      <c r="CG7">
        <v>0.59593790000000002</v>
      </c>
      <c r="CH7">
        <v>0.25058200000000003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1.9765999999999999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0.35514200000000001</v>
      </c>
      <c r="DI7">
        <v>3.906946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0.36352210000000001</v>
      </c>
      <c r="DW7">
        <v>1.2057260000000001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13.262259999999999</v>
      </c>
      <c r="EW7">
        <v>7.1523299999999998E-2</v>
      </c>
      <c r="EX7">
        <v>7.1346400000000004E-2</v>
      </c>
      <c r="EY7">
        <v>7.1499699999999999E-2</v>
      </c>
      <c r="EZ7">
        <v>7.1465399999999998E-2</v>
      </c>
      <c r="FA7">
        <v>7.1393399999999996E-2</v>
      </c>
      <c r="FB7">
        <v>7.0962399999999995E-2</v>
      </c>
      <c r="FC7">
        <v>7.12917E-2</v>
      </c>
      <c r="FD7">
        <v>7.1549000000000001E-2</v>
      </c>
      <c r="FE7">
        <v>7.1447200000000002E-2</v>
      </c>
      <c r="FF7">
        <v>7.1435499999999999E-2</v>
      </c>
      <c r="FG7">
        <v>7.1562299999999995E-2</v>
      </c>
      <c r="FH7">
        <v>7.1468500000000004E-2</v>
      </c>
      <c r="FI7">
        <v>7.1634400000000001E-2</v>
      </c>
      <c r="FJ7">
        <v>7.1420800000000007E-2</v>
      </c>
      <c r="FK7">
        <v>0.3835229</v>
      </c>
      <c r="FL7">
        <v>0.14708979999999999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0.61861560000000004</v>
      </c>
      <c r="FZ7">
        <v>0.51786489999999996</v>
      </c>
      <c r="GA7">
        <v>0.4101976</v>
      </c>
      <c r="GB7">
        <v>-0.27040989999999998</v>
      </c>
      <c r="GC7">
        <v>-0.34095310000000001</v>
      </c>
      <c r="GD7">
        <v>-0.46325899999999998</v>
      </c>
      <c r="GE7">
        <v>-8.17441E-2</v>
      </c>
      <c r="GF7">
        <v>8.6623500000000006E-2</v>
      </c>
      <c r="GG7">
        <v>-0.35427969999999998</v>
      </c>
      <c r="GH7">
        <v>1.742065</v>
      </c>
      <c r="GI7">
        <v>3.0347909999999998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0.23394899999999999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1.0626599999999999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114.2765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32</v>
      </c>
      <c r="OD7">
        <v>43915.199999999997</v>
      </c>
      <c r="OE7">
        <v>1.23</v>
      </c>
      <c r="OF7">
        <v>104.735</v>
      </c>
      <c r="OG7">
        <v>34.799999999999997</v>
      </c>
      <c r="OH7">
        <v>57.715000000000003</v>
      </c>
    </row>
    <row r="8" spans="1:398">
      <c r="A8">
        <v>1</v>
      </c>
      <c r="B8" t="s">
        <v>52</v>
      </c>
      <c r="C8" t="s">
        <v>51</v>
      </c>
      <c r="D8">
        <v>2016</v>
      </c>
      <c r="E8">
        <v>23.73</v>
      </c>
      <c r="F8">
        <v>2.2673999999999999</v>
      </c>
      <c r="G8">
        <v>564</v>
      </c>
      <c r="H8">
        <v>57.6</v>
      </c>
      <c r="I8">
        <v>81.8</v>
      </c>
      <c r="J8">
        <v>11.9</v>
      </c>
      <c r="K8">
        <v>2384.9</v>
      </c>
      <c r="L8">
        <v>1.5</v>
      </c>
      <c r="M8">
        <v>2.1</v>
      </c>
      <c r="N8">
        <v>48376</v>
      </c>
      <c r="O8">
        <v>7.71</v>
      </c>
      <c r="P8">
        <v>0.95</v>
      </c>
      <c r="Q8">
        <v>6459.72</v>
      </c>
      <c r="R8">
        <v>43.1</v>
      </c>
      <c r="S8">
        <v>0.38605</v>
      </c>
      <c r="T8">
        <v>0.66186739999999999</v>
      </c>
      <c r="U8">
        <v>0.51959250000000001</v>
      </c>
      <c r="V8">
        <v>0.4405675</v>
      </c>
      <c r="W8">
        <v>1.4824729999999999</v>
      </c>
      <c r="X8">
        <v>-0.17317959999999999</v>
      </c>
      <c r="Y8">
        <v>0.58396570000000003</v>
      </c>
      <c r="Z8">
        <v>-0.31193189999999998</v>
      </c>
      <c r="AA8">
        <v>2.3084220000000002</v>
      </c>
      <c r="AB8">
        <v>0.47040490000000001</v>
      </c>
      <c r="AC8">
        <v>-0.46260050000000003</v>
      </c>
      <c r="AD8">
        <v>8.6623500000000006E-2</v>
      </c>
      <c r="AE8">
        <v>-0.40575650000000002</v>
      </c>
      <c r="AF8">
        <v>0.25897409999999998</v>
      </c>
      <c r="AG8">
        <v>-0.23226459999999999</v>
      </c>
      <c r="AH8">
        <v>1.308794</v>
      </c>
      <c r="AI8">
        <v>3.1667399999999999</v>
      </c>
      <c r="AJ8">
        <v>0.81863379999999997</v>
      </c>
      <c r="AK8">
        <v>6.3350540000000004</v>
      </c>
      <c r="AL8">
        <v>4.4042770000000004</v>
      </c>
      <c r="AM8">
        <v>2.4765380000000001</v>
      </c>
      <c r="AN8">
        <v>7.7769120000000003</v>
      </c>
      <c r="AO8">
        <v>10.786759999999999</v>
      </c>
      <c r="AP8">
        <v>-5.12933E-2</v>
      </c>
      <c r="AQ8">
        <v>8.7733410000000003</v>
      </c>
      <c r="AR8">
        <v>4.6622399999999997</v>
      </c>
      <c r="AS8">
        <v>3.5438499999999999</v>
      </c>
      <c r="AT8">
        <v>10.700100000000001</v>
      </c>
      <c r="AU8">
        <v>57.905000000000001</v>
      </c>
      <c r="AV8">
        <v>101.57299999999999</v>
      </c>
      <c r="AW8">
        <v>-7.2398999999999996</v>
      </c>
      <c r="AX8" s="17">
        <v>-29000000000</v>
      </c>
      <c r="AY8">
        <v>3.4468100000000002</v>
      </c>
      <c r="AZ8">
        <v>0.62</v>
      </c>
      <c r="BA8">
        <v>2.0425179999999998</v>
      </c>
      <c r="BB8">
        <v>2.0425181000000001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-0.127833</v>
      </c>
      <c r="CA8">
        <v>1</v>
      </c>
      <c r="CB8">
        <v>1</v>
      </c>
      <c r="CC8">
        <v>1</v>
      </c>
      <c r="CD8">
        <v>1</v>
      </c>
      <c r="CE8">
        <v>1</v>
      </c>
      <c r="CF8">
        <v>0.1432013</v>
      </c>
      <c r="CG8">
        <v>0.59936389999999995</v>
      </c>
      <c r="CH8">
        <v>0.251639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1.998318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0.35923699999999997</v>
      </c>
      <c r="DI8">
        <v>3.9932750000000001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0.37160559999999998</v>
      </c>
      <c r="DW8">
        <v>1.2389570000000001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13.314109999999999</v>
      </c>
      <c r="EW8">
        <v>7.1484400000000003E-2</v>
      </c>
      <c r="EX8">
        <v>7.1351399999999995E-2</v>
      </c>
      <c r="EY8">
        <v>7.1467600000000006E-2</v>
      </c>
      <c r="EZ8">
        <v>7.1436899999999998E-2</v>
      </c>
      <c r="FA8">
        <v>7.1359300000000001E-2</v>
      </c>
      <c r="FB8">
        <v>7.0915900000000004E-2</v>
      </c>
      <c r="FC8">
        <v>7.1160500000000002E-2</v>
      </c>
      <c r="FD8">
        <v>7.1529999999999996E-2</v>
      </c>
      <c r="FE8">
        <v>7.1441199999999996E-2</v>
      </c>
      <c r="FF8">
        <v>7.1426900000000002E-2</v>
      </c>
      <c r="FG8">
        <v>7.1913599999999994E-2</v>
      </c>
      <c r="FH8">
        <v>7.1459800000000004E-2</v>
      </c>
      <c r="FI8">
        <v>7.1666099999999996E-2</v>
      </c>
      <c r="FJ8">
        <v>7.1386400000000003E-2</v>
      </c>
      <c r="FK8">
        <v>0.3860073</v>
      </c>
      <c r="FL8">
        <v>0.14900169999999999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0.66186739999999999</v>
      </c>
      <c r="FZ8">
        <v>0.51959250000000001</v>
      </c>
      <c r="GA8">
        <v>0.4405675</v>
      </c>
      <c r="GB8">
        <v>-0.17317959999999999</v>
      </c>
      <c r="GC8">
        <v>-0.31193189999999998</v>
      </c>
      <c r="GD8">
        <v>-0.46260050000000003</v>
      </c>
      <c r="GE8">
        <v>-0.23226459999999999</v>
      </c>
      <c r="GF8">
        <v>8.6623500000000006E-2</v>
      </c>
      <c r="GG8">
        <v>-0.40575650000000002</v>
      </c>
      <c r="GH8">
        <v>1.761903</v>
      </c>
      <c r="GI8">
        <v>3.104301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0.2393246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1.0923799999999999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114.4932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31.4</v>
      </c>
      <c r="OD8">
        <v>44362.7</v>
      </c>
      <c r="OE8">
        <v>0.88</v>
      </c>
      <c r="OF8">
        <v>105.873</v>
      </c>
      <c r="OG8">
        <v>34.6</v>
      </c>
      <c r="OH8">
        <v>57.905000000000001</v>
      </c>
    </row>
    <row r="9" spans="1:398">
      <c r="A9">
        <v>1</v>
      </c>
      <c r="B9" t="s">
        <v>52</v>
      </c>
      <c r="C9" t="s">
        <v>51</v>
      </c>
      <c r="D9">
        <v>2017</v>
      </c>
      <c r="E9">
        <v>23.638000000000002</v>
      </c>
      <c r="F9">
        <v>2.3119000000000001</v>
      </c>
      <c r="G9">
        <v>570</v>
      </c>
      <c r="H9">
        <v>57.8</v>
      </c>
      <c r="I9">
        <v>80.2</v>
      </c>
      <c r="J9">
        <v>12</v>
      </c>
      <c r="K9">
        <v>2922.3</v>
      </c>
      <c r="L9">
        <v>1.5</v>
      </c>
      <c r="M9">
        <v>2.2000000000000002</v>
      </c>
      <c r="N9">
        <v>50091</v>
      </c>
      <c r="O9">
        <v>5.33</v>
      </c>
      <c r="P9">
        <v>0.94</v>
      </c>
      <c r="Q9">
        <v>6760.7</v>
      </c>
      <c r="R9">
        <v>44.2</v>
      </c>
      <c r="S9">
        <v>0.38880999999999999</v>
      </c>
      <c r="T9">
        <v>0.65069010000000005</v>
      </c>
      <c r="U9">
        <v>0.5623013</v>
      </c>
      <c r="V9">
        <v>0.48612230000000001</v>
      </c>
      <c r="W9">
        <v>1.4953479999999999</v>
      </c>
      <c r="X9">
        <v>-0.39541969999999999</v>
      </c>
      <c r="Y9">
        <v>0.59997880000000003</v>
      </c>
      <c r="Z9">
        <v>-0.24180589999999999</v>
      </c>
      <c r="AA9">
        <v>2.3084220000000002</v>
      </c>
      <c r="AB9">
        <v>0.60233159999999997</v>
      </c>
      <c r="AC9">
        <v>-0.45349390000000001</v>
      </c>
      <c r="AD9">
        <v>3.7619399999999997E-2</v>
      </c>
      <c r="AE9">
        <v>-0.30659700000000001</v>
      </c>
      <c r="AF9">
        <v>0.31692009999999998</v>
      </c>
      <c r="AG9">
        <v>-0.3562227</v>
      </c>
      <c r="AH9">
        <v>1.3724179999999999</v>
      </c>
      <c r="AI9">
        <v>3.1628560000000001</v>
      </c>
      <c r="AJ9">
        <v>0.83806970000000003</v>
      </c>
      <c r="AK9">
        <v>6.3456359999999998</v>
      </c>
      <c r="AL9">
        <v>4.3845229999999997</v>
      </c>
      <c r="AM9">
        <v>2.4849070000000002</v>
      </c>
      <c r="AN9">
        <v>7.9801260000000003</v>
      </c>
      <c r="AO9">
        <v>10.8216</v>
      </c>
      <c r="AP9">
        <v>-6.1875399999999997E-2</v>
      </c>
      <c r="AQ9">
        <v>8.8188809999999993</v>
      </c>
      <c r="AR9">
        <v>4.6691900000000004</v>
      </c>
      <c r="AS9">
        <v>3.5263599999999999</v>
      </c>
      <c r="AT9">
        <v>10.7157</v>
      </c>
      <c r="AU9">
        <v>58.094000000000001</v>
      </c>
      <c r="AV9">
        <v>105.556</v>
      </c>
      <c r="AW9">
        <v>3.3818000000000001</v>
      </c>
      <c r="AX9" s="17">
        <v>14000000000</v>
      </c>
      <c r="AY9">
        <v>3.4719699999999998</v>
      </c>
      <c r="AZ9">
        <v>0.61</v>
      </c>
      <c r="BA9">
        <v>1.673351</v>
      </c>
      <c r="BB9">
        <v>1.6733511999999999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-0.49429600000000001</v>
      </c>
      <c r="CA9">
        <v>1</v>
      </c>
      <c r="CB9">
        <v>1</v>
      </c>
      <c r="CC9">
        <v>1</v>
      </c>
      <c r="CD9">
        <v>1</v>
      </c>
      <c r="CE9">
        <v>1</v>
      </c>
      <c r="CF9">
        <v>0.1256728</v>
      </c>
      <c r="CG9">
        <v>0.60270230000000002</v>
      </c>
      <c r="CH9">
        <v>0.255353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2.0293670000000001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0.36325000000000002</v>
      </c>
      <c r="DI9">
        <v>4.1183310000000004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0.36764839999999999</v>
      </c>
      <c r="DW9">
        <v>1.237914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13.356199999999999</v>
      </c>
      <c r="EW9">
        <v>7.14973E-2</v>
      </c>
      <c r="EX9">
        <v>7.1340799999999996E-2</v>
      </c>
      <c r="EY9">
        <v>7.1447399999999994E-2</v>
      </c>
      <c r="EZ9">
        <v>7.1444099999999996E-2</v>
      </c>
      <c r="FA9">
        <v>7.1464899999999998E-2</v>
      </c>
      <c r="FB9">
        <v>7.0979299999999995E-2</v>
      </c>
      <c r="FC9">
        <v>7.0907700000000004E-2</v>
      </c>
      <c r="FD9">
        <v>7.1530899999999994E-2</v>
      </c>
      <c r="FE9">
        <v>7.1359699999999998E-2</v>
      </c>
      <c r="FF9">
        <v>7.1385299999999999E-2</v>
      </c>
      <c r="FG9">
        <v>7.2245400000000001E-2</v>
      </c>
      <c r="FH9">
        <v>7.1508100000000005E-2</v>
      </c>
      <c r="FI9">
        <v>7.1532799999999994E-2</v>
      </c>
      <c r="FJ9">
        <v>7.13564E-2</v>
      </c>
      <c r="FK9">
        <v>0.38876929999999998</v>
      </c>
      <c r="FL9">
        <v>0.15114159999999999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0.65069010000000005</v>
      </c>
      <c r="FZ9">
        <v>0.5623013</v>
      </c>
      <c r="GA9">
        <v>0.48612230000000001</v>
      </c>
      <c r="GB9">
        <v>-0.39541969999999999</v>
      </c>
      <c r="GC9">
        <v>-0.24180589999999999</v>
      </c>
      <c r="GD9">
        <v>-0.45349390000000001</v>
      </c>
      <c r="GE9">
        <v>-0.3562227</v>
      </c>
      <c r="GF9">
        <v>3.7619399999999997E-2</v>
      </c>
      <c r="GG9">
        <v>-0.30659700000000001</v>
      </c>
      <c r="GH9">
        <v>1.834357</v>
      </c>
      <c r="GI9">
        <v>3.3648669999999998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0.23714930000000001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1.1189579999999999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114.82559999999999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32.200000000000003</v>
      </c>
      <c r="OD9">
        <v>45056.6</v>
      </c>
      <c r="OE9">
        <v>0.61</v>
      </c>
      <c r="OF9">
        <v>106.611</v>
      </c>
      <c r="OG9">
        <v>34</v>
      </c>
      <c r="OH9">
        <v>58.094000000000001</v>
      </c>
    </row>
    <row r="10" spans="1:398">
      <c r="A10">
        <v>1</v>
      </c>
      <c r="B10" t="s">
        <v>52</v>
      </c>
      <c r="C10" t="s">
        <v>51</v>
      </c>
      <c r="D10">
        <v>2018</v>
      </c>
      <c r="E10">
        <v>23.946999999999999</v>
      </c>
      <c r="F10">
        <v>2.3611</v>
      </c>
      <c r="G10">
        <v>579</v>
      </c>
      <c r="H10">
        <v>57.7</v>
      </c>
      <c r="I10">
        <v>79.8</v>
      </c>
      <c r="J10">
        <v>11.8</v>
      </c>
      <c r="K10">
        <v>3226</v>
      </c>
      <c r="L10">
        <v>1.4</v>
      </c>
      <c r="M10">
        <v>1.9</v>
      </c>
      <c r="N10">
        <v>47466</v>
      </c>
      <c r="O10">
        <v>13.01</v>
      </c>
      <c r="P10">
        <v>0.95</v>
      </c>
      <c r="Q10">
        <v>6418.27</v>
      </c>
      <c r="R10">
        <v>44.5</v>
      </c>
      <c r="S10">
        <v>0.38725799999999999</v>
      </c>
      <c r="T10">
        <v>0.68823179999999995</v>
      </c>
      <c r="U10">
        <v>0.60952099999999998</v>
      </c>
      <c r="V10">
        <v>0.55445449999999996</v>
      </c>
      <c r="W10">
        <v>1.48891</v>
      </c>
      <c r="X10">
        <v>-0.45097860000000001</v>
      </c>
      <c r="Y10">
        <v>0.56795260000000003</v>
      </c>
      <c r="Z10">
        <v>-0.20217579999999999</v>
      </c>
      <c r="AA10">
        <v>2.030287</v>
      </c>
      <c r="AB10">
        <v>0.2065517</v>
      </c>
      <c r="AC10">
        <v>-0.46743259999999998</v>
      </c>
      <c r="AD10">
        <v>8.6623500000000006E-2</v>
      </c>
      <c r="AE10">
        <v>-0.4194118</v>
      </c>
      <c r="AF10">
        <v>0.33272350000000001</v>
      </c>
      <c r="AG10">
        <v>4.3776500000000003E-2</v>
      </c>
      <c r="AH10">
        <v>1.453441</v>
      </c>
      <c r="AI10">
        <v>3.175843</v>
      </c>
      <c r="AJ10">
        <v>0.85912759999999999</v>
      </c>
      <c r="AK10">
        <v>6.3613020000000002</v>
      </c>
      <c r="AL10">
        <v>4.379524</v>
      </c>
      <c r="AM10">
        <v>2.4681000000000002</v>
      </c>
      <c r="AN10">
        <v>8.0789989999999996</v>
      </c>
      <c r="AO10">
        <v>10.767770000000001</v>
      </c>
      <c r="AP10">
        <v>-5.12933E-2</v>
      </c>
      <c r="AQ10">
        <v>8.7669049999999995</v>
      </c>
      <c r="AR10">
        <v>4.6740599999999999</v>
      </c>
      <c r="AS10">
        <v>3.5293000000000001</v>
      </c>
      <c r="AT10">
        <v>10.735300000000001</v>
      </c>
      <c r="AU10">
        <v>58.296999999999997</v>
      </c>
      <c r="AV10">
        <v>108.378</v>
      </c>
      <c r="AW10">
        <v>-6.1511899999999997</v>
      </c>
      <c r="AX10" s="17">
        <v>-28000000000</v>
      </c>
      <c r="AY10">
        <v>3.4719699999999998</v>
      </c>
      <c r="AZ10">
        <v>0.63</v>
      </c>
      <c r="BA10">
        <v>2.5657179999999999</v>
      </c>
      <c r="BB10">
        <v>2.5657184000000002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0.38526199999999999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0.11145770000000001</v>
      </c>
      <c r="CG10">
        <v>0.59812169999999998</v>
      </c>
      <c r="CH10">
        <v>0.26116699999999998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2.1227309999999999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0.3577496</v>
      </c>
      <c r="DI10">
        <v>4.505986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0.3768167</v>
      </c>
      <c r="DW10">
        <v>1.3373200000000001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13.387650000000001</v>
      </c>
      <c r="EW10">
        <v>7.1511000000000005E-2</v>
      </c>
      <c r="EX10">
        <v>7.1357000000000004E-2</v>
      </c>
      <c r="EY10">
        <v>7.1444800000000003E-2</v>
      </c>
      <c r="EZ10">
        <v>7.1487499999999995E-2</v>
      </c>
      <c r="FA10">
        <v>7.1524199999999996E-2</v>
      </c>
      <c r="FB10">
        <v>7.1107600000000007E-2</v>
      </c>
      <c r="FC10">
        <v>7.0868600000000004E-2</v>
      </c>
      <c r="FD10">
        <v>7.1675000000000003E-2</v>
      </c>
      <c r="FE10">
        <v>7.17111E-2</v>
      </c>
      <c r="FF10">
        <v>7.1519700000000005E-2</v>
      </c>
      <c r="FG10">
        <v>7.1201799999999996E-2</v>
      </c>
      <c r="FH10">
        <v>7.1502300000000005E-2</v>
      </c>
      <c r="FI10">
        <v>7.16947E-2</v>
      </c>
      <c r="FJ10">
        <v>7.1394799999999994E-2</v>
      </c>
      <c r="FK10">
        <v>0.38748339999999998</v>
      </c>
      <c r="FL10">
        <v>0.15014340000000001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0.68823179999999995</v>
      </c>
      <c r="FZ10">
        <v>0.60952099999999998</v>
      </c>
      <c r="GA10">
        <v>0.55445449999999996</v>
      </c>
      <c r="GB10">
        <v>-0.45097860000000001</v>
      </c>
      <c r="GC10">
        <v>-0.20217579999999999</v>
      </c>
      <c r="GD10">
        <v>-0.46743259999999998</v>
      </c>
      <c r="GE10">
        <v>4.3776500000000003E-2</v>
      </c>
      <c r="GF10">
        <v>8.6623500000000006E-2</v>
      </c>
      <c r="GG10">
        <v>-0.4194118</v>
      </c>
      <c r="GH10">
        <v>1.9672210000000001</v>
      </c>
      <c r="GI10">
        <v>3.869958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0.24411450000000001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1.239349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115.2475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32.200000000000003</v>
      </c>
      <c r="OD10">
        <v>45951.6</v>
      </c>
      <c r="OE10">
        <v>1.47</v>
      </c>
      <c r="OF10">
        <v>107.13200000000001</v>
      </c>
      <c r="OG10">
        <v>34.1</v>
      </c>
      <c r="OH10">
        <v>58.296999999999997</v>
      </c>
    </row>
    <row r="11" spans="1:398">
      <c r="A11">
        <v>1</v>
      </c>
      <c r="B11" t="s">
        <v>52</v>
      </c>
      <c r="C11" t="s">
        <v>51</v>
      </c>
      <c r="D11">
        <v>2019</v>
      </c>
      <c r="E11">
        <v>23.582999999999998</v>
      </c>
      <c r="F11">
        <v>2.3546</v>
      </c>
      <c r="G11">
        <v>588</v>
      </c>
      <c r="H11">
        <v>58.2</v>
      </c>
      <c r="I11">
        <v>81.900000000000006</v>
      </c>
      <c r="J11">
        <v>11.5</v>
      </c>
      <c r="K11">
        <v>3126.6</v>
      </c>
      <c r="L11">
        <v>1.4</v>
      </c>
      <c r="M11">
        <v>1.9</v>
      </c>
      <c r="N11">
        <v>48075</v>
      </c>
      <c r="O11">
        <v>17.53</v>
      </c>
      <c r="P11">
        <v>0.95</v>
      </c>
      <c r="Q11">
        <v>6075.85</v>
      </c>
      <c r="R11">
        <v>44.4</v>
      </c>
      <c r="S11">
        <v>0.39047599999999999</v>
      </c>
      <c r="T11">
        <v>0.64400780000000002</v>
      </c>
      <c r="U11">
        <v>0.6032826</v>
      </c>
      <c r="V11">
        <v>0.62278670000000003</v>
      </c>
      <c r="W11">
        <v>1.5210969999999999</v>
      </c>
      <c r="X11">
        <v>-0.15928990000000001</v>
      </c>
      <c r="Y11">
        <v>0.51991330000000002</v>
      </c>
      <c r="Z11">
        <v>-0.21514659999999999</v>
      </c>
      <c r="AA11">
        <v>2.030287</v>
      </c>
      <c r="AB11">
        <v>0.2065517</v>
      </c>
      <c r="AC11">
        <v>-0.46419880000000002</v>
      </c>
      <c r="AD11">
        <v>8.6623500000000006E-2</v>
      </c>
      <c r="AE11">
        <v>-0.53222670000000005</v>
      </c>
      <c r="AF11">
        <v>0.32745580000000002</v>
      </c>
      <c r="AG11">
        <v>0.27919280000000002</v>
      </c>
      <c r="AH11">
        <v>1.480192</v>
      </c>
      <c r="AI11">
        <v>3.1605259999999999</v>
      </c>
      <c r="AJ11">
        <v>0.85637090000000005</v>
      </c>
      <c r="AK11">
        <v>6.3767269999999998</v>
      </c>
      <c r="AL11">
        <v>4.4054989999999998</v>
      </c>
      <c r="AM11">
        <v>2.4423469999999998</v>
      </c>
      <c r="AN11">
        <v>8.0477019999999992</v>
      </c>
      <c r="AO11">
        <v>10.780519999999999</v>
      </c>
      <c r="AP11">
        <v>-5.12933E-2</v>
      </c>
      <c r="AQ11">
        <v>8.7120770000000007</v>
      </c>
      <c r="AR11">
        <v>4.6784999999999997</v>
      </c>
      <c r="AS11">
        <v>3.5263599999999999</v>
      </c>
      <c r="AT11">
        <v>10.7483</v>
      </c>
      <c r="AU11">
        <v>58.515000000000001</v>
      </c>
      <c r="AV11">
        <v>108.20699999999999</v>
      </c>
      <c r="AW11">
        <v>-2.85256</v>
      </c>
      <c r="AX11" s="17">
        <v>-13000000000</v>
      </c>
      <c r="AY11">
        <v>3.49953</v>
      </c>
      <c r="AZ11">
        <v>0.61</v>
      </c>
      <c r="BA11">
        <v>2.8639139999999998</v>
      </c>
      <c r="BB11">
        <v>2.8639138000000002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0.67803400000000003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0.1011215</v>
      </c>
      <c r="CG11">
        <v>0.59898660000000004</v>
      </c>
      <c r="CH11">
        <v>0.26456200000000002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2.1312540000000002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0.35878490000000002</v>
      </c>
      <c r="DI11">
        <v>4.5422440000000002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0.36538179999999998</v>
      </c>
      <c r="DW11">
        <v>1.300065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13.419280000000001</v>
      </c>
      <c r="EW11">
        <v>7.1545399999999995E-2</v>
      </c>
      <c r="EX11">
        <v>7.13916E-2</v>
      </c>
      <c r="EY11">
        <v>7.1422600000000003E-2</v>
      </c>
      <c r="EZ11">
        <v>7.1486999999999995E-2</v>
      </c>
      <c r="FA11">
        <v>7.14254E-2</v>
      </c>
      <c r="FB11">
        <v>7.1213399999999996E-2</v>
      </c>
      <c r="FC11">
        <v>7.1008399999999999E-2</v>
      </c>
      <c r="FD11">
        <v>7.1666599999999997E-2</v>
      </c>
      <c r="FE11">
        <v>7.1698600000000001E-2</v>
      </c>
      <c r="FF11">
        <v>7.1509299999999998E-2</v>
      </c>
      <c r="FG11">
        <v>7.0868799999999996E-2</v>
      </c>
      <c r="FH11">
        <v>7.1514300000000003E-2</v>
      </c>
      <c r="FI11">
        <v>7.1824499999999999E-2</v>
      </c>
      <c r="FJ11">
        <v>7.1424199999999993E-2</v>
      </c>
      <c r="FK11">
        <v>0.39070120000000003</v>
      </c>
      <c r="FL11">
        <v>0.15264739999999999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0.64400780000000002</v>
      </c>
      <c r="FZ11">
        <v>0.6032826</v>
      </c>
      <c r="GA11">
        <v>0.62278670000000003</v>
      </c>
      <c r="GB11">
        <v>-0.15928990000000001</v>
      </c>
      <c r="GC11">
        <v>-0.21514659999999999</v>
      </c>
      <c r="GD11">
        <v>-0.46419880000000002</v>
      </c>
      <c r="GE11">
        <v>0.27919280000000002</v>
      </c>
      <c r="GF11">
        <v>8.6623500000000006E-2</v>
      </c>
      <c r="GG11">
        <v>-0.53222670000000005</v>
      </c>
      <c r="GH11">
        <v>2.0202969999999998</v>
      </c>
      <c r="GI11">
        <v>4.0815999999999999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0.2383277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1.2323809999999999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115.5257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33.1</v>
      </c>
      <c r="OD11">
        <v>46550.6</v>
      </c>
      <c r="OE11">
        <v>1.97</v>
      </c>
      <c r="OF11">
        <v>107.60899999999999</v>
      </c>
      <c r="OG11">
        <v>34</v>
      </c>
      <c r="OH11">
        <v>58.515000000000001</v>
      </c>
    </row>
    <row r="12" spans="1:398">
      <c r="A12">
        <v>1</v>
      </c>
      <c r="B12" t="s">
        <v>52</v>
      </c>
      <c r="C12" t="s">
        <v>51</v>
      </c>
      <c r="D12">
        <v>2020</v>
      </c>
      <c r="E12">
        <v>22.265000000000001</v>
      </c>
      <c r="F12">
        <v>2.1833</v>
      </c>
      <c r="G12">
        <v>834</v>
      </c>
      <c r="H12">
        <v>62.3</v>
      </c>
      <c r="I12">
        <v>82</v>
      </c>
      <c r="J12">
        <v>11.4</v>
      </c>
      <c r="K12">
        <v>2912.1</v>
      </c>
      <c r="L12">
        <v>1.4</v>
      </c>
      <c r="M12">
        <v>2.1</v>
      </c>
      <c r="N12">
        <v>49423</v>
      </c>
      <c r="O12">
        <v>6.49</v>
      </c>
      <c r="P12">
        <v>0.93</v>
      </c>
      <c r="Q12">
        <v>5733.43</v>
      </c>
      <c r="R12">
        <v>44.3</v>
      </c>
      <c r="S12">
        <v>0.41128599999999998</v>
      </c>
      <c r="T12">
        <v>0.48387809999999998</v>
      </c>
      <c r="U12">
        <v>0.43887759999999998</v>
      </c>
      <c r="V12">
        <v>2.4905330000000001</v>
      </c>
      <c r="W12">
        <v>1.785026</v>
      </c>
      <c r="X12">
        <v>-0.14540020000000001</v>
      </c>
      <c r="Y12">
        <v>0.50390020000000002</v>
      </c>
      <c r="Z12">
        <v>-0.24313689999999999</v>
      </c>
      <c r="AA12">
        <v>2.030287</v>
      </c>
      <c r="AB12">
        <v>0.47040490000000001</v>
      </c>
      <c r="AC12">
        <v>-0.45704099999999998</v>
      </c>
      <c r="AD12">
        <v>-1.13848E-2</v>
      </c>
      <c r="AE12">
        <v>-0.64504150000000005</v>
      </c>
      <c r="AF12">
        <v>0.32218790000000003</v>
      </c>
      <c r="AG12">
        <v>-0.29580620000000002</v>
      </c>
      <c r="AH12">
        <v>1.4846010000000001</v>
      </c>
      <c r="AI12">
        <v>3.1030160000000002</v>
      </c>
      <c r="AJ12">
        <v>0.78083749999999996</v>
      </c>
      <c r="AK12">
        <v>6.7262329999999997</v>
      </c>
      <c r="AL12">
        <v>4.4067189999999998</v>
      </c>
      <c r="AM12">
        <v>2.4336129999999998</v>
      </c>
      <c r="AN12">
        <v>7.9766300000000001</v>
      </c>
      <c r="AO12">
        <v>10.80817</v>
      </c>
      <c r="AP12">
        <v>-7.2570700000000002E-2</v>
      </c>
      <c r="AQ12">
        <v>8.6540689999999998</v>
      </c>
      <c r="AR12">
        <v>4.6826600000000003</v>
      </c>
      <c r="AS12">
        <v>3.57795</v>
      </c>
      <c r="AT12">
        <v>10.678900000000001</v>
      </c>
      <c r="AU12">
        <v>58.747999999999998</v>
      </c>
      <c r="AV12">
        <v>99.9482</v>
      </c>
      <c r="AW12">
        <v>-2.7633200000000002</v>
      </c>
      <c r="AX12" s="17">
        <v>-12000000000</v>
      </c>
      <c r="AY12">
        <v>3.5145300000000002</v>
      </c>
      <c r="AZ12">
        <v>0.62</v>
      </c>
      <c r="BA12">
        <v>1.870263</v>
      </c>
      <c r="BB12">
        <v>1.8702624999999999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-0.31471100000000002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9.8111900000000002E-2</v>
      </c>
      <c r="CG12">
        <v>0.61443270000000005</v>
      </c>
      <c r="CH12">
        <v>0.26323000000000002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2.0817929999999998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0.37752750000000002</v>
      </c>
      <c r="DI12">
        <v>4.3338609999999997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0.38094830000000002</v>
      </c>
      <c r="DW12">
        <v>1.2907120000000001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13.45834</v>
      </c>
      <c r="EW12">
        <v>7.1579299999999998E-2</v>
      </c>
      <c r="EX12">
        <v>7.1489300000000006E-2</v>
      </c>
      <c r="EY12">
        <v>7.05543E-2</v>
      </c>
      <c r="EZ12">
        <v>7.13308E-2</v>
      </c>
      <c r="FA12">
        <v>7.1382500000000002E-2</v>
      </c>
      <c r="FB12">
        <v>7.1216100000000004E-2</v>
      </c>
      <c r="FC12">
        <v>7.1131799999999995E-2</v>
      </c>
      <c r="FD12">
        <v>7.1600999999999998E-2</v>
      </c>
      <c r="FE12">
        <v>7.1429999999999993E-2</v>
      </c>
      <c r="FF12">
        <v>7.1418200000000001E-2</v>
      </c>
      <c r="FG12">
        <v>7.2045200000000004E-2</v>
      </c>
      <c r="FH12">
        <v>7.1540900000000004E-2</v>
      </c>
      <c r="FI12">
        <v>7.1889999999999996E-2</v>
      </c>
      <c r="FJ12">
        <v>7.1390700000000001E-2</v>
      </c>
      <c r="FK12">
        <v>0.41061330000000001</v>
      </c>
      <c r="FL12">
        <v>0.16860330000000001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0.48387809999999998</v>
      </c>
      <c r="FZ12">
        <v>0.43887759999999998</v>
      </c>
      <c r="GA12">
        <v>2.4905330000000001</v>
      </c>
      <c r="GB12">
        <v>-0.14540020000000001</v>
      </c>
      <c r="GC12">
        <v>-0.24313689999999999</v>
      </c>
      <c r="GD12">
        <v>-0.45704099999999998</v>
      </c>
      <c r="GE12">
        <v>-0.29580620000000002</v>
      </c>
      <c r="GF12">
        <v>-1.13848E-2</v>
      </c>
      <c r="GG12">
        <v>-0.64504150000000005</v>
      </c>
      <c r="GH12">
        <v>2.0573139999999999</v>
      </c>
      <c r="GI12">
        <v>4.2325419999999996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0.25458029999999998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1.2755350000000001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114.0385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33.6</v>
      </c>
      <c r="OD12">
        <v>43428.7</v>
      </c>
      <c r="OE12">
        <v>0.73</v>
      </c>
      <c r="OF12">
        <v>108.057</v>
      </c>
      <c r="OG12">
        <v>35.799999999999997</v>
      </c>
      <c r="OH12">
        <v>58.747999999999998</v>
      </c>
    </row>
    <row r="13" spans="1:398">
      <c r="A13">
        <v>2</v>
      </c>
      <c r="B13" t="s">
        <v>50</v>
      </c>
      <c r="C13" t="s">
        <v>49</v>
      </c>
      <c r="D13">
        <v>2010</v>
      </c>
      <c r="E13">
        <v>13.677</v>
      </c>
      <c r="F13">
        <v>2.5962000000000001</v>
      </c>
      <c r="G13">
        <v>480</v>
      </c>
      <c r="H13">
        <v>54.8</v>
      </c>
      <c r="I13">
        <v>80.2</v>
      </c>
      <c r="J13">
        <v>13.5</v>
      </c>
      <c r="K13">
        <v>8812</v>
      </c>
      <c r="L13">
        <v>2.1</v>
      </c>
      <c r="M13">
        <v>1.6</v>
      </c>
      <c r="N13">
        <v>60327</v>
      </c>
      <c r="O13">
        <v>14.03</v>
      </c>
      <c r="P13">
        <v>1.03</v>
      </c>
      <c r="Q13">
        <v>8141.25</v>
      </c>
      <c r="R13">
        <v>72.5</v>
      </c>
      <c r="S13">
        <v>0.44006000000000001</v>
      </c>
      <c r="T13">
        <v>-0.5595156</v>
      </c>
      <c r="U13">
        <v>0.83515830000000002</v>
      </c>
      <c r="V13">
        <v>-0.1971996</v>
      </c>
      <c r="W13">
        <v>1.3022290000000001</v>
      </c>
      <c r="X13">
        <v>-0.39541969999999999</v>
      </c>
      <c r="Y13">
        <v>0.84017520000000001</v>
      </c>
      <c r="Z13">
        <v>0.52674770000000004</v>
      </c>
      <c r="AA13">
        <v>3.9772270000000001</v>
      </c>
      <c r="AB13">
        <v>-0.18922820000000001</v>
      </c>
      <c r="AC13">
        <v>-0.39914100000000002</v>
      </c>
      <c r="AD13">
        <v>0.47865679999999999</v>
      </c>
      <c r="AE13">
        <v>0.14824000000000001</v>
      </c>
      <c r="AF13">
        <v>1.8077110000000001</v>
      </c>
      <c r="AG13">
        <v>9.6901399999999999E-2</v>
      </c>
      <c r="AH13">
        <v>3.0281020000000001</v>
      </c>
      <c r="AI13">
        <v>2.6157159999999999</v>
      </c>
      <c r="AJ13">
        <v>0.95404880000000003</v>
      </c>
      <c r="AK13">
        <v>6.1737859999999998</v>
      </c>
      <c r="AL13">
        <v>4.3845229999999997</v>
      </c>
      <c r="AM13">
        <v>2.6026899999999999</v>
      </c>
      <c r="AN13">
        <v>9.0838699999999992</v>
      </c>
      <c r="AO13">
        <v>11.007529999999999</v>
      </c>
      <c r="AP13">
        <v>2.95588E-2</v>
      </c>
      <c r="AQ13">
        <v>9.0046990000000005</v>
      </c>
      <c r="AR13">
        <v>5.8838800000000004</v>
      </c>
      <c r="AS13">
        <v>1.8245499999999999</v>
      </c>
      <c r="AT13">
        <v>10.596399999999999</v>
      </c>
      <c r="AU13">
        <v>97.650999999999996</v>
      </c>
      <c r="AV13">
        <v>150.16300000000001</v>
      </c>
      <c r="AW13">
        <v>26.0596</v>
      </c>
      <c r="AX13" s="17">
        <v>130000000000</v>
      </c>
      <c r="AY13">
        <v>3.3843899999999998</v>
      </c>
      <c r="AZ13">
        <v>0.66</v>
      </c>
      <c r="BA13">
        <v>2.6411980000000002</v>
      </c>
      <c r="BB13">
        <v>2.6411978999999999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0.25464199999999998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7.8738900000000001E-2</v>
      </c>
      <c r="CG13">
        <v>0.6391038</v>
      </c>
      <c r="CH13">
        <v>0.33467400000000003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3.662229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0.40845369999999998</v>
      </c>
      <c r="DI13">
        <v>13.41192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0.42180849999999998</v>
      </c>
      <c r="DW13">
        <v>2.417071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13.44355</v>
      </c>
      <c r="EW13">
        <v>7.2445999999999997E-2</v>
      </c>
      <c r="EX13">
        <v>7.1409200000000006E-2</v>
      </c>
      <c r="EY13">
        <v>7.2245100000000007E-2</v>
      </c>
      <c r="EZ13">
        <v>7.1770600000000004E-2</v>
      </c>
      <c r="FA13">
        <v>7.1700799999999995E-2</v>
      </c>
      <c r="FB13">
        <v>7.1176699999999996E-2</v>
      </c>
      <c r="FC13">
        <v>6.9857000000000002E-2</v>
      </c>
      <c r="FD13">
        <v>7.1156499999999998E-2</v>
      </c>
      <c r="FE13">
        <v>7.2184899999999996E-2</v>
      </c>
      <c r="FF13">
        <v>7.1332300000000001E-2</v>
      </c>
      <c r="FG13">
        <v>7.1365999999999999E-2</v>
      </c>
      <c r="FH13">
        <v>7.1411199999999994E-2</v>
      </c>
      <c r="FI13">
        <v>7.1226899999999996E-2</v>
      </c>
      <c r="FJ13">
        <v>7.0716799999999996E-2</v>
      </c>
      <c r="FK13">
        <v>0.43976939999999998</v>
      </c>
      <c r="FL13">
        <v>0.19339709999999999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-0.5595156</v>
      </c>
      <c r="FZ13">
        <v>0.83515830000000002</v>
      </c>
      <c r="GA13">
        <v>-0.1971996</v>
      </c>
      <c r="GB13">
        <v>-0.39541969999999999</v>
      </c>
      <c r="GC13">
        <v>0.52674770000000004</v>
      </c>
      <c r="GD13">
        <v>-0.39914100000000002</v>
      </c>
      <c r="GE13">
        <v>9.6901399999999999E-2</v>
      </c>
      <c r="GF13">
        <v>0.47865679999999999</v>
      </c>
      <c r="GG13">
        <v>0.14824000000000001</v>
      </c>
      <c r="GH13">
        <v>3.7964340000000001</v>
      </c>
      <c r="GI13">
        <v>14.41291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0.2902478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2.5056470000000002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112.2843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29.5</v>
      </c>
      <c r="OD13">
        <v>39991.599999999999</v>
      </c>
      <c r="OE13">
        <v>1.29</v>
      </c>
      <c r="OF13">
        <v>359.19900000000001</v>
      </c>
      <c r="OG13">
        <v>6.2</v>
      </c>
      <c r="OH13">
        <v>97.650999999999996</v>
      </c>
    </row>
    <row r="14" spans="1:398">
      <c r="A14">
        <v>2</v>
      </c>
      <c r="B14" t="s">
        <v>50</v>
      </c>
      <c r="C14" t="s">
        <v>49</v>
      </c>
      <c r="D14">
        <v>2011</v>
      </c>
      <c r="E14">
        <v>15.513</v>
      </c>
      <c r="F14">
        <v>2.4622000000000002</v>
      </c>
      <c r="G14">
        <v>467</v>
      </c>
      <c r="H14">
        <v>54.4</v>
      </c>
      <c r="I14">
        <v>77.7</v>
      </c>
      <c r="J14">
        <v>14.4</v>
      </c>
      <c r="K14">
        <v>8324.4</v>
      </c>
      <c r="L14">
        <v>1.8</v>
      </c>
      <c r="M14">
        <v>1.7</v>
      </c>
      <c r="N14">
        <v>61814</v>
      </c>
      <c r="O14">
        <v>8.3699999999999992</v>
      </c>
      <c r="P14">
        <v>1.05</v>
      </c>
      <c r="Q14">
        <v>7898.87</v>
      </c>
      <c r="R14">
        <v>71.3</v>
      </c>
      <c r="S14">
        <v>0.42357499999999998</v>
      </c>
      <c r="T14">
        <v>-0.33645199999999997</v>
      </c>
      <c r="U14">
        <v>0.7065517</v>
      </c>
      <c r="V14">
        <v>-0.29590169999999999</v>
      </c>
      <c r="W14">
        <v>1.2764800000000001</v>
      </c>
      <c r="X14">
        <v>-0.74266829999999995</v>
      </c>
      <c r="Y14">
        <v>0.98429299999999997</v>
      </c>
      <c r="Z14">
        <v>0.46312029999999998</v>
      </c>
      <c r="AA14">
        <v>3.1428240000000001</v>
      </c>
      <c r="AB14">
        <v>-5.7301499999999998E-2</v>
      </c>
      <c r="AC14">
        <v>-0.39124510000000001</v>
      </c>
      <c r="AD14">
        <v>0.57666499999999998</v>
      </c>
      <c r="AE14">
        <v>6.8383600000000003E-2</v>
      </c>
      <c r="AF14">
        <v>1.744497</v>
      </c>
      <c r="AG14">
        <v>-0.1978897</v>
      </c>
      <c r="AH14">
        <v>2.7064020000000002</v>
      </c>
      <c r="AI14">
        <v>2.7416779999999998</v>
      </c>
      <c r="AJ14">
        <v>0.90105519999999995</v>
      </c>
      <c r="AK14">
        <v>6.1463289999999997</v>
      </c>
      <c r="AL14">
        <v>4.3528549999999999</v>
      </c>
      <c r="AM14">
        <v>2.6672280000000002</v>
      </c>
      <c r="AN14">
        <v>9.0269460000000006</v>
      </c>
      <c r="AO14">
        <v>11.031890000000001</v>
      </c>
      <c r="AP14">
        <v>4.8790100000000003E-2</v>
      </c>
      <c r="AQ14">
        <v>8.974475</v>
      </c>
      <c r="AR14">
        <v>5.89689</v>
      </c>
      <c r="AS14">
        <v>1.90211</v>
      </c>
      <c r="AT14">
        <v>10.602499999999999</v>
      </c>
      <c r="AU14">
        <v>97.697999999999993</v>
      </c>
      <c r="AV14">
        <v>160.76599999999999</v>
      </c>
      <c r="AW14">
        <v>31.0367</v>
      </c>
      <c r="AX14" s="17">
        <v>160000000000</v>
      </c>
      <c r="AY14">
        <v>3.4011999999999998</v>
      </c>
      <c r="AZ14">
        <v>0.66</v>
      </c>
      <c r="BA14">
        <v>2.124654</v>
      </c>
      <c r="BB14">
        <v>2.1246537999999999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-0.27443699999999999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7.2457499999999994E-2</v>
      </c>
      <c r="CG14">
        <v>0.62842589999999998</v>
      </c>
      <c r="CH14">
        <v>0.31905800000000001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3.3474550000000001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0.39491910000000002</v>
      </c>
      <c r="DI14">
        <v>11.205450000000001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0.41476109999999999</v>
      </c>
      <c r="DW14">
        <v>2.20932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13.484400000000001</v>
      </c>
      <c r="EW14">
        <v>7.2132500000000002E-2</v>
      </c>
      <c r="EX14">
        <v>7.1438600000000005E-2</v>
      </c>
      <c r="EY14">
        <v>7.2175100000000006E-2</v>
      </c>
      <c r="EZ14">
        <v>7.1682700000000002E-2</v>
      </c>
      <c r="FA14">
        <v>7.1736300000000003E-2</v>
      </c>
      <c r="FB14">
        <v>7.1035799999999996E-2</v>
      </c>
      <c r="FC14">
        <v>7.0040599999999995E-2</v>
      </c>
      <c r="FD14">
        <v>7.1372500000000005E-2</v>
      </c>
      <c r="FE14">
        <v>7.1932399999999994E-2</v>
      </c>
      <c r="FF14">
        <v>7.1243100000000004E-2</v>
      </c>
      <c r="FG14">
        <v>7.18921E-2</v>
      </c>
      <c r="FH14">
        <v>7.1290599999999996E-2</v>
      </c>
      <c r="FI14">
        <v>7.1256100000000003E-2</v>
      </c>
      <c r="FJ14">
        <v>7.0771700000000007E-2</v>
      </c>
      <c r="FK14">
        <v>0.42334670000000002</v>
      </c>
      <c r="FL14">
        <v>0.1792224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-0.33645199999999997</v>
      </c>
      <c r="FZ14">
        <v>0.7065517</v>
      </c>
      <c r="GA14">
        <v>-0.29590169999999999</v>
      </c>
      <c r="GB14">
        <v>-0.74266829999999995</v>
      </c>
      <c r="GC14">
        <v>0.46312029999999998</v>
      </c>
      <c r="GD14">
        <v>-0.39124510000000001</v>
      </c>
      <c r="GE14">
        <v>-0.1978897</v>
      </c>
      <c r="GF14">
        <v>0.57666499999999998</v>
      </c>
      <c r="GG14">
        <v>6.8383600000000003E-2</v>
      </c>
      <c r="GH14">
        <v>3.350641</v>
      </c>
      <c r="GI14">
        <v>11.226789999999999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0.27940880000000001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2.2114229999999999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112.4139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30</v>
      </c>
      <c r="OD14">
        <v>40237</v>
      </c>
      <c r="OE14">
        <v>0.76</v>
      </c>
      <c r="OF14">
        <v>363.90300000000002</v>
      </c>
      <c r="OG14">
        <v>6.7</v>
      </c>
      <c r="OH14">
        <v>97.697999999999993</v>
      </c>
    </row>
    <row r="15" spans="1:398">
      <c r="A15">
        <v>2</v>
      </c>
      <c r="B15" t="s">
        <v>50</v>
      </c>
      <c r="C15" t="s">
        <v>49</v>
      </c>
      <c r="D15">
        <v>2012</v>
      </c>
      <c r="E15">
        <v>14.069000000000001</v>
      </c>
      <c r="F15">
        <v>2.681</v>
      </c>
      <c r="G15">
        <v>456</v>
      </c>
      <c r="H15">
        <v>53.4</v>
      </c>
      <c r="I15">
        <v>78.400000000000006</v>
      </c>
      <c r="J15">
        <v>17.3</v>
      </c>
      <c r="K15">
        <v>7970.1</v>
      </c>
      <c r="L15">
        <v>1.5</v>
      </c>
      <c r="M15">
        <v>1.8</v>
      </c>
      <c r="N15">
        <v>63376</v>
      </c>
      <c r="O15">
        <v>8.92</v>
      </c>
      <c r="P15">
        <v>1.02</v>
      </c>
      <c r="Q15">
        <v>7687.21</v>
      </c>
      <c r="R15">
        <v>72.2</v>
      </c>
      <c r="S15">
        <v>0.41883399999999998</v>
      </c>
      <c r="T15">
        <v>-0.51188979999999995</v>
      </c>
      <c r="U15">
        <v>0.9165451</v>
      </c>
      <c r="V15">
        <v>-0.3794188</v>
      </c>
      <c r="W15">
        <v>1.212107</v>
      </c>
      <c r="X15">
        <v>-0.64543810000000001</v>
      </c>
      <c r="Y15">
        <v>1.4486730000000001</v>
      </c>
      <c r="Z15">
        <v>0.41688720000000001</v>
      </c>
      <c r="AA15">
        <v>2.3084220000000002</v>
      </c>
      <c r="AB15">
        <v>7.46251E-2</v>
      </c>
      <c r="AC15">
        <v>-0.38295089999999998</v>
      </c>
      <c r="AD15">
        <v>0.4296527</v>
      </c>
      <c r="AE15">
        <v>-1.3492000000000001E-3</v>
      </c>
      <c r="AF15">
        <v>1.7919069999999999</v>
      </c>
      <c r="AG15">
        <v>-0.1692439</v>
      </c>
      <c r="AH15">
        <v>2.743404</v>
      </c>
      <c r="AI15">
        <v>2.643974</v>
      </c>
      <c r="AJ15">
        <v>0.98618980000000001</v>
      </c>
      <c r="AK15">
        <v>6.1224930000000004</v>
      </c>
      <c r="AL15">
        <v>4.3618240000000004</v>
      </c>
      <c r="AM15">
        <v>2.8507060000000002</v>
      </c>
      <c r="AN15">
        <v>8.9834530000000008</v>
      </c>
      <c r="AO15">
        <v>11.056839999999999</v>
      </c>
      <c r="AP15">
        <v>1.98026E-2</v>
      </c>
      <c r="AQ15">
        <v>8.9473129999999994</v>
      </c>
      <c r="AR15">
        <v>5.9030899999999997</v>
      </c>
      <c r="AS15">
        <v>2.04122</v>
      </c>
      <c r="AT15">
        <v>10.5985</v>
      </c>
      <c r="AU15">
        <v>97.744</v>
      </c>
      <c r="AV15">
        <v>160.38300000000001</v>
      </c>
      <c r="AW15">
        <v>2.36957</v>
      </c>
      <c r="AX15" s="17">
        <v>12000000000</v>
      </c>
      <c r="AY15">
        <v>3.4339900000000001</v>
      </c>
      <c r="AZ15">
        <v>0.66</v>
      </c>
      <c r="BA15">
        <v>2.1882959999999998</v>
      </c>
      <c r="BB15">
        <v>2.1882958000000001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-0.22314400000000001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6.6308000000000006E-2</v>
      </c>
      <c r="CG15">
        <v>0.62113130000000005</v>
      </c>
      <c r="CH15">
        <v>0.32133299999999998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3.3608769999999999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0.38580409999999998</v>
      </c>
      <c r="DI15">
        <v>11.295500000000001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0.4099467</v>
      </c>
      <c r="DW15">
        <v>2.2181790000000001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13.509819999999999</v>
      </c>
      <c r="EW15">
        <v>7.2182999999999997E-2</v>
      </c>
      <c r="EX15">
        <v>7.1292400000000006E-2</v>
      </c>
      <c r="EY15">
        <v>7.2165999999999994E-2</v>
      </c>
      <c r="EZ15">
        <v>7.1681099999999998E-2</v>
      </c>
      <c r="FA15">
        <v>7.1666300000000002E-2</v>
      </c>
      <c r="FB15">
        <v>7.0771700000000007E-2</v>
      </c>
      <c r="FC15">
        <v>7.0267300000000005E-2</v>
      </c>
      <c r="FD15">
        <v>7.1651800000000002E-2</v>
      </c>
      <c r="FE15">
        <v>7.1774299999999999E-2</v>
      </c>
      <c r="FF15">
        <v>7.1221099999999996E-2</v>
      </c>
      <c r="FG15">
        <v>7.1780800000000006E-2</v>
      </c>
      <c r="FH15">
        <v>7.1390700000000001E-2</v>
      </c>
      <c r="FI15">
        <v>7.1331199999999997E-2</v>
      </c>
      <c r="FJ15">
        <v>7.0822099999999999E-2</v>
      </c>
      <c r="FK15">
        <v>0.41861939999999997</v>
      </c>
      <c r="FL15">
        <v>0.17524219999999999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-0.51188979999999995</v>
      </c>
      <c r="FZ15">
        <v>0.9165451</v>
      </c>
      <c r="GA15">
        <v>-0.3794188</v>
      </c>
      <c r="GB15">
        <v>-0.64543810000000001</v>
      </c>
      <c r="GC15">
        <v>0.41688720000000001</v>
      </c>
      <c r="GD15">
        <v>-0.38295089999999998</v>
      </c>
      <c r="GE15">
        <v>-0.1692439</v>
      </c>
      <c r="GF15">
        <v>0.4296527</v>
      </c>
      <c r="GG15">
        <v>-1.3492000000000001E-3</v>
      </c>
      <c r="GH15">
        <v>3.3972869999999999</v>
      </c>
      <c r="GI15">
        <v>11.54156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0.2762888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2.24221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112.3282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31</v>
      </c>
      <c r="OD15">
        <v>40074.5</v>
      </c>
      <c r="OE15">
        <v>0.8</v>
      </c>
      <c r="OF15">
        <v>366.16699999999997</v>
      </c>
      <c r="OG15">
        <v>7.7</v>
      </c>
      <c r="OH15">
        <v>97.744</v>
      </c>
    </row>
    <row r="16" spans="1:398">
      <c r="A16">
        <v>2</v>
      </c>
      <c r="B16" t="s">
        <v>50</v>
      </c>
      <c r="C16" t="s">
        <v>49</v>
      </c>
      <c r="D16">
        <v>2013</v>
      </c>
      <c r="E16">
        <v>13.377000000000001</v>
      </c>
      <c r="F16">
        <v>2.7286000000000001</v>
      </c>
      <c r="G16">
        <v>455</v>
      </c>
      <c r="H16">
        <v>52.8</v>
      </c>
      <c r="I16">
        <v>79.099999999999994</v>
      </c>
      <c r="J16">
        <v>17.3</v>
      </c>
      <c r="K16">
        <v>8590.4</v>
      </c>
      <c r="L16">
        <v>1.2</v>
      </c>
      <c r="M16">
        <v>1.9</v>
      </c>
      <c r="N16">
        <v>62572</v>
      </c>
      <c r="O16">
        <v>15.41</v>
      </c>
      <c r="P16">
        <v>1.04</v>
      </c>
      <c r="Q16">
        <v>7875.68</v>
      </c>
      <c r="R16">
        <v>72.099999999999994</v>
      </c>
      <c r="S16">
        <v>0.416794</v>
      </c>
      <c r="T16">
        <v>-0.59596400000000005</v>
      </c>
      <c r="U16">
        <v>0.96222920000000001</v>
      </c>
      <c r="V16">
        <v>-0.3870112</v>
      </c>
      <c r="W16">
        <v>1.1734830000000001</v>
      </c>
      <c r="X16">
        <v>-0.54820880000000005</v>
      </c>
      <c r="Y16">
        <v>1.4486730000000001</v>
      </c>
      <c r="Z16">
        <v>0.49783090000000002</v>
      </c>
      <c r="AA16">
        <v>1.474019</v>
      </c>
      <c r="AB16">
        <v>0.2065517</v>
      </c>
      <c r="AC16">
        <v>-0.38722010000000001</v>
      </c>
      <c r="AD16">
        <v>0.52766089999999999</v>
      </c>
      <c r="AE16">
        <v>6.07433E-2</v>
      </c>
      <c r="AF16">
        <v>1.78664</v>
      </c>
      <c r="AG16">
        <v>0.16877629999999999</v>
      </c>
      <c r="AH16">
        <v>2.6950479999999999</v>
      </c>
      <c r="AI16">
        <v>2.593537</v>
      </c>
      <c r="AJ16">
        <v>1.003789</v>
      </c>
      <c r="AK16">
        <v>6.1202969999999999</v>
      </c>
      <c r="AL16">
        <v>4.3707130000000003</v>
      </c>
      <c r="AM16">
        <v>2.8507060000000002</v>
      </c>
      <c r="AN16">
        <v>9.0584000000000007</v>
      </c>
      <c r="AO16">
        <v>11.04407</v>
      </c>
      <c r="AP16">
        <v>3.9220699999999997E-2</v>
      </c>
      <c r="AQ16">
        <v>8.9715340000000001</v>
      </c>
      <c r="AR16">
        <v>5.9077999999999999</v>
      </c>
      <c r="AS16">
        <v>2.11626</v>
      </c>
      <c r="AT16">
        <v>10.5968</v>
      </c>
      <c r="AU16">
        <v>97.789000000000001</v>
      </c>
      <c r="AV16">
        <v>157.57400000000001</v>
      </c>
      <c r="AW16">
        <v>-5.6556199999999999</v>
      </c>
      <c r="AX16" s="17">
        <v>-30000000000</v>
      </c>
      <c r="AY16">
        <v>3.4177300000000002</v>
      </c>
      <c r="AZ16">
        <v>0.66</v>
      </c>
      <c r="BA16">
        <v>2.735017</v>
      </c>
      <c r="BB16">
        <v>2.7350165999999998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0.32208399999999998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6.1474399999999998E-2</v>
      </c>
      <c r="CG16">
        <v>0.61455740000000003</v>
      </c>
      <c r="CH16">
        <v>0.32684400000000002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3.2650929999999998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0.37768089999999999</v>
      </c>
      <c r="DI16">
        <v>10.660830000000001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0.40560790000000002</v>
      </c>
      <c r="DW16">
        <v>2.1549610000000001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13.524990000000001</v>
      </c>
      <c r="EW16">
        <v>7.2214700000000007E-2</v>
      </c>
      <c r="EX16">
        <v>7.1314199999999994E-2</v>
      </c>
      <c r="EY16">
        <v>7.2146799999999997E-2</v>
      </c>
      <c r="EZ16">
        <v>7.1710700000000002E-2</v>
      </c>
      <c r="FA16">
        <v>7.1646500000000002E-2</v>
      </c>
      <c r="FB16">
        <v>7.08815E-2</v>
      </c>
      <c r="FC16">
        <v>7.0327100000000003E-2</v>
      </c>
      <c r="FD16">
        <v>7.1980299999999997E-2</v>
      </c>
      <c r="FE16">
        <v>7.1680499999999994E-2</v>
      </c>
      <c r="FF16">
        <v>7.1298500000000001E-2</v>
      </c>
      <c r="FG16">
        <v>7.1173100000000003E-2</v>
      </c>
      <c r="FH16">
        <v>7.1372699999999997E-2</v>
      </c>
      <c r="FI16">
        <v>7.1325200000000005E-2</v>
      </c>
      <c r="FJ16">
        <v>7.0928199999999997E-2</v>
      </c>
      <c r="FK16">
        <v>0.41677839999999999</v>
      </c>
      <c r="FL16">
        <v>0.1737042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-0.59596400000000005</v>
      </c>
      <c r="FZ16">
        <v>0.96222920000000001</v>
      </c>
      <c r="GA16">
        <v>-0.3870112</v>
      </c>
      <c r="GB16">
        <v>-0.54820880000000005</v>
      </c>
      <c r="GC16">
        <v>0.49783090000000002</v>
      </c>
      <c r="GD16">
        <v>-0.38722010000000001</v>
      </c>
      <c r="GE16">
        <v>0.16877629999999999</v>
      </c>
      <c r="GF16">
        <v>0.52766089999999999</v>
      </c>
      <c r="GG16">
        <v>6.07433E-2</v>
      </c>
      <c r="GH16">
        <v>3.3547229999999999</v>
      </c>
      <c r="GI16">
        <v>11.25417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0.27507369999999998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2.2141169999999999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112.2928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30.5</v>
      </c>
      <c r="OD16">
        <v>40007.9</v>
      </c>
      <c r="OE16">
        <v>1.38</v>
      </c>
      <c r="OF16">
        <v>367.89699999999999</v>
      </c>
      <c r="OG16">
        <v>8.3000000000000007</v>
      </c>
      <c r="OH16">
        <v>97.789000000000001</v>
      </c>
    </row>
    <row r="17" spans="1:398">
      <c r="A17">
        <v>2</v>
      </c>
      <c r="B17" t="s">
        <v>50</v>
      </c>
      <c r="C17" t="s">
        <v>49</v>
      </c>
      <c r="D17">
        <v>2014</v>
      </c>
      <c r="E17">
        <v>14.489000000000001</v>
      </c>
      <c r="F17">
        <v>2.7778999999999998</v>
      </c>
      <c r="G17">
        <v>445</v>
      </c>
      <c r="H17">
        <v>53.8</v>
      </c>
      <c r="I17">
        <v>76.7</v>
      </c>
      <c r="J17">
        <v>17.899999999999999</v>
      </c>
      <c r="K17">
        <v>12341.4</v>
      </c>
      <c r="L17">
        <v>1.2</v>
      </c>
      <c r="M17">
        <v>1.7</v>
      </c>
      <c r="N17">
        <v>60314</v>
      </c>
      <c r="O17">
        <v>12.15</v>
      </c>
      <c r="P17">
        <v>1.07</v>
      </c>
      <c r="Q17">
        <v>7804.64</v>
      </c>
      <c r="R17">
        <v>71.5</v>
      </c>
      <c r="S17">
        <v>0.42139199999999999</v>
      </c>
      <c r="T17">
        <v>-0.4608621</v>
      </c>
      <c r="U17">
        <v>1.0095449999999999</v>
      </c>
      <c r="V17">
        <v>-0.46293590000000001</v>
      </c>
      <c r="W17">
        <v>1.2378560000000001</v>
      </c>
      <c r="X17">
        <v>-0.88156780000000001</v>
      </c>
      <c r="Y17">
        <v>1.544751</v>
      </c>
      <c r="Z17">
        <v>0.98730309999999999</v>
      </c>
      <c r="AA17">
        <v>1.474019</v>
      </c>
      <c r="AB17">
        <v>-5.7301400000000002E-2</v>
      </c>
      <c r="AC17">
        <v>-0.39921000000000001</v>
      </c>
      <c r="AD17">
        <v>0.67467390000000005</v>
      </c>
      <c r="AE17">
        <v>3.7340699999999998E-2</v>
      </c>
      <c r="AF17">
        <v>1.7550330000000001</v>
      </c>
      <c r="AG17">
        <v>-1.0150999999999999E-3</v>
      </c>
      <c r="AH17">
        <v>2.9119220000000001</v>
      </c>
      <c r="AI17">
        <v>2.6733899999999999</v>
      </c>
      <c r="AJ17">
        <v>1.021695</v>
      </c>
      <c r="AK17">
        <v>6.0980740000000004</v>
      </c>
      <c r="AL17">
        <v>4.3399010000000002</v>
      </c>
      <c r="AM17">
        <v>2.8848009999999999</v>
      </c>
      <c r="AN17">
        <v>9.4207140000000003</v>
      </c>
      <c r="AO17">
        <v>11.00732</v>
      </c>
      <c r="AP17">
        <v>6.7658700000000002E-2</v>
      </c>
      <c r="AQ17">
        <v>8.9624740000000003</v>
      </c>
      <c r="AR17">
        <v>5.9122399999999997</v>
      </c>
      <c r="AS17">
        <v>2.2082700000000002</v>
      </c>
      <c r="AT17">
        <v>10.6099</v>
      </c>
      <c r="AU17">
        <v>97.832999999999998</v>
      </c>
      <c r="AV17">
        <v>158.572</v>
      </c>
      <c r="AW17">
        <v>-2.8264399999999998</v>
      </c>
      <c r="AX17" s="17">
        <v>-15000000000</v>
      </c>
      <c r="AY17">
        <v>3.3877700000000002</v>
      </c>
      <c r="AZ17">
        <v>0.64</v>
      </c>
      <c r="BA17">
        <v>2.4973290000000001</v>
      </c>
      <c r="BB17">
        <v>2.4973291999999998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7.6961000000000002E-2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5.9033099999999998E-2</v>
      </c>
      <c r="CG17">
        <v>0.61632750000000003</v>
      </c>
      <c r="CH17">
        <v>0.34588200000000002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3.36008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0.37985960000000002</v>
      </c>
      <c r="DI17">
        <v>11.290139999999999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0.39444960000000001</v>
      </c>
      <c r="DW17">
        <v>2.1504509999999999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13.54538</v>
      </c>
      <c r="EW17">
        <v>7.2063699999999994E-2</v>
      </c>
      <c r="EX17">
        <v>7.1298200000000006E-2</v>
      </c>
      <c r="EY17">
        <v>7.2145399999999998E-2</v>
      </c>
      <c r="EZ17">
        <v>7.1660000000000001E-2</v>
      </c>
      <c r="FA17">
        <v>7.1744699999999995E-2</v>
      </c>
      <c r="FB17">
        <v>7.0886099999999994E-2</v>
      </c>
      <c r="FC17">
        <v>6.9917000000000007E-2</v>
      </c>
      <c r="FD17">
        <v>7.1935100000000002E-2</v>
      </c>
      <c r="FE17">
        <v>7.1856400000000001E-2</v>
      </c>
      <c r="FF17">
        <v>7.1366499999999999E-2</v>
      </c>
      <c r="FG17">
        <v>7.1477299999999994E-2</v>
      </c>
      <c r="FH17">
        <v>7.1296700000000005E-2</v>
      </c>
      <c r="FI17">
        <v>7.1356000000000003E-2</v>
      </c>
      <c r="FJ17">
        <v>7.0997000000000005E-2</v>
      </c>
      <c r="FK17">
        <v>0.42116979999999998</v>
      </c>
      <c r="FL17">
        <v>0.17738399999999999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-0.4608621</v>
      </c>
      <c r="FZ17">
        <v>1.0095449999999999</v>
      </c>
      <c r="GA17">
        <v>-0.46293590000000001</v>
      </c>
      <c r="GB17">
        <v>-0.88156780000000001</v>
      </c>
      <c r="GC17">
        <v>0.98730309999999999</v>
      </c>
      <c r="GD17">
        <v>-0.39921000000000001</v>
      </c>
      <c r="GE17">
        <v>-1.0150999999999999E-3</v>
      </c>
      <c r="GF17">
        <v>0.67467390000000005</v>
      </c>
      <c r="GG17">
        <v>3.7340699999999998E-2</v>
      </c>
      <c r="GH17">
        <v>3.6696580000000001</v>
      </c>
      <c r="GI17">
        <v>13.466390000000001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0.26954869999999997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2.3485809999999998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112.5698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29.6</v>
      </c>
      <c r="OD17">
        <v>40533.9</v>
      </c>
      <c r="OE17">
        <v>1.08</v>
      </c>
      <c r="OF17">
        <v>369.53300000000002</v>
      </c>
      <c r="OG17">
        <v>9.1</v>
      </c>
      <c r="OH17">
        <v>97.832999999999998</v>
      </c>
    </row>
    <row r="18" spans="1:398">
      <c r="A18">
        <v>2</v>
      </c>
      <c r="B18" t="s">
        <v>50</v>
      </c>
      <c r="C18" t="s">
        <v>49</v>
      </c>
      <c r="D18">
        <v>2015</v>
      </c>
      <c r="E18">
        <v>14.526</v>
      </c>
      <c r="F18">
        <v>2.8570000000000002</v>
      </c>
      <c r="G18">
        <v>436</v>
      </c>
      <c r="H18">
        <v>53.5</v>
      </c>
      <c r="I18">
        <v>77.400000000000006</v>
      </c>
      <c r="J18">
        <v>18.100000000000001</v>
      </c>
      <c r="K18">
        <v>10765.5</v>
      </c>
      <c r="L18">
        <v>1.2</v>
      </c>
      <c r="M18">
        <v>1.7</v>
      </c>
      <c r="N18">
        <v>62338</v>
      </c>
      <c r="O18">
        <v>19.260000000000002</v>
      </c>
      <c r="P18">
        <v>1.06</v>
      </c>
      <c r="Q18">
        <v>7785.27</v>
      </c>
      <c r="R18">
        <v>71.400000000000006</v>
      </c>
      <c r="S18">
        <v>0.423572</v>
      </c>
      <c r="T18">
        <v>-0.45636690000000002</v>
      </c>
      <c r="U18">
        <v>1.085461</v>
      </c>
      <c r="V18">
        <v>-0.53126810000000002</v>
      </c>
      <c r="W18">
        <v>1.2185440000000001</v>
      </c>
      <c r="X18">
        <v>-0.78433759999999997</v>
      </c>
      <c r="Y18">
        <v>1.576778</v>
      </c>
      <c r="Z18">
        <v>0.78166210000000003</v>
      </c>
      <c r="AA18">
        <v>1.474019</v>
      </c>
      <c r="AB18">
        <v>-5.7301400000000002E-2</v>
      </c>
      <c r="AC18">
        <v>-0.38846259999999999</v>
      </c>
      <c r="AD18">
        <v>0.62566920000000004</v>
      </c>
      <c r="AE18">
        <v>3.09597E-2</v>
      </c>
      <c r="AF18">
        <v>1.749765</v>
      </c>
      <c r="AG18">
        <v>0.36929679999999998</v>
      </c>
      <c r="AH18">
        <v>2.9691709999999998</v>
      </c>
      <c r="AI18">
        <v>2.6759400000000002</v>
      </c>
      <c r="AJ18">
        <v>1.0497719999999999</v>
      </c>
      <c r="AK18">
        <v>6.077642</v>
      </c>
      <c r="AL18">
        <v>4.3489870000000002</v>
      </c>
      <c r="AM18">
        <v>2.895912</v>
      </c>
      <c r="AN18">
        <v>9.2841009999999997</v>
      </c>
      <c r="AO18">
        <v>11.040330000000001</v>
      </c>
      <c r="AP18">
        <v>5.8268899999999998E-2</v>
      </c>
      <c r="AQ18">
        <v>8.9599899999999995</v>
      </c>
      <c r="AR18">
        <v>5.9180400000000004</v>
      </c>
      <c r="AS18">
        <v>2.24071</v>
      </c>
      <c r="AT18">
        <v>10.6187</v>
      </c>
      <c r="AU18">
        <v>97.876000000000005</v>
      </c>
      <c r="AV18">
        <v>155.06899999999999</v>
      </c>
      <c r="AW18">
        <v>-4.2326100000000002</v>
      </c>
      <c r="AX18" s="17">
        <v>-20000000000</v>
      </c>
      <c r="AY18">
        <v>3.4144399999999999</v>
      </c>
      <c r="AZ18">
        <v>0.68</v>
      </c>
      <c r="BA18">
        <v>2.9580299999999999</v>
      </c>
      <c r="BB18">
        <v>2.9580305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0.536493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5.54247E-2</v>
      </c>
      <c r="CG18">
        <v>0.61723039999999996</v>
      </c>
      <c r="CH18">
        <v>0.34636800000000001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3.420633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0.38097340000000002</v>
      </c>
      <c r="DI18">
        <v>11.70073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0.4197167</v>
      </c>
      <c r="DW18">
        <v>2.3260299999999998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13.55986</v>
      </c>
      <c r="EW18">
        <v>7.2034100000000004E-2</v>
      </c>
      <c r="EX18">
        <v>7.1288900000000002E-2</v>
      </c>
      <c r="EY18">
        <v>7.2163599999999994E-2</v>
      </c>
      <c r="EZ18">
        <v>7.1670399999999995E-2</v>
      </c>
      <c r="FA18">
        <v>7.1706699999999998E-2</v>
      </c>
      <c r="FB18">
        <v>7.0946400000000007E-2</v>
      </c>
      <c r="FC18">
        <v>7.0320599999999997E-2</v>
      </c>
      <c r="FD18">
        <v>7.1916999999999995E-2</v>
      </c>
      <c r="FE18">
        <v>7.1843900000000002E-2</v>
      </c>
      <c r="FF18">
        <v>7.1347800000000003E-2</v>
      </c>
      <c r="FG18">
        <v>7.0946599999999999E-2</v>
      </c>
      <c r="FH18">
        <v>7.13583E-2</v>
      </c>
      <c r="FI18">
        <v>7.1390499999999996E-2</v>
      </c>
      <c r="FJ18">
        <v>7.1065199999999995E-2</v>
      </c>
      <c r="FK18">
        <v>0.4235063</v>
      </c>
      <c r="FL18">
        <v>0.17935760000000001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-0.45636690000000002</v>
      </c>
      <c r="FZ18">
        <v>1.085461</v>
      </c>
      <c r="GA18">
        <v>-0.53126810000000002</v>
      </c>
      <c r="GB18">
        <v>-0.78433759999999997</v>
      </c>
      <c r="GC18">
        <v>0.78166210000000003</v>
      </c>
      <c r="GD18">
        <v>-0.38846259999999999</v>
      </c>
      <c r="GE18">
        <v>0.36929679999999998</v>
      </c>
      <c r="GF18">
        <v>0.62566920000000004</v>
      </c>
      <c r="GG18">
        <v>3.09597E-2</v>
      </c>
      <c r="GH18">
        <v>3.7640889999999998</v>
      </c>
      <c r="GI18">
        <v>14.168369999999999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0.28798430000000003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2.5595810000000001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112.7574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30.4</v>
      </c>
      <c r="OD18">
        <v>40893.800000000003</v>
      </c>
      <c r="OE18">
        <v>1.71</v>
      </c>
      <c r="OF18">
        <v>371.68099999999998</v>
      </c>
      <c r="OG18">
        <v>9.4</v>
      </c>
      <c r="OH18">
        <v>97.876000000000005</v>
      </c>
    </row>
    <row r="19" spans="1:398">
      <c r="A19">
        <v>2</v>
      </c>
      <c r="B19" t="s">
        <v>50</v>
      </c>
      <c r="C19" t="s">
        <v>49</v>
      </c>
      <c r="D19">
        <v>2016</v>
      </c>
      <c r="E19">
        <v>14.007999999999999</v>
      </c>
      <c r="F19">
        <v>2.8933</v>
      </c>
      <c r="G19">
        <v>425</v>
      </c>
      <c r="H19">
        <v>53.5</v>
      </c>
      <c r="I19">
        <v>72.5</v>
      </c>
      <c r="J19">
        <v>18.100000000000001</v>
      </c>
      <c r="K19">
        <v>7861.7</v>
      </c>
      <c r="L19">
        <v>1.7</v>
      </c>
      <c r="M19">
        <v>1.8</v>
      </c>
      <c r="N19">
        <v>61463</v>
      </c>
      <c r="O19">
        <v>16.260000000000002</v>
      </c>
      <c r="P19">
        <v>1.05</v>
      </c>
      <c r="Q19">
        <v>7897.42</v>
      </c>
      <c r="R19">
        <v>72.900000000000006</v>
      </c>
      <c r="S19">
        <v>0.43051600000000001</v>
      </c>
      <c r="T19">
        <v>-0.51930089999999995</v>
      </c>
      <c r="U19">
        <v>1.1203000000000001</v>
      </c>
      <c r="V19">
        <v>-0.61478520000000003</v>
      </c>
      <c r="W19">
        <v>1.2185440000000001</v>
      </c>
      <c r="X19">
        <v>-1.4649449999999999</v>
      </c>
      <c r="Y19">
        <v>1.576778</v>
      </c>
      <c r="Z19">
        <v>0.40274199999999999</v>
      </c>
      <c r="AA19">
        <v>2.86469</v>
      </c>
      <c r="AB19">
        <v>7.46251E-2</v>
      </c>
      <c r="AC19">
        <v>-0.39310879999999998</v>
      </c>
      <c r="AD19">
        <v>0.57666499999999998</v>
      </c>
      <c r="AE19">
        <v>6.7907800000000004E-2</v>
      </c>
      <c r="AF19">
        <v>1.8287819999999999</v>
      </c>
      <c r="AG19">
        <v>0.21304709999999999</v>
      </c>
      <c r="AH19">
        <v>3.2368640000000002</v>
      </c>
      <c r="AI19">
        <v>2.6396289999999998</v>
      </c>
      <c r="AJ19">
        <v>1.062398</v>
      </c>
      <c r="AK19">
        <v>6.0520889999999996</v>
      </c>
      <c r="AL19">
        <v>4.2835869999999998</v>
      </c>
      <c r="AM19">
        <v>2.895912</v>
      </c>
      <c r="AN19">
        <v>8.9697580000000006</v>
      </c>
      <c r="AO19">
        <v>11.02619</v>
      </c>
      <c r="AP19">
        <v>4.8790100000000003E-2</v>
      </c>
      <c r="AQ19">
        <v>8.9742920000000002</v>
      </c>
      <c r="AR19">
        <v>5.9230999999999998</v>
      </c>
      <c r="AS19">
        <v>2.2191999999999998</v>
      </c>
      <c r="AT19">
        <v>10.625500000000001</v>
      </c>
      <c r="AU19">
        <v>97.918999999999997</v>
      </c>
      <c r="AV19">
        <v>159.05799999999999</v>
      </c>
      <c r="AW19">
        <v>12.1319</v>
      </c>
      <c r="AX19" s="17">
        <v>58000000000</v>
      </c>
      <c r="AY19">
        <v>3.3741699999999999</v>
      </c>
      <c r="AZ19">
        <v>0.65</v>
      </c>
      <c r="BA19">
        <v>2.7887080000000002</v>
      </c>
      <c r="BB19">
        <v>2.7887081999999999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0.35767399999999999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5.2514100000000001E-2</v>
      </c>
      <c r="CG19">
        <v>0.62717069999999997</v>
      </c>
      <c r="CH19">
        <v>0.33924399999999999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3.8103099999999999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0.3933432</v>
      </c>
      <c r="DI19">
        <v>14.518459999999999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0.407661</v>
      </c>
      <c r="DW19">
        <v>2.4767009999999998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13.584059999999999</v>
      </c>
      <c r="EW19">
        <v>7.1992600000000004E-2</v>
      </c>
      <c r="EX19">
        <v>7.1247000000000005E-2</v>
      </c>
      <c r="EY19">
        <v>7.2136199999999998E-2</v>
      </c>
      <c r="EZ19">
        <v>7.1614999999999998E-2</v>
      </c>
      <c r="FA19">
        <v>7.1891700000000003E-2</v>
      </c>
      <c r="FB19">
        <v>7.09587E-2</v>
      </c>
      <c r="FC19">
        <v>7.0882000000000001E-2</v>
      </c>
      <c r="FD19">
        <v>7.13752E-2</v>
      </c>
      <c r="FE19">
        <v>7.1679099999999996E-2</v>
      </c>
      <c r="FF19">
        <v>7.1339600000000003E-2</v>
      </c>
      <c r="FG19">
        <v>7.1166900000000005E-2</v>
      </c>
      <c r="FH19">
        <v>7.1355699999999994E-2</v>
      </c>
      <c r="FI19">
        <v>7.1329699999999996E-2</v>
      </c>
      <c r="FJ19">
        <v>7.1030599999999999E-2</v>
      </c>
      <c r="FK19">
        <v>0.43022250000000001</v>
      </c>
      <c r="FL19">
        <v>0.18509139999999999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-0.51930089999999995</v>
      </c>
      <c r="FZ19">
        <v>1.1203000000000001</v>
      </c>
      <c r="GA19">
        <v>-0.61478520000000003</v>
      </c>
      <c r="GB19">
        <v>-1.4649449999999999</v>
      </c>
      <c r="GC19">
        <v>0.40274199999999999</v>
      </c>
      <c r="GD19">
        <v>-0.39310879999999998</v>
      </c>
      <c r="GE19">
        <v>0.21304709999999999</v>
      </c>
      <c r="GF19">
        <v>0.57666499999999998</v>
      </c>
      <c r="GG19">
        <v>6.7907800000000004E-2</v>
      </c>
      <c r="GH19">
        <v>4.0981110000000003</v>
      </c>
      <c r="GI19">
        <v>16.794509999999999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0.27964460000000002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2.6637719999999998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112.9021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29.2</v>
      </c>
      <c r="OD19">
        <v>41172.9</v>
      </c>
      <c r="OE19">
        <v>1.43</v>
      </c>
      <c r="OF19">
        <v>373.56700000000001</v>
      </c>
      <c r="OG19">
        <v>9.1999999999999993</v>
      </c>
      <c r="OH19">
        <v>97.918999999999997</v>
      </c>
    </row>
    <row r="20" spans="1:398">
      <c r="A20">
        <v>2</v>
      </c>
      <c r="B20" t="s">
        <v>50</v>
      </c>
      <c r="C20" t="s">
        <v>49</v>
      </c>
      <c r="D20">
        <v>2017</v>
      </c>
      <c r="E20">
        <v>13.430999999999999</v>
      </c>
      <c r="F20">
        <v>2.8744000000000001</v>
      </c>
      <c r="G20">
        <v>412</v>
      </c>
      <c r="H20">
        <v>53.9</v>
      </c>
      <c r="I20">
        <v>75.099999999999994</v>
      </c>
      <c r="J20">
        <v>19</v>
      </c>
      <c r="K20">
        <v>9962.5</v>
      </c>
      <c r="L20">
        <v>1.4</v>
      </c>
      <c r="M20">
        <v>1.8</v>
      </c>
      <c r="N20">
        <v>62281</v>
      </c>
      <c r="O20">
        <v>19.350000000000001</v>
      </c>
      <c r="P20">
        <v>1.0900000000000001</v>
      </c>
      <c r="Q20">
        <v>7861.95</v>
      </c>
      <c r="R20">
        <v>72</v>
      </c>
      <c r="S20">
        <v>0.43042200000000003</v>
      </c>
      <c r="T20">
        <v>-0.58940329999999996</v>
      </c>
      <c r="U20">
        <v>1.1021609999999999</v>
      </c>
      <c r="V20">
        <v>-0.71348730000000005</v>
      </c>
      <c r="W20">
        <v>1.2442930000000001</v>
      </c>
      <c r="X20">
        <v>-1.103807</v>
      </c>
      <c r="Y20">
        <v>1.7208950000000001</v>
      </c>
      <c r="Z20">
        <v>0.67687770000000003</v>
      </c>
      <c r="AA20">
        <v>2.030287</v>
      </c>
      <c r="AB20">
        <v>7.46251E-2</v>
      </c>
      <c r="AC20">
        <v>-0.38876529999999998</v>
      </c>
      <c r="AD20">
        <v>0.77268210000000004</v>
      </c>
      <c r="AE20">
        <v>5.6220699999999998E-2</v>
      </c>
      <c r="AF20">
        <v>1.781372</v>
      </c>
      <c r="AG20">
        <v>0.37398419999999999</v>
      </c>
      <c r="AH20">
        <v>3.2193260000000001</v>
      </c>
      <c r="AI20">
        <v>2.5975649999999999</v>
      </c>
      <c r="AJ20">
        <v>1.055844</v>
      </c>
      <c r="AK20">
        <v>6.0210229999999996</v>
      </c>
      <c r="AL20">
        <v>4.3188199999999997</v>
      </c>
      <c r="AM20">
        <v>2.944439</v>
      </c>
      <c r="AN20">
        <v>9.2065830000000002</v>
      </c>
      <c r="AO20">
        <v>11.03941</v>
      </c>
      <c r="AP20">
        <v>8.6177699999999996E-2</v>
      </c>
      <c r="AQ20">
        <v>8.9697899999999997</v>
      </c>
      <c r="AR20">
        <v>5.9269499999999997</v>
      </c>
      <c r="AS20">
        <v>2.2721300000000002</v>
      </c>
      <c r="AT20">
        <v>10.6363</v>
      </c>
      <c r="AU20">
        <v>97.960999999999999</v>
      </c>
      <c r="AV20">
        <v>166.904</v>
      </c>
      <c r="AW20">
        <v>-7.4442399999999997</v>
      </c>
      <c r="AX20" s="17">
        <v>-37000000000</v>
      </c>
      <c r="AY20">
        <v>3.4078400000000002</v>
      </c>
      <c r="AZ20">
        <v>0.7</v>
      </c>
      <c r="BA20">
        <v>2.9626920000000001</v>
      </c>
      <c r="BB20">
        <v>2.9626925000000002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0.53062799999999999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5.0277599999999999E-2</v>
      </c>
      <c r="CG20">
        <v>0.62238550000000004</v>
      </c>
      <c r="CH20">
        <v>0.35058099999999998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3.7120860000000002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0.38736369999999998</v>
      </c>
      <c r="DI20">
        <v>13.779590000000001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0.4356698</v>
      </c>
      <c r="DW20">
        <v>2.5984600000000002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13.5936</v>
      </c>
      <c r="EW20">
        <v>7.2028200000000001E-2</v>
      </c>
      <c r="EX20">
        <v>7.1303599999999995E-2</v>
      </c>
      <c r="EY20">
        <v>7.2193300000000002E-2</v>
      </c>
      <c r="EZ20">
        <v>7.1621599999999994E-2</v>
      </c>
      <c r="FA20">
        <v>7.1759500000000004E-2</v>
      </c>
      <c r="FB20">
        <v>7.0958300000000002E-2</v>
      </c>
      <c r="FC20">
        <v>7.0612999999999995E-2</v>
      </c>
      <c r="FD20">
        <v>7.1672200000000005E-2</v>
      </c>
      <c r="FE20">
        <v>7.1690900000000002E-2</v>
      </c>
      <c r="FF20">
        <v>7.1360099999999996E-2</v>
      </c>
      <c r="FG20">
        <v>7.1011500000000005E-2</v>
      </c>
      <c r="FH20">
        <v>7.1291999999999994E-2</v>
      </c>
      <c r="FI20">
        <v>7.1377999999999997E-2</v>
      </c>
      <c r="FJ20">
        <v>7.1117799999999995E-2</v>
      </c>
      <c r="FK20">
        <v>0.43025160000000001</v>
      </c>
      <c r="FL20">
        <v>0.18511639999999999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-0.58940329999999996</v>
      </c>
      <c r="FZ20">
        <v>1.1021609999999999</v>
      </c>
      <c r="GA20">
        <v>-0.71348730000000005</v>
      </c>
      <c r="GB20">
        <v>-1.103807</v>
      </c>
      <c r="GC20">
        <v>0.67687770000000003</v>
      </c>
      <c r="GD20">
        <v>-0.38876529999999998</v>
      </c>
      <c r="GE20">
        <v>0.37398419999999999</v>
      </c>
      <c r="GF20">
        <v>0.77268210000000004</v>
      </c>
      <c r="GG20">
        <v>5.6220699999999998E-2</v>
      </c>
      <c r="GH20">
        <v>4.1046610000000001</v>
      </c>
      <c r="GI20">
        <v>16.848240000000001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0.3011761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2.873262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113.1313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30.2</v>
      </c>
      <c r="OD20">
        <v>41619.300000000003</v>
      </c>
      <c r="OE20">
        <v>1.7</v>
      </c>
      <c r="OF20">
        <v>375.00900000000001</v>
      </c>
      <c r="OG20">
        <v>9.6999999999999993</v>
      </c>
      <c r="OH20">
        <v>97.960999999999999</v>
      </c>
    </row>
    <row r="21" spans="1:398">
      <c r="A21">
        <v>2</v>
      </c>
      <c r="B21" t="s">
        <v>50</v>
      </c>
      <c r="C21" t="s">
        <v>49</v>
      </c>
      <c r="D21">
        <v>2018</v>
      </c>
      <c r="E21">
        <v>14.92</v>
      </c>
      <c r="F21">
        <v>3.0398000000000001</v>
      </c>
      <c r="G21">
        <v>419</v>
      </c>
      <c r="H21">
        <v>54.4</v>
      </c>
      <c r="I21">
        <v>72.5</v>
      </c>
      <c r="J21">
        <v>20.6</v>
      </c>
      <c r="K21">
        <v>11848.3</v>
      </c>
      <c r="L21">
        <v>1.4</v>
      </c>
      <c r="M21">
        <v>1.7</v>
      </c>
      <c r="N21">
        <v>63234</v>
      </c>
      <c r="O21">
        <v>16.079999999999998</v>
      </c>
      <c r="P21">
        <v>1.06</v>
      </c>
      <c r="Q21">
        <v>7215.51</v>
      </c>
      <c r="R21">
        <v>72.7</v>
      </c>
      <c r="S21">
        <v>0.43294700000000003</v>
      </c>
      <c r="T21">
        <v>-0.40849809999999998</v>
      </c>
      <c r="U21">
        <v>1.2609030000000001</v>
      </c>
      <c r="V21">
        <v>-0.66034000000000004</v>
      </c>
      <c r="W21">
        <v>1.2764800000000001</v>
      </c>
      <c r="X21">
        <v>-1.4649449999999999</v>
      </c>
      <c r="Y21">
        <v>1.9771049999999999</v>
      </c>
      <c r="Z21">
        <v>0.9229579</v>
      </c>
      <c r="AA21">
        <v>2.030287</v>
      </c>
      <c r="AB21">
        <v>-5.7301400000000002E-2</v>
      </c>
      <c r="AC21">
        <v>-0.38370490000000002</v>
      </c>
      <c r="AD21">
        <v>0.62566920000000004</v>
      </c>
      <c r="AE21">
        <v>-0.15675559999999999</v>
      </c>
      <c r="AF21">
        <v>1.818246</v>
      </c>
      <c r="AG21">
        <v>0.20367209999999999</v>
      </c>
      <c r="AH21">
        <v>3.4226040000000002</v>
      </c>
      <c r="AI21">
        <v>2.7027030000000001</v>
      </c>
      <c r="AJ21">
        <v>1.1117919999999999</v>
      </c>
      <c r="AK21">
        <v>6.037871</v>
      </c>
      <c r="AL21">
        <v>4.2835869999999998</v>
      </c>
      <c r="AM21">
        <v>3.0252910000000002</v>
      </c>
      <c r="AN21">
        <v>9.3799399999999995</v>
      </c>
      <c r="AO21">
        <v>11.054600000000001</v>
      </c>
      <c r="AP21">
        <v>5.8268899999999998E-2</v>
      </c>
      <c r="AQ21">
        <v>8.8839869999999994</v>
      </c>
      <c r="AR21">
        <v>5.92624</v>
      </c>
      <c r="AS21">
        <v>2.3702399999999999</v>
      </c>
      <c r="AT21">
        <v>10.650399999999999</v>
      </c>
      <c r="AU21">
        <v>98.001000000000005</v>
      </c>
      <c r="AV21">
        <v>168.27799999999999</v>
      </c>
      <c r="AW21">
        <v>-7.6665000000000001</v>
      </c>
      <c r="AX21" s="17">
        <v>-42000000000</v>
      </c>
      <c r="AY21">
        <v>3.4209999999999998</v>
      </c>
      <c r="AZ21">
        <v>0.66</v>
      </c>
      <c r="BA21">
        <v>2.7775759999999998</v>
      </c>
      <c r="BB21">
        <v>2.7775761999999999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0.34359000000000001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4.8328200000000002E-2</v>
      </c>
      <c r="CG21">
        <v>0.62501969999999996</v>
      </c>
      <c r="CH21">
        <v>0.36305399999999999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3.8344740000000002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0.39064959999999999</v>
      </c>
      <c r="DI21">
        <v>14.703189999999999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0.41251300000000002</v>
      </c>
      <c r="DW21">
        <v>2.5307529999999998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13.60913</v>
      </c>
      <c r="EW21">
        <v>7.1873500000000007E-2</v>
      </c>
      <c r="EX21">
        <v>7.1226700000000004E-2</v>
      </c>
      <c r="EY21">
        <v>7.2100700000000004E-2</v>
      </c>
      <c r="EZ21">
        <v>7.1590500000000001E-2</v>
      </c>
      <c r="FA21">
        <v>7.1857699999999997E-2</v>
      </c>
      <c r="FB21">
        <v>7.0873099999999994E-2</v>
      </c>
      <c r="FC21">
        <v>7.0427000000000003E-2</v>
      </c>
      <c r="FD21">
        <v>7.1649500000000005E-2</v>
      </c>
      <c r="FE21">
        <v>7.17589E-2</v>
      </c>
      <c r="FF21">
        <v>7.1341000000000002E-2</v>
      </c>
      <c r="FG21">
        <v>7.1261099999999994E-2</v>
      </c>
      <c r="FH21">
        <v>7.1372400000000003E-2</v>
      </c>
      <c r="FI21">
        <v>7.1542800000000004E-2</v>
      </c>
      <c r="FJ21">
        <v>7.11252E-2</v>
      </c>
      <c r="FK21">
        <v>0.43265619999999999</v>
      </c>
      <c r="FL21">
        <v>0.18719140000000001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-0.40849809999999998</v>
      </c>
      <c r="FZ21">
        <v>1.2609030000000001</v>
      </c>
      <c r="GA21">
        <v>-0.66034000000000004</v>
      </c>
      <c r="GB21">
        <v>-1.4649449999999999</v>
      </c>
      <c r="GC21">
        <v>0.9229579</v>
      </c>
      <c r="GD21">
        <v>-0.38370490000000002</v>
      </c>
      <c r="GE21">
        <v>0.20367209999999999</v>
      </c>
      <c r="GF21">
        <v>0.62566920000000004</v>
      </c>
      <c r="GG21">
        <v>-0.15675559999999999</v>
      </c>
      <c r="GH21">
        <v>4.3826840000000002</v>
      </c>
      <c r="GI21">
        <v>19.207920000000001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0.2855531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2.8925709999999998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113.43040000000001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30.6</v>
      </c>
      <c r="OD21">
        <v>42208.4</v>
      </c>
      <c r="OE21">
        <v>1.41</v>
      </c>
      <c r="OF21">
        <v>374.74299999999999</v>
      </c>
      <c r="OG21">
        <v>10.7</v>
      </c>
      <c r="OH21">
        <v>98.001000000000005</v>
      </c>
    </row>
    <row r="22" spans="1:398">
      <c r="A22">
        <v>2</v>
      </c>
      <c r="B22" t="s">
        <v>50</v>
      </c>
      <c r="C22" t="s">
        <v>49</v>
      </c>
      <c r="D22">
        <v>2019</v>
      </c>
      <c r="E22">
        <v>12.821999999999999</v>
      </c>
      <c r="F22">
        <v>2.9823</v>
      </c>
      <c r="G22">
        <v>411</v>
      </c>
      <c r="H22">
        <v>54.7</v>
      </c>
      <c r="I22">
        <v>70.8</v>
      </c>
      <c r="J22">
        <v>20.5</v>
      </c>
      <c r="K22">
        <v>9433.7999999999993</v>
      </c>
      <c r="L22">
        <v>1.6</v>
      </c>
      <c r="M22">
        <v>1.8</v>
      </c>
      <c r="N22">
        <v>62091</v>
      </c>
      <c r="O22">
        <v>15.58</v>
      </c>
      <c r="P22">
        <v>1.08</v>
      </c>
      <c r="Q22">
        <v>6569.07</v>
      </c>
      <c r="R22">
        <v>72.5</v>
      </c>
      <c r="S22">
        <v>0.428531</v>
      </c>
      <c r="T22">
        <v>-0.66339340000000002</v>
      </c>
      <c r="U22">
        <v>1.2057180000000001</v>
      </c>
      <c r="V22">
        <v>-0.72107969999999999</v>
      </c>
      <c r="W22">
        <v>1.2957920000000001</v>
      </c>
      <c r="X22">
        <v>-1.701074</v>
      </c>
      <c r="Y22">
        <v>1.9610920000000001</v>
      </c>
      <c r="Z22">
        <v>0.60788710000000001</v>
      </c>
      <c r="AA22">
        <v>2.5865559999999999</v>
      </c>
      <c r="AB22">
        <v>7.46251E-2</v>
      </c>
      <c r="AC22">
        <v>-0.38977420000000002</v>
      </c>
      <c r="AD22">
        <v>0.72367800000000004</v>
      </c>
      <c r="AE22">
        <v>-0.3697318</v>
      </c>
      <c r="AF22">
        <v>1.8077110000000001</v>
      </c>
      <c r="AG22">
        <v>0.17763039999999999</v>
      </c>
      <c r="AH22">
        <v>3.46515</v>
      </c>
      <c r="AI22">
        <v>2.5511620000000002</v>
      </c>
      <c r="AJ22">
        <v>1.092695</v>
      </c>
      <c r="AK22">
        <v>6.0185930000000001</v>
      </c>
      <c r="AL22">
        <v>4.2598589999999996</v>
      </c>
      <c r="AM22">
        <v>3.0204249999999999</v>
      </c>
      <c r="AN22">
        <v>9.1520539999999997</v>
      </c>
      <c r="AO22">
        <v>11.03636</v>
      </c>
      <c r="AP22">
        <v>7.6961100000000005E-2</v>
      </c>
      <c r="AQ22">
        <v>8.790127</v>
      </c>
      <c r="AR22">
        <v>5.93161</v>
      </c>
      <c r="AS22">
        <v>2.32239</v>
      </c>
      <c r="AT22">
        <v>10.6691</v>
      </c>
      <c r="AU22">
        <v>98.040999999999997</v>
      </c>
      <c r="AV22">
        <v>165.465</v>
      </c>
      <c r="AW22">
        <v>-1.9725299999999999</v>
      </c>
      <c r="AX22" s="17">
        <v>-11000000000</v>
      </c>
      <c r="AY22">
        <v>3.45316</v>
      </c>
      <c r="AZ22">
        <v>0.66</v>
      </c>
      <c r="BA22">
        <v>2.7459880000000001</v>
      </c>
      <c r="BB22">
        <v>2.7459880999999999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0.30748500000000001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4.6362500000000001E-2</v>
      </c>
      <c r="CG22">
        <v>0.62018249999999997</v>
      </c>
      <c r="CH22">
        <v>0.35047699999999998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3.996019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0.38462639999999998</v>
      </c>
      <c r="DI22">
        <v>15.968170000000001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0.40932049999999998</v>
      </c>
      <c r="DW22">
        <v>2.6373730000000002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13.631159999999999</v>
      </c>
      <c r="EW22">
        <v>7.1951600000000004E-2</v>
      </c>
      <c r="EX22">
        <v>7.1226100000000001E-2</v>
      </c>
      <c r="EY22">
        <v>7.2057599999999999E-2</v>
      </c>
      <c r="EZ22">
        <v>7.1526699999999999E-2</v>
      </c>
      <c r="FA22">
        <v>7.1868899999999999E-2</v>
      </c>
      <c r="FB22">
        <v>7.0885199999999995E-2</v>
      </c>
      <c r="FC22">
        <v>7.0815299999999998E-2</v>
      </c>
      <c r="FD22">
        <v>7.1418499999999996E-2</v>
      </c>
      <c r="FE22">
        <v>7.1600800000000006E-2</v>
      </c>
      <c r="FF22">
        <v>7.1326899999999999E-2</v>
      </c>
      <c r="FG22">
        <v>7.1264300000000003E-2</v>
      </c>
      <c r="FH22">
        <v>7.1284E-2</v>
      </c>
      <c r="FI22">
        <v>7.1663900000000003E-2</v>
      </c>
      <c r="FJ22">
        <v>7.1110099999999996E-2</v>
      </c>
      <c r="FK22">
        <v>0.42810789999999999</v>
      </c>
      <c r="FL22">
        <v>0.18327640000000001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-0.66339340000000002</v>
      </c>
      <c r="FZ22">
        <v>1.2057180000000001</v>
      </c>
      <c r="GA22">
        <v>-0.72107969999999999</v>
      </c>
      <c r="GB22">
        <v>-1.701074</v>
      </c>
      <c r="GC22">
        <v>0.60788710000000001</v>
      </c>
      <c r="GD22">
        <v>-0.38977420000000002</v>
      </c>
      <c r="GE22">
        <v>0.17763039999999999</v>
      </c>
      <c r="GF22">
        <v>0.72367800000000004</v>
      </c>
      <c r="GG22">
        <v>-0.3697318</v>
      </c>
      <c r="GH22">
        <v>4.4393929999999999</v>
      </c>
      <c r="GI22">
        <v>19.708210000000001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0.2825512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2.929999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113.8297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31.6</v>
      </c>
      <c r="OD22">
        <v>43006.400000000001</v>
      </c>
      <c r="OE22">
        <v>1.36</v>
      </c>
      <c r="OF22">
        <v>376.762</v>
      </c>
      <c r="OG22">
        <v>10.199999999999999</v>
      </c>
      <c r="OH22">
        <v>98.040999999999997</v>
      </c>
    </row>
    <row r="23" spans="1:398">
      <c r="A23">
        <v>2</v>
      </c>
      <c r="B23" t="s">
        <v>50</v>
      </c>
      <c r="C23" t="s">
        <v>49</v>
      </c>
      <c r="D23">
        <v>2020</v>
      </c>
      <c r="E23">
        <v>12.984999999999999</v>
      </c>
      <c r="F23">
        <v>3.0830000000000002</v>
      </c>
      <c r="G23">
        <v>409</v>
      </c>
      <c r="H23">
        <v>51.4</v>
      </c>
      <c r="I23">
        <v>73.5</v>
      </c>
      <c r="J23">
        <v>22.9</v>
      </c>
      <c r="K23">
        <v>7318.9</v>
      </c>
      <c r="L23">
        <v>1.5</v>
      </c>
      <c r="M23">
        <v>1.9</v>
      </c>
      <c r="N23">
        <v>63816</v>
      </c>
      <c r="O23">
        <v>5.49</v>
      </c>
      <c r="P23">
        <v>1.04</v>
      </c>
      <c r="Q23">
        <v>5922.63</v>
      </c>
      <c r="R23">
        <v>72.3</v>
      </c>
      <c r="S23">
        <v>0.41656300000000002</v>
      </c>
      <c r="T23">
        <v>-0.64358979999999999</v>
      </c>
      <c r="U23">
        <v>1.302365</v>
      </c>
      <c r="V23">
        <v>-0.73626460000000005</v>
      </c>
      <c r="W23">
        <v>1.083361</v>
      </c>
      <c r="X23">
        <v>-1.3260460000000001</v>
      </c>
      <c r="Y23">
        <v>2.3454060000000001</v>
      </c>
      <c r="Z23">
        <v>0.33191140000000002</v>
      </c>
      <c r="AA23">
        <v>2.3084220000000002</v>
      </c>
      <c r="AB23">
        <v>0.2065517</v>
      </c>
      <c r="AC23">
        <v>-0.38061450000000002</v>
      </c>
      <c r="AD23">
        <v>0.52766089999999999</v>
      </c>
      <c r="AE23">
        <v>-0.582708</v>
      </c>
      <c r="AF23">
        <v>1.797175</v>
      </c>
      <c r="AG23">
        <v>-0.34788940000000002</v>
      </c>
      <c r="AH23">
        <v>3.1744219999999999</v>
      </c>
      <c r="AI23">
        <v>2.5637949999999998</v>
      </c>
      <c r="AJ23">
        <v>1.1259030000000001</v>
      </c>
      <c r="AK23">
        <v>6.0137150000000004</v>
      </c>
      <c r="AL23">
        <v>4.2972859999999997</v>
      </c>
      <c r="AM23">
        <v>3.1311369999999998</v>
      </c>
      <c r="AN23">
        <v>8.8982150000000004</v>
      </c>
      <c r="AO23">
        <v>11.06376</v>
      </c>
      <c r="AP23">
        <v>3.9220699999999997E-2</v>
      </c>
      <c r="AQ23">
        <v>8.6865349999999992</v>
      </c>
      <c r="AR23">
        <v>5.9359200000000003</v>
      </c>
      <c r="AS23">
        <v>2.5095999999999998</v>
      </c>
      <c r="AT23">
        <v>10.6157</v>
      </c>
      <c r="AU23">
        <v>98.078999999999994</v>
      </c>
      <c r="AV23">
        <v>156.94999999999999</v>
      </c>
      <c r="AW23">
        <v>-5.7423500000000001</v>
      </c>
      <c r="AX23" s="17">
        <v>-30000000000</v>
      </c>
      <c r="AY23">
        <v>3.4719699999999998</v>
      </c>
      <c r="AZ23">
        <v>0.63</v>
      </c>
      <c r="BA23">
        <v>1.702928</v>
      </c>
      <c r="BB23">
        <v>1.7029281999999999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-0.73396899999999998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4.1538600000000002E-2</v>
      </c>
      <c r="CG23">
        <v>0.61305270000000001</v>
      </c>
      <c r="CH23">
        <v>0.33005699999999999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3.719249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0.37583359999999999</v>
      </c>
      <c r="DI23">
        <v>13.83281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0.38622319999999999</v>
      </c>
      <c r="DW23">
        <v>2.343127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13.65917</v>
      </c>
      <c r="EW23">
        <v>7.1822800000000006E-2</v>
      </c>
      <c r="EX23">
        <v>7.1110099999999996E-2</v>
      </c>
      <c r="EY23">
        <v>7.1946700000000002E-2</v>
      </c>
      <c r="EZ23">
        <v>7.15118E-2</v>
      </c>
      <c r="FA23">
        <v>7.1625300000000003E-2</v>
      </c>
      <c r="FB23">
        <v>7.0682099999999998E-2</v>
      </c>
      <c r="FC23">
        <v>7.1124499999999993E-2</v>
      </c>
      <c r="FD23">
        <v>7.1416099999999996E-2</v>
      </c>
      <c r="FE23">
        <v>7.1419999999999997E-2</v>
      </c>
      <c r="FF23">
        <v>7.1215200000000006E-2</v>
      </c>
      <c r="FG23">
        <v>7.2015999999999997E-2</v>
      </c>
      <c r="FH23">
        <v>7.1305199999999999E-2</v>
      </c>
      <c r="FI23">
        <v>7.1749099999999996E-2</v>
      </c>
      <c r="FJ23">
        <v>7.1055199999999999E-2</v>
      </c>
      <c r="FK23">
        <v>0.41580790000000001</v>
      </c>
      <c r="FL23">
        <v>0.1728962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-0.64358979999999999</v>
      </c>
      <c r="FZ23">
        <v>1.302365</v>
      </c>
      <c r="GA23">
        <v>-0.73626460000000005</v>
      </c>
      <c r="GB23">
        <v>-1.3260460000000001</v>
      </c>
      <c r="GC23">
        <v>0.33191140000000002</v>
      </c>
      <c r="GD23">
        <v>-0.38061450000000002</v>
      </c>
      <c r="GE23">
        <v>-0.34788940000000002</v>
      </c>
      <c r="GF23">
        <v>0.52766089999999999</v>
      </c>
      <c r="GG23">
        <v>-0.582708</v>
      </c>
      <c r="GH23">
        <v>3.9989539999999999</v>
      </c>
      <c r="GI23">
        <v>15.991630000000001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0.261959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2.5193409999999998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112.6927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32.200000000000003</v>
      </c>
      <c r="OD23">
        <v>40769</v>
      </c>
      <c r="OE23">
        <v>0.48</v>
      </c>
      <c r="OF23">
        <v>378.38900000000001</v>
      </c>
      <c r="OG23">
        <v>12.3</v>
      </c>
      <c r="OH23">
        <v>98.078999999999994</v>
      </c>
    </row>
    <row r="24" spans="1:398">
      <c r="A24">
        <v>3</v>
      </c>
      <c r="B24" t="s">
        <v>48</v>
      </c>
      <c r="C24" t="s">
        <v>47</v>
      </c>
      <c r="D24">
        <v>2010</v>
      </c>
      <c r="E24">
        <v>13.522</v>
      </c>
      <c r="F24">
        <v>0.35520000000000002</v>
      </c>
      <c r="G24">
        <v>577</v>
      </c>
      <c r="H24">
        <v>24.5</v>
      </c>
      <c r="I24">
        <v>78.400000000000006</v>
      </c>
      <c r="J24">
        <v>2.1</v>
      </c>
      <c r="K24">
        <v>439.7</v>
      </c>
      <c r="L24">
        <v>0.7</v>
      </c>
      <c r="M24">
        <v>1.4</v>
      </c>
      <c r="N24">
        <v>49981</v>
      </c>
      <c r="O24">
        <v>1</v>
      </c>
      <c r="P24">
        <v>0.54</v>
      </c>
      <c r="Q24">
        <v>7811.91</v>
      </c>
      <c r="R24">
        <v>15.9</v>
      </c>
      <c r="S24">
        <v>0.18287900000000001</v>
      </c>
      <c r="T24">
        <v>-0.57834719999999995</v>
      </c>
      <c r="U24">
        <v>-1.3156410000000001</v>
      </c>
      <c r="V24">
        <v>0.53926960000000002</v>
      </c>
      <c r="W24">
        <v>-0.64826969999999995</v>
      </c>
      <c r="X24">
        <v>-0.64543810000000001</v>
      </c>
      <c r="Y24">
        <v>-0.98531749999999996</v>
      </c>
      <c r="Z24">
        <v>-0.56576320000000002</v>
      </c>
      <c r="AA24">
        <v>8.3346600000000007E-2</v>
      </c>
      <c r="AB24">
        <v>-0.45308130000000002</v>
      </c>
      <c r="AC24">
        <v>-0.45407799999999998</v>
      </c>
      <c r="AD24">
        <v>-1.922547</v>
      </c>
      <c r="AE24">
        <v>3.9734800000000001E-2</v>
      </c>
      <c r="AF24">
        <v>-1.1738710000000001</v>
      </c>
      <c r="AG24">
        <v>-0.58174320000000002</v>
      </c>
      <c r="AH24">
        <v>-2.2337530000000001</v>
      </c>
      <c r="AI24">
        <v>2.6043180000000001</v>
      </c>
      <c r="AJ24">
        <v>-1.035074</v>
      </c>
      <c r="AK24">
        <v>6.3578419999999998</v>
      </c>
      <c r="AL24">
        <v>4.3618240000000004</v>
      </c>
      <c r="AM24">
        <v>0.74193730000000002</v>
      </c>
      <c r="AN24">
        <v>6.0860919999999998</v>
      </c>
      <c r="AO24">
        <v>10.8194</v>
      </c>
      <c r="AP24">
        <v>-0.61618609999999996</v>
      </c>
      <c r="AQ24">
        <v>8.9634049999999998</v>
      </c>
      <c r="AR24">
        <v>4.2213399999999996</v>
      </c>
      <c r="AS24">
        <v>2.6602600000000001</v>
      </c>
      <c r="AT24">
        <v>8.7694399999999995</v>
      </c>
      <c r="AU24">
        <v>72.302000000000007</v>
      </c>
      <c r="AV24">
        <v>103.381</v>
      </c>
      <c r="AW24">
        <v>3.6305499999999999</v>
      </c>
      <c r="AX24" s="17">
        <v>1800000000</v>
      </c>
      <c r="AY24">
        <v>2.5649500000000001</v>
      </c>
      <c r="AZ24">
        <v>0.37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-1.96611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1.7599900000000002E-2</v>
      </c>
      <c r="CG24">
        <v>0.35355059999999999</v>
      </c>
      <c r="CH24">
        <v>9.8496E-2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-2.4966930000000001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0.124998</v>
      </c>
      <c r="DI24">
        <v>6.2334779999999999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0.1308137</v>
      </c>
      <c r="DW24">
        <v>-0.92377659999999995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13.81503</v>
      </c>
      <c r="EW24">
        <v>7.1004100000000001E-2</v>
      </c>
      <c r="EX24">
        <v>7.2286699999999995E-2</v>
      </c>
      <c r="EY24">
        <v>7.0413299999999998E-2</v>
      </c>
      <c r="EZ24">
        <v>7.1481000000000003E-2</v>
      </c>
      <c r="FA24">
        <v>7.0644100000000001E-2</v>
      </c>
      <c r="FB24">
        <v>7.2153400000000006E-2</v>
      </c>
      <c r="FC24">
        <v>7.2140499999999996E-2</v>
      </c>
      <c r="FD24">
        <v>7.1430300000000002E-2</v>
      </c>
      <c r="FE24">
        <v>7.1110900000000005E-2</v>
      </c>
      <c r="FF24">
        <v>7.0765099999999997E-2</v>
      </c>
      <c r="FG24">
        <v>7.1720599999999995E-2</v>
      </c>
      <c r="FH24">
        <v>7.2384900000000002E-2</v>
      </c>
      <c r="FI24">
        <v>7.0484000000000005E-2</v>
      </c>
      <c r="FJ24">
        <v>7.1981000000000003E-2</v>
      </c>
      <c r="FK24">
        <v>0.18157789999999999</v>
      </c>
      <c r="FL24">
        <v>3.29705E-2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-0.57834719999999995</v>
      </c>
      <c r="FZ24">
        <v>-1.3156410000000001</v>
      </c>
      <c r="GA24">
        <v>0.53926960000000002</v>
      </c>
      <c r="GB24">
        <v>-0.64543810000000001</v>
      </c>
      <c r="GC24">
        <v>-0.56576320000000002</v>
      </c>
      <c r="GD24">
        <v>-0.45407799999999998</v>
      </c>
      <c r="GE24">
        <v>-0.58174320000000002</v>
      </c>
      <c r="GF24">
        <v>-1.922547</v>
      </c>
      <c r="GG24">
        <v>3.9734800000000001E-2</v>
      </c>
      <c r="GH24">
        <v>-2.9205480000000001</v>
      </c>
      <c r="GI24">
        <v>8.5296000000000003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6.7183800000000002E-2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-1.080603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76.903019999999998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13</v>
      </c>
      <c r="OD24">
        <v>6434.55</v>
      </c>
      <c r="OE24">
        <v>0.14000000000000001</v>
      </c>
      <c r="OF24">
        <v>68.124499999999998</v>
      </c>
      <c r="OG24">
        <v>14.3</v>
      </c>
      <c r="OH24">
        <v>72.302000000000007</v>
      </c>
    </row>
    <row r="25" spans="1:398">
      <c r="A25">
        <v>3</v>
      </c>
      <c r="B25" t="s">
        <v>48</v>
      </c>
      <c r="C25" t="s">
        <v>47</v>
      </c>
      <c r="D25">
        <v>2011</v>
      </c>
      <c r="E25">
        <v>14.548</v>
      </c>
      <c r="F25">
        <v>0.32750000000000001</v>
      </c>
      <c r="G25">
        <v>553</v>
      </c>
      <c r="H25">
        <v>26.2</v>
      </c>
      <c r="I25">
        <v>82.3</v>
      </c>
      <c r="J25">
        <v>1.8</v>
      </c>
      <c r="K25">
        <v>1111.5</v>
      </c>
      <c r="L25">
        <v>0.6</v>
      </c>
      <c r="M25">
        <v>1.4</v>
      </c>
      <c r="N25">
        <v>49886</v>
      </c>
      <c r="O25">
        <v>1</v>
      </c>
      <c r="P25">
        <v>0.54</v>
      </c>
      <c r="Q25">
        <v>7243.7</v>
      </c>
      <c r="R25">
        <v>15</v>
      </c>
      <c r="S25">
        <v>0.17965800000000001</v>
      </c>
      <c r="T25">
        <v>-0.45369399999999999</v>
      </c>
      <c r="U25">
        <v>-1.3422270000000001</v>
      </c>
      <c r="V25">
        <v>0.35705039999999999</v>
      </c>
      <c r="W25">
        <v>-0.53883579999999998</v>
      </c>
      <c r="X25">
        <v>-0.1037299</v>
      </c>
      <c r="Y25">
        <v>-1.0333570000000001</v>
      </c>
      <c r="Z25">
        <v>-0.4780993</v>
      </c>
      <c r="AA25">
        <v>-0.19478780000000001</v>
      </c>
      <c r="AB25">
        <v>-0.45308130000000002</v>
      </c>
      <c r="AC25">
        <v>-0.4545825</v>
      </c>
      <c r="AD25">
        <v>-1.922547</v>
      </c>
      <c r="AE25">
        <v>-0.1474655</v>
      </c>
      <c r="AF25">
        <v>-1.2212810000000001</v>
      </c>
      <c r="AG25">
        <v>-0.58174320000000002</v>
      </c>
      <c r="AH25">
        <v>-2.384817</v>
      </c>
      <c r="AI25">
        <v>2.677454</v>
      </c>
      <c r="AJ25">
        <v>-1.1162669999999999</v>
      </c>
      <c r="AK25">
        <v>6.3153579999999998</v>
      </c>
      <c r="AL25">
        <v>4.4103709999999996</v>
      </c>
      <c r="AM25">
        <v>0.58778660000000005</v>
      </c>
      <c r="AN25">
        <v>7.0134660000000002</v>
      </c>
      <c r="AO25">
        <v>10.817500000000001</v>
      </c>
      <c r="AP25">
        <v>-0.61618609999999996</v>
      </c>
      <c r="AQ25">
        <v>8.8878880000000002</v>
      </c>
      <c r="AR25">
        <v>4.2149200000000002</v>
      </c>
      <c r="AS25">
        <v>2.5802200000000002</v>
      </c>
      <c r="AT25">
        <v>8.7965300000000006</v>
      </c>
      <c r="AU25">
        <v>72.638000000000005</v>
      </c>
      <c r="AV25">
        <v>117.41800000000001</v>
      </c>
      <c r="AW25">
        <v>3.64378</v>
      </c>
      <c r="AX25" s="17">
        <v>2100000000</v>
      </c>
      <c r="AY25">
        <v>2.67415</v>
      </c>
      <c r="AZ25">
        <v>0.36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-1.96611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1.8709799999999999E-2</v>
      </c>
      <c r="CG25">
        <v>0.35437839999999998</v>
      </c>
      <c r="CH25">
        <v>9.6493999999999996E-2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-2.5959460000000001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0.125584</v>
      </c>
      <c r="DI25">
        <v>6.7389359999999998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0.1275762</v>
      </c>
      <c r="DW25">
        <v>-0.93454060000000005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13.818619999999999</v>
      </c>
      <c r="EW25">
        <v>7.0945999999999995E-2</v>
      </c>
      <c r="EX25">
        <v>7.2311799999999996E-2</v>
      </c>
      <c r="EY25">
        <v>7.0550600000000005E-2</v>
      </c>
      <c r="EZ25">
        <v>7.1419999999999997E-2</v>
      </c>
      <c r="FA25">
        <v>7.0523699999999995E-2</v>
      </c>
      <c r="FB25">
        <v>7.2201299999999996E-2</v>
      </c>
      <c r="FC25">
        <v>7.18525E-2</v>
      </c>
      <c r="FD25">
        <v>7.1544099999999999E-2</v>
      </c>
      <c r="FE25">
        <v>7.1117600000000003E-2</v>
      </c>
      <c r="FF25">
        <v>7.0791499999999993E-2</v>
      </c>
      <c r="FG25">
        <v>7.1707900000000005E-2</v>
      </c>
      <c r="FH25">
        <v>7.2366100000000003E-2</v>
      </c>
      <c r="FI25">
        <v>7.0658899999999997E-2</v>
      </c>
      <c r="FJ25">
        <v>7.2008100000000005E-2</v>
      </c>
      <c r="FK25">
        <v>0.1784473</v>
      </c>
      <c r="FL25">
        <v>3.1843400000000001E-2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-0.45369399999999999</v>
      </c>
      <c r="FZ25">
        <v>-1.3422270000000001</v>
      </c>
      <c r="GA25">
        <v>0.35705039999999999</v>
      </c>
      <c r="GB25">
        <v>-0.1037299</v>
      </c>
      <c r="GC25">
        <v>-0.4780993</v>
      </c>
      <c r="GD25">
        <v>-0.4545825</v>
      </c>
      <c r="GE25">
        <v>-0.58174320000000002</v>
      </c>
      <c r="GF25">
        <v>-1.922547</v>
      </c>
      <c r="GG25">
        <v>-0.1474655</v>
      </c>
      <c r="GH25">
        <v>-3.1234000000000002</v>
      </c>
      <c r="GI25">
        <v>9.7556279999999997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6.4241000000000006E-2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-1.1244240000000001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77.379019999999997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14.5</v>
      </c>
      <c r="OD25">
        <v>6611.3</v>
      </c>
      <c r="OE25">
        <v>0.14000000000000001</v>
      </c>
      <c r="OF25">
        <v>67.689099999999996</v>
      </c>
      <c r="OG25">
        <v>13.2</v>
      </c>
      <c r="OH25">
        <v>72.638000000000005</v>
      </c>
    </row>
    <row r="26" spans="1:398">
      <c r="A26">
        <v>3</v>
      </c>
      <c r="B26" t="s">
        <v>48</v>
      </c>
      <c r="C26" t="s">
        <v>47</v>
      </c>
      <c r="D26">
        <v>2012</v>
      </c>
      <c r="E26">
        <v>14.429</v>
      </c>
      <c r="F26">
        <v>0.34329999999999999</v>
      </c>
      <c r="G26">
        <v>599</v>
      </c>
      <c r="H26">
        <v>25</v>
      </c>
      <c r="I26">
        <v>84</v>
      </c>
      <c r="J26">
        <v>1.8</v>
      </c>
      <c r="K26">
        <v>1490</v>
      </c>
      <c r="L26">
        <v>0.5</v>
      </c>
      <c r="M26">
        <v>1.4</v>
      </c>
      <c r="N26">
        <v>50643</v>
      </c>
      <c r="O26">
        <v>1.1666700000000001</v>
      </c>
      <c r="P26">
        <v>0.55000000000000004</v>
      </c>
      <c r="Q26">
        <v>7807.16</v>
      </c>
      <c r="R26">
        <v>15.2</v>
      </c>
      <c r="S26">
        <v>0.18684300000000001</v>
      </c>
      <c r="T26">
        <v>-0.46815180000000001</v>
      </c>
      <c r="U26">
        <v>-1.327062</v>
      </c>
      <c r="V26">
        <v>0.70630380000000004</v>
      </c>
      <c r="W26">
        <v>-0.6160833</v>
      </c>
      <c r="X26">
        <v>0.13239880000000001</v>
      </c>
      <c r="Y26">
        <v>-1.0333570000000001</v>
      </c>
      <c r="Z26">
        <v>-0.42870839999999999</v>
      </c>
      <c r="AA26">
        <v>-0.47292210000000001</v>
      </c>
      <c r="AB26">
        <v>-0.45308130000000002</v>
      </c>
      <c r="AC26">
        <v>-0.45056279999999999</v>
      </c>
      <c r="AD26">
        <v>-1.873543</v>
      </c>
      <c r="AE26">
        <v>3.8171799999999999E-2</v>
      </c>
      <c r="AF26">
        <v>-1.210745</v>
      </c>
      <c r="AG26">
        <v>-0.57306259999999998</v>
      </c>
      <c r="AH26">
        <v>-2.4126759999999998</v>
      </c>
      <c r="AI26">
        <v>2.6692399999999998</v>
      </c>
      <c r="AJ26">
        <v>-1.069151</v>
      </c>
      <c r="AK26">
        <v>6.3952619999999998</v>
      </c>
      <c r="AL26">
        <v>4.4308170000000002</v>
      </c>
      <c r="AM26">
        <v>0.58778660000000005</v>
      </c>
      <c r="AN26">
        <v>7.3065309999999997</v>
      </c>
      <c r="AO26">
        <v>10.832560000000001</v>
      </c>
      <c r="AP26">
        <v>-0.59783699999999995</v>
      </c>
      <c r="AQ26">
        <v>8.9627970000000001</v>
      </c>
      <c r="AR26">
        <v>4.20913</v>
      </c>
      <c r="AS26">
        <v>2.7472699999999999</v>
      </c>
      <c r="AT26">
        <v>8.8097899999999996</v>
      </c>
      <c r="AU26">
        <v>72.974999999999994</v>
      </c>
      <c r="AV26">
        <v>123.971</v>
      </c>
      <c r="AW26">
        <v>3.2937400000000001</v>
      </c>
      <c r="AX26" s="17">
        <v>1800000000</v>
      </c>
      <c r="AY26">
        <v>2.8332099999999998</v>
      </c>
      <c r="AZ26">
        <v>0.36</v>
      </c>
      <c r="BA26">
        <v>0.1541508</v>
      </c>
      <c r="BB26">
        <v>0.15415075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-1.8309599999999999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1.7386200000000001E-2</v>
      </c>
      <c r="CG26">
        <v>0.36345509999999998</v>
      </c>
      <c r="CH26">
        <v>0.101132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-2.5662229999999999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0.13209960000000001</v>
      </c>
      <c r="DI26">
        <v>6.5855009999999998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0.13084390000000001</v>
      </c>
      <c r="DW26">
        <v>-0.92384029999999995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13.816090000000001</v>
      </c>
      <c r="EW26">
        <v>7.0998800000000001E-2</v>
      </c>
      <c r="EX26">
        <v>7.2299500000000003E-2</v>
      </c>
      <c r="EY26">
        <v>7.0453500000000002E-2</v>
      </c>
      <c r="EZ26">
        <v>7.14838E-2</v>
      </c>
      <c r="FA26">
        <v>7.0531700000000003E-2</v>
      </c>
      <c r="FB26">
        <v>7.2214799999999996E-2</v>
      </c>
      <c r="FC26">
        <v>7.17386E-2</v>
      </c>
      <c r="FD26">
        <v>7.1693000000000007E-2</v>
      </c>
      <c r="FE26">
        <v>7.1154700000000001E-2</v>
      </c>
      <c r="FF26">
        <v>7.0828500000000003E-2</v>
      </c>
      <c r="FG26">
        <v>7.1706199999999998E-2</v>
      </c>
      <c r="FH26">
        <v>7.2292800000000004E-2</v>
      </c>
      <c r="FI26">
        <v>7.0591200000000007E-2</v>
      </c>
      <c r="FJ26">
        <v>7.2012999999999994E-2</v>
      </c>
      <c r="FK26">
        <v>0.1855144</v>
      </c>
      <c r="FL26">
        <v>3.4415599999999998E-2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-0.46815180000000001</v>
      </c>
      <c r="FZ26">
        <v>-1.327062</v>
      </c>
      <c r="GA26">
        <v>0.70630380000000004</v>
      </c>
      <c r="GB26">
        <v>0.13239880000000001</v>
      </c>
      <c r="GC26">
        <v>-0.42870839999999999</v>
      </c>
      <c r="GD26">
        <v>-0.45056279999999999</v>
      </c>
      <c r="GE26">
        <v>-0.57306259999999998</v>
      </c>
      <c r="GF26">
        <v>-1.873543</v>
      </c>
      <c r="GG26">
        <v>3.8171799999999999E-2</v>
      </c>
      <c r="GH26">
        <v>-3.156711</v>
      </c>
      <c r="GI26">
        <v>9.9648249999999994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6.6785200000000003E-2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-1.1364160000000001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77.612359999999995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17</v>
      </c>
      <c r="OD26">
        <v>6699.5</v>
      </c>
      <c r="OE26">
        <v>0</v>
      </c>
      <c r="OF26">
        <v>67.298199999999994</v>
      </c>
      <c r="OG26">
        <v>15.6</v>
      </c>
      <c r="OH26">
        <v>72.974999999999994</v>
      </c>
    </row>
    <row r="27" spans="1:398">
      <c r="A27">
        <v>3</v>
      </c>
      <c r="B27" t="s">
        <v>48</v>
      </c>
      <c r="C27" t="s">
        <v>47</v>
      </c>
      <c r="D27">
        <v>2013</v>
      </c>
      <c r="E27">
        <v>15.289</v>
      </c>
      <c r="F27">
        <v>0.35360000000000003</v>
      </c>
      <c r="G27">
        <v>598</v>
      </c>
      <c r="H27">
        <v>28.5</v>
      </c>
      <c r="I27">
        <v>83.5</v>
      </c>
      <c r="J27">
        <v>2.5</v>
      </c>
      <c r="K27">
        <v>780.6</v>
      </c>
      <c r="L27">
        <v>0.4</v>
      </c>
      <c r="M27">
        <v>1.4</v>
      </c>
      <c r="N27">
        <v>49110</v>
      </c>
      <c r="O27">
        <v>1.3333299999999999</v>
      </c>
      <c r="P27">
        <v>0.56000000000000005</v>
      </c>
      <c r="Q27">
        <v>8344.75</v>
      </c>
      <c r="R27">
        <v>15.7</v>
      </c>
      <c r="S27">
        <v>0.19231000000000001</v>
      </c>
      <c r="T27">
        <v>-0.36366670000000001</v>
      </c>
      <c r="U27">
        <v>-1.317177</v>
      </c>
      <c r="V27">
        <v>0.69871130000000004</v>
      </c>
      <c r="W27">
        <v>-0.39077810000000002</v>
      </c>
      <c r="X27">
        <v>6.2949099999999994E-2</v>
      </c>
      <c r="Y27">
        <v>-0.92126509999999995</v>
      </c>
      <c r="Z27">
        <v>-0.52127880000000004</v>
      </c>
      <c r="AA27">
        <v>-0.75105639999999996</v>
      </c>
      <c r="AB27">
        <v>-0.45308130000000002</v>
      </c>
      <c r="AC27">
        <v>-0.45870300000000003</v>
      </c>
      <c r="AD27">
        <v>-1.8245389999999999</v>
      </c>
      <c r="AE27">
        <v>0.21528359999999999</v>
      </c>
      <c r="AF27">
        <v>-1.1844060000000001</v>
      </c>
      <c r="AG27">
        <v>-0.5643821</v>
      </c>
      <c r="AH27">
        <v>-2.3493490000000001</v>
      </c>
      <c r="AI27">
        <v>2.7271339999999999</v>
      </c>
      <c r="AJ27">
        <v>-1.0395890000000001</v>
      </c>
      <c r="AK27">
        <v>6.3935909999999998</v>
      </c>
      <c r="AL27">
        <v>4.4248469999999998</v>
      </c>
      <c r="AM27">
        <v>0.91629079999999996</v>
      </c>
      <c r="AN27">
        <v>6.6600630000000001</v>
      </c>
      <c r="AO27">
        <v>10.801819999999999</v>
      </c>
      <c r="AP27">
        <v>-0.57981850000000001</v>
      </c>
      <c r="AQ27">
        <v>9.0293869999999998</v>
      </c>
      <c r="AR27">
        <v>4.2035400000000003</v>
      </c>
      <c r="AS27">
        <v>2.9014199999999999</v>
      </c>
      <c r="AT27">
        <v>8.8099399999999992</v>
      </c>
      <c r="AU27">
        <v>73.313000000000002</v>
      </c>
      <c r="AV27">
        <v>129.68899999999999</v>
      </c>
      <c r="AW27">
        <v>3.5612599999999999</v>
      </c>
      <c r="AX27" s="17">
        <v>2000000000</v>
      </c>
      <c r="AY27">
        <v>2.8332099999999998</v>
      </c>
      <c r="AZ27">
        <v>0.37</v>
      </c>
      <c r="BA27">
        <v>0.28768199999999999</v>
      </c>
      <c r="BB27">
        <v>0.28768202999999998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-1.6958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1.9893999999999998E-2</v>
      </c>
      <c r="CG27">
        <v>0.36885849999999998</v>
      </c>
      <c r="CH27">
        <v>0.101378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-2.5206689999999998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0.1360566</v>
      </c>
      <c r="DI27">
        <v>6.3537710000000001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0.1364776</v>
      </c>
      <c r="DW27">
        <v>-0.93264749999999996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13.81869</v>
      </c>
      <c r="EW27">
        <v>7.0960499999999996E-2</v>
      </c>
      <c r="EX27">
        <v>7.2270200000000007E-2</v>
      </c>
      <c r="EY27">
        <v>7.0506399999999997E-2</v>
      </c>
      <c r="EZ27">
        <v>7.1375300000000003E-2</v>
      </c>
      <c r="FA27">
        <v>7.0593299999999998E-2</v>
      </c>
      <c r="FB27">
        <v>7.2055099999999997E-2</v>
      </c>
      <c r="FC27">
        <v>7.1983699999999998E-2</v>
      </c>
      <c r="FD27">
        <v>7.1821399999999994E-2</v>
      </c>
      <c r="FE27">
        <v>7.1164400000000003E-2</v>
      </c>
      <c r="FF27">
        <v>7.0886299999999999E-2</v>
      </c>
      <c r="FG27">
        <v>7.1678599999999995E-2</v>
      </c>
      <c r="FH27">
        <v>7.2210300000000005E-2</v>
      </c>
      <c r="FI27">
        <v>7.0517700000000003E-2</v>
      </c>
      <c r="FJ27">
        <v>7.1976999999999999E-2</v>
      </c>
      <c r="FK27">
        <v>0.19096369999999999</v>
      </c>
      <c r="FL27">
        <v>3.6467100000000002E-2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-0.36366670000000001</v>
      </c>
      <c r="FZ27">
        <v>-1.317177</v>
      </c>
      <c r="GA27">
        <v>0.69871130000000004</v>
      </c>
      <c r="GB27">
        <v>6.2949099999999994E-2</v>
      </c>
      <c r="GC27">
        <v>-0.52127880000000004</v>
      </c>
      <c r="GD27">
        <v>-0.45870300000000003</v>
      </c>
      <c r="GE27">
        <v>-0.5643821</v>
      </c>
      <c r="GF27">
        <v>-1.8245389999999999</v>
      </c>
      <c r="GG27">
        <v>0.21528359999999999</v>
      </c>
      <c r="GH27">
        <v>-3.0715210000000002</v>
      </c>
      <c r="GI27">
        <v>9.4342380000000006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7.06566E-2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-1.136463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77.615099999999998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17</v>
      </c>
      <c r="OD27">
        <v>6700.54</v>
      </c>
      <c r="OE27">
        <v>0</v>
      </c>
      <c r="OF27">
        <v>66.922600000000003</v>
      </c>
      <c r="OG27">
        <v>18.2</v>
      </c>
      <c r="OH27">
        <v>73.313000000000002</v>
      </c>
    </row>
    <row r="28" spans="1:398">
      <c r="A28">
        <v>3</v>
      </c>
      <c r="B28" t="s">
        <v>48</v>
      </c>
      <c r="C28" t="s">
        <v>47</v>
      </c>
      <c r="D28">
        <v>2014</v>
      </c>
      <c r="E28">
        <v>16.567</v>
      </c>
      <c r="F28">
        <v>0.32569999999999999</v>
      </c>
      <c r="G28">
        <v>554</v>
      </c>
      <c r="H28">
        <v>23.1</v>
      </c>
      <c r="I28">
        <v>84.9</v>
      </c>
      <c r="J28">
        <v>2.7</v>
      </c>
      <c r="K28">
        <v>1120.4000000000001</v>
      </c>
      <c r="L28">
        <v>0.6</v>
      </c>
      <c r="M28">
        <v>1.5</v>
      </c>
      <c r="N28">
        <v>48335</v>
      </c>
      <c r="O28">
        <v>1.5</v>
      </c>
      <c r="P28">
        <v>0.56999999999999995</v>
      </c>
      <c r="Q28">
        <v>8137.83</v>
      </c>
      <c r="R28">
        <v>14.5</v>
      </c>
      <c r="S28">
        <v>0.19200700000000001</v>
      </c>
      <c r="T28">
        <v>-0.2083969</v>
      </c>
      <c r="U28">
        <v>-1.3439540000000001</v>
      </c>
      <c r="V28">
        <v>0.36464289999999999</v>
      </c>
      <c r="W28">
        <v>-0.73839180000000004</v>
      </c>
      <c r="X28">
        <v>0.25740859999999999</v>
      </c>
      <c r="Y28">
        <v>-0.88923890000000005</v>
      </c>
      <c r="Z28">
        <v>-0.47693790000000003</v>
      </c>
      <c r="AA28">
        <v>-0.19478770000000001</v>
      </c>
      <c r="AB28">
        <v>-0.32115470000000002</v>
      </c>
      <c r="AC28">
        <v>-0.46281820000000001</v>
      </c>
      <c r="AD28">
        <v>-1.7755350000000001</v>
      </c>
      <c r="AE28">
        <v>0.14711389999999999</v>
      </c>
      <c r="AF28">
        <v>-1.24762</v>
      </c>
      <c r="AG28">
        <v>-0.55570160000000002</v>
      </c>
      <c r="AH28">
        <v>-2.4080870000000001</v>
      </c>
      <c r="AI28">
        <v>2.8074129999999999</v>
      </c>
      <c r="AJ28">
        <v>-1.1217779999999999</v>
      </c>
      <c r="AK28">
        <v>6.3171650000000001</v>
      </c>
      <c r="AL28">
        <v>4.4414740000000004</v>
      </c>
      <c r="AM28">
        <v>0.99325180000000002</v>
      </c>
      <c r="AN28">
        <v>7.0214410000000003</v>
      </c>
      <c r="AO28">
        <v>10.785909999999999</v>
      </c>
      <c r="AP28">
        <v>-0.56211889999999998</v>
      </c>
      <c r="AQ28">
        <v>9.0042790000000004</v>
      </c>
      <c r="AR28">
        <v>4.1978499999999999</v>
      </c>
      <c r="AS28">
        <v>2.83908</v>
      </c>
      <c r="AT28">
        <v>8.8250799999999998</v>
      </c>
      <c r="AU28">
        <v>73.650999999999996</v>
      </c>
      <c r="AV28">
        <v>130.24799999999999</v>
      </c>
      <c r="AW28">
        <v>1.9133</v>
      </c>
      <c r="AX28" s="17">
        <v>1100000000</v>
      </c>
      <c r="AY28">
        <v>2.83908</v>
      </c>
      <c r="AZ28">
        <v>0.35</v>
      </c>
      <c r="BA28">
        <v>0.40546510000000002</v>
      </c>
      <c r="BB28">
        <v>0.40546510000000002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-1.5606500000000001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1.52549E-2</v>
      </c>
      <c r="CG28">
        <v>0.3712666</v>
      </c>
      <c r="CH28">
        <v>0.103254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-2.5557789999999998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0.13783889999999999</v>
      </c>
      <c r="DI28">
        <v>6.5320049999999998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0.12994330000000001</v>
      </c>
      <c r="DW28">
        <v>-0.8945225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13.81925</v>
      </c>
      <c r="EW28">
        <v>7.0911199999999994E-2</v>
      </c>
      <c r="EX28">
        <v>7.2311600000000004E-2</v>
      </c>
      <c r="EY28">
        <v>7.0712200000000003E-2</v>
      </c>
      <c r="EZ28">
        <v>7.1551900000000002E-2</v>
      </c>
      <c r="FA28">
        <v>7.0594799999999999E-2</v>
      </c>
      <c r="FB28">
        <v>7.2015300000000004E-2</v>
      </c>
      <c r="FC28">
        <v>7.1856299999999998E-2</v>
      </c>
      <c r="FD28">
        <v>7.1563399999999999E-2</v>
      </c>
      <c r="FE28">
        <v>7.1092600000000006E-2</v>
      </c>
      <c r="FF28">
        <v>7.09346E-2</v>
      </c>
      <c r="FG28">
        <v>7.1662299999999998E-2</v>
      </c>
      <c r="FH28">
        <v>7.2145299999999996E-2</v>
      </c>
      <c r="FI28">
        <v>7.0614099999999999E-2</v>
      </c>
      <c r="FJ28">
        <v>7.2034500000000001E-2</v>
      </c>
      <c r="FK28">
        <v>0.190862</v>
      </c>
      <c r="FL28">
        <v>3.6428299999999997E-2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-0.2083969</v>
      </c>
      <c r="FZ28">
        <v>-1.3439540000000001</v>
      </c>
      <c r="GA28">
        <v>0.36464289999999999</v>
      </c>
      <c r="GB28">
        <v>0.25740859999999999</v>
      </c>
      <c r="GC28">
        <v>-0.47693790000000003</v>
      </c>
      <c r="GD28">
        <v>-0.46281820000000001</v>
      </c>
      <c r="GE28">
        <v>-0.55570160000000002</v>
      </c>
      <c r="GF28">
        <v>-1.7755350000000001</v>
      </c>
      <c r="GG28">
        <v>0.14711389999999999</v>
      </c>
      <c r="GH28">
        <v>-3.154671</v>
      </c>
      <c r="GI28">
        <v>9.9519520000000004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6.6801700000000006E-2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-1.1041350000000001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77.881969999999995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17.100000000000001</v>
      </c>
      <c r="OD28">
        <v>6802.71</v>
      </c>
      <c r="OE28">
        <v>0.21</v>
      </c>
      <c r="OF28">
        <v>66.543300000000002</v>
      </c>
      <c r="OG28">
        <v>17.100000000000001</v>
      </c>
      <c r="OH28">
        <v>73.650999999999996</v>
      </c>
    </row>
    <row r="29" spans="1:398">
      <c r="A29">
        <v>3</v>
      </c>
      <c r="B29" t="s">
        <v>48</v>
      </c>
      <c r="C29" t="s">
        <v>47</v>
      </c>
      <c r="D29">
        <v>2015</v>
      </c>
      <c r="E29">
        <v>17.585999999999999</v>
      </c>
      <c r="F29">
        <v>0.29949999999999999</v>
      </c>
      <c r="G29">
        <v>508</v>
      </c>
      <c r="H29">
        <v>29.4</v>
      </c>
      <c r="I29">
        <v>85.6</v>
      </c>
      <c r="J29">
        <v>3.1</v>
      </c>
      <c r="K29">
        <v>1763.9</v>
      </c>
      <c r="L29">
        <v>0.7</v>
      </c>
      <c r="M29">
        <v>1.6</v>
      </c>
      <c r="N29">
        <v>48132</v>
      </c>
      <c r="O29">
        <v>0.5</v>
      </c>
      <c r="P29">
        <v>0.61</v>
      </c>
      <c r="Q29">
        <v>8492.9</v>
      </c>
      <c r="R29">
        <v>14.1</v>
      </c>
      <c r="S29">
        <v>0.20591300000000001</v>
      </c>
      <c r="T29">
        <v>-8.4594000000000003E-2</v>
      </c>
      <c r="U29">
        <v>-1.3690990000000001</v>
      </c>
      <c r="V29">
        <v>1.5389399999999999E-2</v>
      </c>
      <c r="W29">
        <v>-0.33284259999999999</v>
      </c>
      <c r="X29">
        <v>0.3546378</v>
      </c>
      <c r="Y29">
        <v>-0.82518650000000004</v>
      </c>
      <c r="Z29">
        <v>-0.39296690000000001</v>
      </c>
      <c r="AA29">
        <v>8.3346600000000007E-2</v>
      </c>
      <c r="AB29">
        <v>-0.18922800000000001</v>
      </c>
      <c r="AC29">
        <v>-0.46389619999999998</v>
      </c>
      <c r="AD29">
        <v>-1.579518</v>
      </c>
      <c r="AE29">
        <v>0.26409440000000001</v>
      </c>
      <c r="AF29">
        <v>-1.268691</v>
      </c>
      <c r="AG29">
        <v>-0.60778480000000001</v>
      </c>
      <c r="AH29">
        <v>-2.1847279999999998</v>
      </c>
      <c r="AI29">
        <v>2.8671030000000002</v>
      </c>
      <c r="AJ29">
        <v>-1.205641</v>
      </c>
      <c r="AK29">
        <v>6.2304820000000003</v>
      </c>
      <c r="AL29">
        <v>4.4496849999999997</v>
      </c>
      <c r="AM29">
        <v>1.131402</v>
      </c>
      <c r="AN29">
        <v>7.4752830000000001</v>
      </c>
      <c r="AO29">
        <v>10.781700000000001</v>
      </c>
      <c r="AP29">
        <v>-0.49429630000000002</v>
      </c>
      <c r="AQ29">
        <v>9.0469860000000004</v>
      </c>
      <c r="AR29">
        <v>4.1914699999999998</v>
      </c>
      <c r="AS29">
        <v>2.8847999999999998</v>
      </c>
      <c r="AT29">
        <v>8.8648699999999998</v>
      </c>
      <c r="AU29">
        <v>73.989999999999995</v>
      </c>
      <c r="AV29">
        <v>126.73699999999999</v>
      </c>
      <c r="AW29">
        <v>4.3717800000000002</v>
      </c>
      <c r="AX29" s="17">
        <v>2200000000</v>
      </c>
      <c r="AY29">
        <v>2.8847999999999998</v>
      </c>
      <c r="AZ29">
        <v>0.36</v>
      </c>
      <c r="BA29">
        <v>-0.69314719999999996</v>
      </c>
      <c r="BB29">
        <v>-0.69314717999999997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-2.6592600000000002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1.9908700000000001E-2</v>
      </c>
      <c r="CG29">
        <v>0.38482480000000002</v>
      </c>
      <c r="CH29">
        <v>0.113118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-2.4594390000000002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0.1480901</v>
      </c>
      <c r="DI29">
        <v>6.0488379999999999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0.13853689999999999</v>
      </c>
      <c r="DW29">
        <v>-0.88539789999999996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13.81363</v>
      </c>
      <c r="EW29">
        <v>7.0914699999999997E-2</v>
      </c>
      <c r="EX29">
        <v>7.2392300000000007E-2</v>
      </c>
      <c r="EY29">
        <v>7.0952100000000004E-2</v>
      </c>
      <c r="EZ29">
        <v>7.1400900000000003E-2</v>
      </c>
      <c r="FA29">
        <v>7.0652400000000004E-2</v>
      </c>
      <c r="FB29">
        <v>7.1973899999999993E-2</v>
      </c>
      <c r="FC29">
        <v>7.1677199999999996E-2</v>
      </c>
      <c r="FD29">
        <v>7.1486400000000005E-2</v>
      </c>
      <c r="FE29">
        <v>7.1060799999999993E-2</v>
      </c>
      <c r="FF29">
        <v>7.0999999999999994E-2</v>
      </c>
      <c r="FG29">
        <v>7.1820200000000001E-2</v>
      </c>
      <c r="FH29">
        <v>7.19606E-2</v>
      </c>
      <c r="FI29">
        <v>7.06233E-2</v>
      </c>
      <c r="FJ29">
        <v>7.2085200000000002E-2</v>
      </c>
      <c r="FK29">
        <v>0.20487250000000001</v>
      </c>
      <c r="FL29">
        <v>4.1972799999999998E-2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-8.4594000000000003E-2</v>
      </c>
      <c r="FZ29">
        <v>-1.3690990000000001</v>
      </c>
      <c r="GA29">
        <v>1.5389399999999999E-2</v>
      </c>
      <c r="GB29">
        <v>0.3546378</v>
      </c>
      <c r="GC29">
        <v>-0.39296690000000001</v>
      </c>
      <c r="GD29">
        <v>-0.46389619999999998</v>
      </c>
      <c r="GE29">
        <v>-0.60778480000000001</v>
      </c>
      <c r="GF29">
        <v>-1.579518</v>
      </c>
      <c r="GG29">
        <v>0.26409440000000001</v>
      </c>
      <c r="GH29">
        <v>-2.839035</v>
      </c>
      <c r="GI29">
        <v>8.0601199999999995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7.3754100000000003E-2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-1.0220530000000001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78.585880000000003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17.899999999999999</v>
      </c>
      <c r="OD29">
        <v>7078.86</v>
      </c>
      <c r="OE29">
        <v>7.0000000000000007E-2</v>
      </c>
      <c r="OF29">
        <v>66.12</v>
      </c>
      <c r="OG29">
        <v>17.899999999999999</v>
      </c>
      <c r="OH29">
        <v>73.989999999999995</v>
      </c>
    </row>
    <row r="30" spans="1:398">
      <c r="A30">
        <v>3</v>
      </c>
      <c r="B30" t="s">
        <v>48</v>
      </c>
      <c r="C30" t="s">
        <v>47</v>
      </c>
      <c r="D30">
        <v>2016</v>
      </c>
      <c r="E30">
        <v>17.524000000000001</v>
      </c>
      <c r="F30">
        <v>0.3498</v>
      </c>
      <c r="G30">
        <v>460</v>
      </c>
      <c r="H30">
        <v>31.8</v>
      </c>
      <c r="I30">
        <v>81.5</v>
      </c>
      <c r="J30">
        <v>4.3</v>
      </c>
      <c r="K30">
        <v>2970.3</v>
      </c>
      <c r="L30">
        <v>0.6</v>
      </c>
      <c r="M30">
        <v>1.5</v>
      </c>
      <c r="N30">
        <v>51013</v>
      </c>
      <c r="O30">
        <v>0.33</v>
      </c>
      <c r="P30">
        <v>0.61</v>
      </c>
      <c r="Q30">
        <v>7944.98</v>
      </c>
      <c r="R30">
        <v>16.100000000000001</v>
      </c>
      <c r="S30">
        <v>0.19885700000000001</v>
      </c>
      <c r="T30">
        <v>-9.2126700000000006E-2</v>
      </c>
      <c r="U30">
        <v>-1.320824</v>
      </c>
      <c r="V30">
        <v>-0.3490489</v>
      </c>
      <c r="W30">
        <v>-0.1783476</v>
      </c>
      <c r="X30">
        <v>-0.21484990000000001</v>
      </c>
      <c r="Y30">
        <v>-0.63302930000000002</v>
      </c>
      <c r="Z30">
        <v>-0.23554240000000001</v>
      </c>
      <c r="AA30">
        <v>-0.19478770000000001</v>
      </c>
      <c r="AB30">
        <v>-0.32115470000000002</v>
      </c>
      <c r="AC30">
        <v>-0.4485981</v>
      </c>
      <c r="AD30">
        <v>-1.579518</v>
      </c>
      <c r="AE30">
        <v>8.3576899999999996E-2</v>
      </c>
      <c r="AF30">
        <v>-1.163335</v>
      </c>
      <c r="AG30">
        <v>-0.61663889999999999</v>
      </c>
      <c r="AH30">
        <v>-1.9993160000000001</v>
      </c>
      <c r="AI30">
        <v>2.8635709999999999</v>
      </c>
      <c r="AJ30">
        <v>-1.050394</v>
      </c>
      <c r="AK30">
        <v>6.131227</v>
      </c>
      <c r="AL30">
        <v>4.4006030000000003</v>
      </c>
      <c r="AM30">
        <v>1.458615</v>
      </c>
      <c r="AN30">
        <v>7.9964180000000002</v>
      </c>
      <c r="AO30">
        <v>10.839840000000001</v>
      </c>
      <c r="AP30">
        <v>-0.49429630000000002</v>
      </c>
      <c r="AQ30">
        <v>8.9802959999999992</v>
      </c>
      <c r="AR30">
        <v>4.1844599999999996</v>
      </c>
      <c r="AS30">
        <v>2.8735599999999999</v>
      </c>
      <c r="AT30">
        <v>8.9016999999999999</v>
      </c>
      <c r="AU30">
        <v>74.328999999999994</v>
      </c>
      <c r="AV30">
        <v>122.806</v>
      </c>
      <c r="AW30">
        <v>2.7581799999999999</v>
      </c>
      <c r="AX30" s="17">
        <v>1500000000</v>
      </c>
      <c r="AY30">
        <v>2.84491</v>
      </c>
      <c r="AZ30">
        <v>0.37</v>
      </c>
      <c r="BA30">
        <v>-1.108663</v>
      </c>
      <c r="BB30">
        <v>-1.1086625999999999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-2.99573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2.1332299999999998E-2</v>
      </c>
      <c r="CG30">
        <v>0.38158989999999998</v>
      </c>
      <c r="CH30">
        <v>0.119689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-2.2474310000000002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0.14561089999999999</v>
      </c>
      <c r="DI30">
        <v>5.0509459999999997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0.14118829999999999</v>
      </c>
      <c r="DW30">
        <v>-0.83154950000000005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13.814769999999999</v>
      </c>
      <c r="EW30">
        <v>7.0947200000000002E-2</v>
      </c>
      <c r="EX30">
        <v>7.2296600000000003E-2</v>
      </c>
      <c r="EY30">
        <v>7.11648E-2</v>
      </c>
      <c r="EZ30">
        <v>7.1342799999999998E-2</v>
      </c>
      <c r="FA30">
        <v>7.0832300000000001E-2</v>
      </c>
      <c r="FB30">
        <v>7.17753E-2</v>
      </c>
      <c r="FC30">
        <v>7.1343400000000001E-2</v>
      </c>
      <c r="FD30">
        <v>7.1606199999999995E-2</v>
      </c>
      <c r="FE30">
        <v>7.1166999999999994E-2</v>
      </c>
      <c r="FF30">
        <v>7.0967299999999997E-2</v>
      </c>
      <c r="FG30">
        <v>7.1840200000000007E-2</v>
      </c>
      <c r="FH30">
        <v>7.1957099999999996E-2</v>
      </c>
      <c r="FI30">
        <v>7.0776400000000003E-2</v>
      </c>
      <c r="FJ30">
        <v>7.19833E-2</v>
      </c>
      <c r="FK30">
        <v>0.19817889999999999</v>
      </c>
      <c r="FL30">
        <v>3.9274900000000001E-2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-9.2126700000000006E-2</v>
      </c>
      <c r="FZ30">
        <v>-1.320824</v>
      </c>
      <c r="GA30">
        <v>-0.3490489</v>
      </c>
      <c r="GB30">
        <v>-0.21484990000000001</v>
      </c>
      <c r="GC30">
        <v>-0.23554240000000001</v>
      </c>
      <c r="GD30">
        <v>-0.4485981</v>
      </c>
      <c r="GE30">
        <v>-0.61663889999999999</v>
      </c>
      <c r="GF30">
        <v>-1.579518</v>
      </c>
      <c r="GG30">
        <v>8.3576899999999996E-2</v>
      </c>
      <c r="GH30">
        <v>-2.600654</v>
      </c>
      <c r="GI30">
        <v>6.763401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7.3326199999999994E-2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-0.96224189999999998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79.240250000000003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17.2</v>
      </c>
      <c r="OD30">
        <v>7344.44</v>
      </c>
      <c r="OE30">
        <v>0.05</v>
      </c>
      <c r="OF30">
        <v>65.657899999999998</v>
      </c>
      <c r="OG30">
        <v>17.7</v>
      </c>
      <c r="OH30">
        <v>74.328999999999994</v>
      </c>
    </row>
    <row r="31" spans="1:398">
      <c r="A31">
        <v>3</v>
      </c>
      <c r="B31" t="s">
        <v>48</v>
      </c>
      <c r="C31" t="s">
        <v>47</v>
      </c>
      <c r="D31">
        <v>2017</v>
      </c>
      <c r="E31">
        <v>17.308</v>
      </c>
      <c r="F31">
        <v>0.3483</v>
      </c>
      <c r="G31">
        <v>438</v>
      </c>
      <c r="H31">
        <v>34.6</v>
      </c>
      <c r="I31">
        <v>83.7</v>
      </c>
      <c r="J31">
        <v>3.4</v>
      </c>
      <c r="K31">
        <v>2539.8000000000002</v>
      </c>
      <c r="L31">
        <v>0.7</v>
      </c>
      <c r="M31">
        <v>1.7</v>
      </c>
      <c r="N31">
        <v>51855</v>
      </c>
      <c r="O31">
        <v>0.22</v>
      </c>
      <c r="P31">
        <v>0.62</v>
      </c>
      <c r="Q31">
        <v>7863.52</v>
      </c>
      <c r="R31">
        <v>16.8</v>
      </c>
      <c r="S31">
        <v>0.20511099999999999</v>
      </c>
      <c r="T31">
        <v>-0.1183694</v>
      </c>
      <c r="U31">
        <v>-1.3222640000000001</v>
      </c>
      <c r="V31">
        <v>-0.51608310000000002</v>
      </c>
      <c r="W31">
        <v>1.8963999999999999E-3</v>
      </c>
      <c r="X31">
        <v>9.0728500000000004E-2</v>
      </c>
      <c r="Y31">
        <v>-0.77714720000000004</v>
      </c>
      <c r="Z31">
        <v>-0.2917188</v>
      </c>
      <c r="AA31">
        <v>8.3346600000000007E-2</v>
      </c>
      <c r="AB31">
        <v>-5.7301400000000002E-2</v>
      </c>
      <c r="AC31">
        <v>-0.4441271</v>
      </c>
      <c r="AD31">
        <v>-1.5305139999999999</v>
      </c>
      <c r="AE31">
        <v>5.67403E-2</v>
      </c>
      <c r="AF31">
        <v>-1.12646</v>
      </c>
      <c r="AG31">
        <v>-0.62236809999999998</v>
      </c>
      <c r="AH31">
        <v>-1.974054</v>
      </c>
      <c r="AI31">
        <v>2.8511690000000001</v>
      </c>
      <c r="AJ31">
        <v>-1.054691</v>
      </c>
      <c r="AK31">
        <v>6.0822190000000003</v>
      </c>
      <c r="AL31">
        <v>4.4272390000000001</v>
      </c>
      <c r="AM31">
        <v>1.223776</v>
      </c>
      <c r="AN31">
        <v>7.8398399999999997</v>
      </c>
      <c r="AO31">
        <v>10.856210000000001</v>
      </c>
      <c r="AP31">
        <v>-0.47803580000000001</v>
      </c>
      <c r="AQ31">
        <v>8.9699899999999992</v>
      </c>
      <c r="AR31">
        <v>4.1771500000000001</v>
      </c>
      <c r="AS31">
        <v>2.83908</v>
      </c>
      <c r="AT31">
        <v>8.9360900000000001</v>
      </c>
      <c r="AU31">
        <v>74.668999999999997</v>
      </c>
      <c r="AV31">
        <v>129.63399999999999</v>
      </c>
      <c r="AW31">
        <v>3.38442</v>
      </c>
      <c r="AX31" s="17">
        <v>2000000000</v>
      </c>
      <c r="AY31">
        <v>2.8847999999999998</v>
      </c>
      <c r="AZ31">
        <v>0.37</v>
      </c>
      <c r="BA31">
        <v>-1.5141279999999999</v>
      </c>
      <c r="BB31">
        <v>-1.5141277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-3.5065599999999999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2.2949600000000001E-2</v>
      </c>
      <c r="CG31">
        <v>0.38652910000000001</v>
      </c>
      <c r="CH31">
        <v>0.11894299999999999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-2.2665350000000002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0.1494047</v>
      </c>
      <c r="DI31">
        <v>5.137181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0.1430158</v>
      </c>
      <c r="DW31">
        <v>-0.83861799999999997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13.816369999999999</v>
      </c>
      <c r="EW31">
        <v>7.0983900000000003E-2</v>
      </c>
      <c r="EX31">
        <v>7.2290599999999997E-2</v>
      </c>
      <c r="EY31">
        <v>7.1269100000000002E-2</v>
      </c>
      <c r="EZ31">
        <v>7.1276800000000001E-2</v>
      </c>
      <c r="FA31">
        <v>7.0790699999999998E-2</v>
      </c>
      <c r="FB31">
        <v>7.1914400000000003E-2</v>
      </c>
      <c r="FC31">
        <v>7.1462499999999998E-2</v>
      </c>
      <c r="FD31">
        <v>7.1493699999999993E-2</v>
      </c>
      <c r="FE31">
        <v>7.1018800000000007E-2</v>
      </c>
      <c r="FF31">
        <v>7.0974800000000005E-2</v>
      </c>
      <c r="FG31">
        <v>7.1849899999999994E-2</v>
      </c>
      <c r="FH31">
        <v>7.1903400000000006E-2</v>
      </c>
      <c r="FI31">
        <v>7.0826399999999998E-2</v>
      </c>
      <c r="FJ31">
        <v>7.1944999999999995E-2</v>
      </c>
      <c r="FK31">
        <v>0.2043864</v>
      </c>
      <c r="FL31">
        <v>4.17738E-2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-0.1183694</v>
      </c>
      <c r="FZ31">
        <v>-1.3222640000000001</v>
      </c>
      <c r="GA31">
        <v>-0.51608310000000002</v>
      </c>
      <c r="GB31">
        <v>9.0728500000000004E-2</v>
      </c>
      <c r="GC31">
        <v>-0.2917188</v>
      </c>
      <c r="GD31">
        <v>-0.4441271</v>
      </c>
      <c r="GE31">
        <v>-0.62236809999999998</v>
      </c>
      <c r="GF31">
        <v>-1.5305139999999999</v>
      </c>
      <c r="GG31">
        <v>5.67403E-2</v>
      </c>
      <c r="GH31">
        <v>-2.5797680000000001</v>
      </c>
      <c r="GI31">
        <v>6.6552049999999996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7.5622999999999996E-2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-0.95451430000000004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79.853769999999997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17.899999999999999</v>
      </c>
      <c r="OD31">
        <v>7601.44</v>
      </c>
      <c r="OE31">
        <v>0.03</v>
      </c>
      <c r="OF31">
        <v>65.180099999999996</v>
      </c>
      <c r="OG31">
        <v>17.100000000000001</v>
      </c>
      <c r="OH31">
        <v>74.668999999999997</v>
      </c>
    </row>
    <row r="32" spans="1:398">
      <c r="A32">
        <v>3</v>
      </c>
      <c r="B32" t="s">
        <v>48</v>
      </c>
      <c r="C32" t="s">
        <v>47</v>
      </c>
      <c r="D32">
        <v>2018</v>
      </c>
      <c r="E32">
        <v>19.405999999999999</v>
      </c>
      <c r="F32">
        <v>0.34870000000000001</v>
      </c>
      <c r="G32">
        <v>451</v>
      </c>
      <c r="H32">
        <v>31.5</v>
      </c>
      <c r="I32">
        <v>81</v>
      </c>
      <c r="J32">
        <v>2.4</v>
      </c>
      <c r="K32">
        <v>2798.1</v>
      </c>
      <c r="L32">
        <v>0.7</v>
      </c>
      <c r="M32">
        <v>1.6</v>
      </c>
      <c r="N32">
        <v>52418</v>
      </c>
      <c r="O32">
        <v>0.5</v>
      </c>
      <c r="P32">
        <v>0.64</v>
      </c>
      <c r="Q32">
        <v>6967.88</v>
      </c>
      <c r="R32">
        <v>15.7</v>
      </c>
      <c r="S32">
        <v>0.19627</v>
      </c>
      <c r="T32">
        <v>0.1365258</v>
      </c>
      <c r="U32">
        <v>-1.3218799999999999</v>
      </c>
      <c r="V32">
        <v>-0.4173811</v>
      </c>
      <c r="W32">
        <v>-0.19765949999999999</v>
      </c>
      <c r="X32">
        <v>-0.28429959999999999</v>
      </c>
      <c r="Y32">
        <v>-0.93727819999999995</v>
      </c>
      <c r="Z32">
        <v>-0.25801289999999999</v>
      </c>
      <c r="AA32">
        <v>8.3346600000000007E-2</v>
      </c>
      <c r="AB32">
        <v>-0.18922800000000001</v>
      </c>
      <c r="AC32">
        <v>-0.44113760000000002</v>
      </c>
      <c r="AD32">
        <v>-1.4325060000000001</v>
      </c>
      <c r="AE32">
        <v>-0.2383372</v>
      </c>
      <c r="AF32">
        <v>-1.1844060000000001</v>
      </c>
      <c r="AG32">
        <v>-0.60778480000000001</v>
      </c>
      <c r="AH32">
        <v>-2.1044290000000001</v>
      </c>
      <c r="AI32">
        <v>2.9655819999999999</v>
      </c>
      <c r="AJ32">
        <v>-1.0535429999999999</v>
      </c>
      <c r="AK32">
        <v>6.1114670000000002</v>
      </c>
      <c r="AL32">
        <v>4.3944489999999998</v>
      </c>
      <c r="AM32">
        <v>0.87546880000000005</v>
      </c>
      <c r="AN32">
        <v>7.9366960000000004</v>
      </c>
      <c r="AO32">
        <v>10.867010000000001</v>
      </c>
      <c r="AP32">
        <v>-0.44628709999999999</v>
      </c>
      <c r="AQ32">
        <v>8.8490669999999998</v>
      </c>
      <c r="AR32">
        <v>4.1699299999999999</v>
      </c>
      <c r="AS32">
        <v>2.97553</v>
      </c>
      <c r="AT32">
        <v>8.9684899999999992</v>
      </c>
      <c r="AU32">
        <v>75.007999999999996</v>
      </c>
      <c r="AV32">
        <v>128.86600000000001</v>
      </c>
      <c r="AW32">
        <v>2.7302499999999998</v>
      </c>
      <c r="AX32" s="17">
        <v>1800000000</v>
      </c>
      <c r="AY32">
        <v>2.9068999999999998</v>
      </c>
      <c r="AZ32">
        <v>0.37</v>
      </c>
      <c r="BA32">
        <v>-0.69314719999999996</v>
      </c>
      <c r="BB32">
        <v>-0.69314717999999997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-2.6592600000000002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2.02005E-2</v>
      </c>
      <c r="CG32">
        <v>0.38274960000000002</v>
      </c>
      <c r="CH32">
        <v>0.11422300000000001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-2.2695850000000002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0.14649719999999999</v>
      </c>
      <c r="DI32">
        <v>5.1510179999999997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0.1416173</v>
      </c>
      <c r="DW32">
        <v>-0.83974660000000001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13.82371</v>
      </c>
      <c r="EW32">
        <v>7.0865800000000007E-2</v>
      </c>
      <c r="EX32">
        <v>7.2251599999999999E-2</v>
      </c>
      <c r="EY32">
        <v>7.1197099999999999E-2</v>
      </c>
      <c r="EZ32">
        <v>7.1337999999999999E-2</v>
      </c>
      <c r="FA32">
        <v>7.0881399999999997E-2</v>
      </c>
      <c r="FB32">
        <v>7.2056499999999996E-2</v>
      </c>
      <c r="FC32">
        <v>7.13699E-2</v>
      </c>
      <c r="FD32">
        <v>7.1467000000000003E-2</v>
      </c>
      <c r="FE32">
        <v>7.1088399999999996E-2</v>
      </c>
      <c r="FF32">
        <v>7.0957599999999996E-2</v>
      </c>
      <c r="FG32">
        <v>7.1780099999999999E-2</v>
      </c>
      <c r="FH32">
        <v>7.1777999999999995E-2</v>
      </c>
      <c r="FI32">
        <v>7.10089E-2</v>
      </c>
      <c r="FJ32">
        <v>7.1959499999999996E-2</v>
      </c>
      <c r="FK32">
        <v>0.195633</v>
      </c>
      <c r="FL32">
        <v>3.8272300000000002E-2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0.1365258</v>
      </c>
      <c r="FZ32">
        <v>-1.3218799999999999</v>
      </c>
      <c r="GA32">
        <v>-0.4173811</v>
      </c>
      <c r="GB32">
        <v>-0.28429959999999999</v>
      </c>
      <c r="GC32">
        <v>-0.25801289999999999</v>
      </c>
      <c r="GD32">
        <v>-0.44113760000000002</v>
      </c>
      <c r="GE32">
        <v>-0.60778480000000001</v>
      </c>
      <c r="GF32">
        <v>-1.4325060000000001</v>
      </c>
      <c r="GG32">
        <v>-0.2383372</v>
      </c>
      <c r="GH32">
        <v>-2.7458119999999999</v>
      </c>
      <c r="GI32">
        <v>7.5394860000000001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7.2384199999999996E-2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-1.015951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80.433790000000002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18.3</v>
      </c>
      <c r="OD32">
        <v>7851.73</v>
      </c>
      <c r="OE32">
        <v>7.0000000000000007E-2</v>
      </c>
      <c r="OF32">
        <v>64.711100000000002</v>
      </c>
      <c r="OG32">
        <v>19.600000000000001</v>
      </c>
      <c r="OH32">
        <v>75.007999999999996</v>
      </c>
    </row>
    <row r="33" spans="1:398">
      <c r="A33">
        <v>3</v>
      </c>
      <c r="B33" t="s">
        <v>48</v>
      </c>
      <c r="C33" t="s">
        <v>47</v>
      </c>
      <c r="D33">
        <v>2019</v>
      </c>
      <c r="E33">
        <v>20.239999999999998</v>
      </c>
      <c r="F33">
        <v>0.3599</v>
      </c>
      <c r="G33">
        <v>431</v>
      </c>
      <c r="H33">
        <v>34.6</v>
      </c>
      <c r="I33">
        <v>83</v>
      </c>
      <c r="J33">
        <v>4</v>
      </c>
      <c r="K33">
        <v>1686.4</v>
      </c>
      <c r="L33">
        <v>0.7</v>
      </c>
      <c r="M33">
        <v>1.7</v>
      </c>
      <c r="N33">
        <v>53871</v>
      </c>
      <c r="O33">
        <v>0.78</v>
      </c>
      <c r="P33">
        <v>0.67</v>
      </c>
      <c r="Q33">
        <v>6072.24</v>
      </c>
      <c r="R33">
        <v>16.399999999999999</v>
      </c>
      <c r="S33">
        <v>0.20261899999999999</v>
      </c>
      <c r="T33">
        <v>0.23785200000000001</v>
      </c>
      <c r="U33">
        <v>-1.311131</v>
      </c>
      <c r="V33">
        <v>-0.56923040000000003</v>
      </c>
      <c r="W33">
        <v>1.8963999999999999E-3</v>
      </c>
      <c r="X33">
        <v>-6.5006999999999999E-3</v>
      </c>
      <c r="Y33">
        <v>-0.68106869999999997</v>
      </c>
      <c r="Z33">
        <v>-0.40307989999999999</v>
      </c>
      <c r="AA33">
        <v>8.3346600000000007E-2</v>
      </c>
      <c r="AB33">
        <v>-5.7301400000000002E-2</v>
      </c>
      <c r="AC33">
        <v>-0.43342219999999998</v>
      </c>
      <c r="AD33">
        <v>-1.285493</v>
      </c>
      <c r="AE33">
        <v>-0.53341470000000002</v>
      </c>
      <c r="AF33">
        <v>-1.147532</v>
      </c>
      <c r="AG33">
        <v>-0.59320150000000005</v>
      </c>
      <c r="AH33">
        <v>-2.0016129999999999</v>
      </c>
      <c r="AI33">
        <v>3.0076610000000001</v>
      </c>
      <c r="AJ33">
        <v>-1.0219290000000001</v>
      </c>
      <c r="AK33">
        <v>6.0661079999999998</v>
      </c>
      <c r="AL33">
        <v>4.4188400000000003</v>
      </c>
      <c r="AM33">
        <v>1.3862939999999999</v>
      </c>
      <c r="AN33">
        <v>7.4303509999999999</v>
      </c>
      <c r="AO33">
        <v>10.894349999999999</v>
      </c>
      <c r="AP33">
        <v>-0.40047749999999999</v>
      </c>
      <c r="AQ33">
        <v>8.7114829999999994</v>
      </c>
      <c r="AR33">
        <v>4.16289</v>
      </c>
      <c r="AS33">
        <v>2.9601000000000002</v>
      </c>
      <c r="AT33">
        <v>9.0127199999999998</v>
      </c>
      <c r="AU33">
        <v>75.346999999999994</v>
      </c>
      <c r="AV33">
        <v>125.03</v>
      </c>
      <c r="AW33">
        <v>3.2364799999999998</v>
      </c>
      <c r="AX33" s="17">
        <v>2200000000</v>
      </c>
      <c r="AY33">
        <v>2.9338600000000001</v>
      </c>
      <c r="AZ33">
        <v>0.37</v>
      </c>
      <c r="BA33">
        <v>-0.2484614</v>
      </c>
      <c r="BB33">
        <v>-0.2484614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-1.81196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2.1991500000000001E-2</v>
      </c>
      <c r="CG33">
        <v>0.39108860000000001</v>
      </c>
      <c r="CH33">
        <v>0.114661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-2.0683060000000002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0.15295030000000001</v>
      </c>
      <c r="DI33">
        <v>4.2778900000000002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0.14470279999999999</v>
      </c>
      <c r="DW33">
        <v>-0.76527319999999999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13.824109999999999</v>
      </c>
      <c r="EW33">
        <v>7.0856699999999995E-2</v>
      </c>
      <c r="EX33">
        <v>7.2232900000000003E-2</v>
      </c>
      <c r="EY33">
        <v>7.1295200000000003E-2</v>
      </c>
      <c r="EZ33">
        <v>7.1270899999999998E-2</v>
      </c>
      <c r="FA33">
        <v>7.0849300000000004E-2</v>
      </c>
      <c r="FB33">
        <v>7.1782700000000005E-2</v>
      </c>
      <c r="FC33">
        <v>7.1683999999999998E-2</v>
      </c>
      <c r="FD33">
        <v>7.1475899999999995E-2</v>
      </c>
      <c r="FE33">
        <v>7.1033399999999997E-2</v>
      </c>
      <c r="FF33">
        <v>7.0959099999999997E-2</v>
      </c>
      <c r="FG33">
        <v>7.1747900000000003E-2</v>
      </c>
      <c r="FH33">
        <v>7.1655099999999999E-2</v>
      </c>
      <c r="FI33">
        <v>7.1229799999999996E-2</v>
      </c>
      <c r="FJ33">
        <v>7.1927000000000005E-2</v>
      </c>
      <c r="FK33">
        <v>0.20203119999999999</v>
      </c>
      <c r="FL33">
        <v>4.0816600000000001E-2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0.23785200000000001</v>
      </c>
      <c r="FZ33">
        <v>-1.311131</v>
      </c>
      <c r="GA33">
        <v>-0.56923040000000003</v>
      </c>
      <c r="GB33">
        <v>-6.5006999999999999E-3</v>
      </c>
      <c r="GC33">
        <v>-0.40307989999999999</v>
      </c>
      <c r="GD33">
        <v>-0.43342219999999998</v>
      </c>
      <c r="GE33">
        <v>-0.59320150000000005</v>
      </c>
      <c r="GF33">
        <v>-1.285493</v>
      </c>
      <c r="GG33">
        <v>-0.53341470000000002</v>
      </c>
      <c r="GH33">
        <v>-2.6077140000000001</v>
      </c>
      <c r="GI33">
        <v>6.800173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7.4751499999999999E-2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-0.9648542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81.229060000000004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18.8</v>
      </c>
      <c r="OD33">
        <v>8206.7800000000007</v>
      </c>
      <c r="OE33">
        <v>0</v>
      </c>
      <c r="OF33">
        <v>64.257199999999997</v>
      </c>
      <c r="OG33">
        <v>19.3</v>
      </c>
      <c r="OH33">
        <v>75.346999999999994</v>
      </c>
    </row>
    <row r="34" spans="1:398">
      <c r="A34">
        <v>3</v>
      </c>
      <c r="B34" t="s">
        <v>48</v>
      </c>
      <c r="C34" t="s">
        <v>47</v>
      </c>
      <c r="D34">
        <v>2020</v>
      </c>
      <c r="E34">
        <v>21.074000000000002</v>
      </c>
      <c r="F34">
        <v>0.35120000000000001</v>
      </c>
      <c r="G34">
        <v>418</v>
      </c>
      <c r="H34">
        <v>35.200000000000003</v>
      </c>
      <c r="I34">
        <v>83.6</v>
      </c>
      <c r="J34">
        <v>5.8</v>
      </c>
      <c r="K34">
        <v>2309.1999999999998</v>
      </c>
      <c r="L34">
        <v>0.6</v>
      </c>
      <c r="M34">
        <v>1.6</v>
      </c>
      <c r="N34">
        <v>51751</v>
      </c>
      <c r="O34">
        <v>1.06</v>
      </c>
      <c r="P34">
        <v>0.63</v>
      </c>
      <c r="Q34">
        <v>5176.6000000000004</v>
      </c>
      <c r="R34">
        <v>16</v>
      </c>
      <c r="S34">
        <v>0.19586999999999999</v>
      </c>
      <c r="T34">
        <v>0.33917829999999999</v>
      </c>
      <c r="U34">
        <v>-1.31948</v>
      </c>
      <c r="V34">
        <v>-0.66793250000000004</v>
      </c>
      <c r="W34">
        <v>4.0520300000000002E-2</v>
      </c>
      <c r="X34">
        <v>7.6838799999999999E-2</v>
      </c>
      <c r="Y34">
        <v>-0.39283299999999999</v>
      </c>
      <c r="Z34">
        <v>-0.32181009999999999</v>
      </c>
      <c r="AA34">
        <v>-0.19478770000000001</v>
      </c>
      <c r="AB34">
        <v>-0.18922800000000001</v>
      </c>
      <c r="AC34">
        <v>-0.4446793</v>
      </c>
      <c r="AD34">
        <v>-1.4815100000000001</v>
      </c>
      <c r="AE34">
        <v>-0.82849220000000001</v>
      </c>
      <c r="AF34">
        <v>-1.1686030000000001</v>
      </c>
      <c r="AG34">
        <v>-0.57861819999999997</v>
      </c>
      <c r="AH34">
        <v>-2.0086940000000002</v>
      </c>
      <c r="AI34">
        <v>3.0480399999999999</v>
      </c>
      <c r="AJ34">
        <v>-1.0463990000000001</v>
      </c>
      <c r="AK34">
        <v>6.0354809999999999</v>
      </c>
      <c r="AL34">
        <v>4.4260440000000001</v>
      </c>
      <c r="AM34">
        <v>1.7578579999999999</v>
      </c>
      <c r="AN34">
        <v>7.7446570000000001</v>
      </c>
      <c r="AO34">
        <v>10.854200000000001</v>
      </c>
      <c r="AP34">
        <v>-0.46203549999999999</v>
      </c>
      <c r="AQ34">
        <v>8.5519049999999996</v>
      </c>
      <c r="AR34">
        <v>4.1568899999999998</v>
      </c>
      <c r="AS34">
        <v>3.0492699999999999</v>
      </c>
      <c r="AT34">
        <v>8.9860299999999995</v>
      </c>
      <c r="AU34">
        <v>75.686000000000007</v>
      </c>
      <c r="AV34">
        <v>110.324</v>
      </c>
      <c r="AW34">
        <v>4.6815699999999998</v>
      </c>
      <c r="AX34" s="17">
        <v>3300000000</v>
      </c>
      <c r="AY34">
        <v>2.9601000000000002</v>
      </c>
      <c r="AZ34">
        <v>0.38</v>
      </c>
      <c r="BA34">
        <v>5.8268899999999998E-2</v>
      </c>
      <c r="BB34">
        <v>5.8268849999999997E-2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-0.96466399999999997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2.1932299999999998E-2</v>
      </c>
      <c r="CG34">
        <v>0.38238220000000001</v>
      </c>
      <c r="CH34">
        <v>0.116065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-2.0586150000000001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0.14621609999999999</v>
      </c>
      <c r="DI34">
        <v>4.2378970000000002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0.1453052</v>
      </c>
      <c r="DW34">
        <v>-0.78227389999999997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13.82916</v>
      </c>
      <c r="EW34">
        <v>7.0825700000000005E-2</v>
      </c>
      <c r="EX34">
        <v>7.2219599999999995E-2</v>
      </c>
      <c r="EY34">
        <v>7.1338700000000005E-2</v>
      </c>
      <c r="EZ34">
        <v>7.1247000000000005E-2</v>
      </c>
      <c r="FA34">
        <v>7.0840500000000001E-2</v>
      </c>
      <c r="FB34">
        <v>7.1506200000000006E-2</v>
      </c>
      <c r="FC34">
        <v>7.1489399999999995E-2</v>
      </c>
      <c r="FD34">
        <v>7.1569199999999999E-2</v>
      </c>
      <c r="FE34">
        <v>7.1109800000000001E-2</v>
      </c>
      <c r="FF34">
        <v>7.1001400000000006E-2</v>
      </c>
      <c r="FG34">
        <v>7.1693099999999996E-2</v>
      </c>
      <c r="FH34">
        <v>7.18028E-2</v>
      </c>
      <c r="FI34">
        <v>7.1435600000000002E-2</v>
      </c>
      <c r="FJ34">
        <v>7.1921100000000002E-2</v>
      </c>
      <c r="FK34">
        <v>0.19532160000000001</v>
      </c>
      <c r="FL34">
        <v>3.8150499999999997E-2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0.33917829999999999</v>
      </c>
      <c r="FZ34">
        <v>-1.31948</v>
      </c>
      <c r="GA34">
        <v>-0.66793250000000004</v>
      </c>
      <c r="GB34">
        <v>7.6838799999999999E-2</v>
      </c>
      <c r="GC34">
        <v>-0.32181009999999999</v>
      </c>
      <c r="GD34">
        <v>-0.4446793</v>
      </c>
      <c r="GE34">
        <v>-0.57861819999999997</v>
      </c>
      <c r="GF34">
        <v>-1.4815100000000001</v>
      </c>
      <c r="GG34">
        <v>-0.82849220000000001</v>
      </c>
      <c r="GH34">
        <v>-2.6081110000000001</v>
      </c>
      <c r="GI34">
        <v>6.802244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7.4222200000000002E-2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-0.99108229999999997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80.748760000000004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19.3</v>
      </c>
      <c r="OD34">
        <v>7990.69</v>
      </c>
      <c r="OE34">
        <v>0</v>
      </c>
      <c r="OF34">
        <v>63.872700000000002</v>
      </c>
      <c r="OG34">
        <v>21.1</v>
      </c>
      <c r="OH34">
        <v>75.686000000000007</v>
      </c>
    </row>
    <row r="35" spans="1:398">
      <c r="A35">
        <v>4</v>
      </c>
      <c r="B35" t="s">
        <v>46</v>
      </c>
      <c r="C35" t="s">
        <v>45</v>
      </c>
      <c r="D35">
        <v>2010</v>
      </c>
      <c r="E35">
        <v>31.123000000000001</v>
      </c>
      <c r="F35">
        <v>0.84560000000000002</v>
      </c>
      <c r="G35">
        <v>684</v>
      </c>
      <c r="H35">
        <v>11.2</v>
      </c>
      <c r="I35">
        <v>71.599999999999994</v>
      </c>
      <c r="J35">
        <v>2</v>
      </c>
      <c r="K35">
        <v>17.600000000000001</v>
      </c>
      <c r="L35">
        <v>0.6</v>
      </c>
      <c r="M35">
        <v>1.3</v>
      </c>
      <c r="N35">
        <v>6003</v>
      </c>
      <c r="O35">
        <v>2</v>
      </c>
      <c r="P35">
        <v>0.61</v>
      </c>
      <c r="Q35">
        <v>8046.97</v>
      </c>
      <c r="R35">
        <v>24.7</v>
      </c>
      <c r="S35">
        <v>0.21118200000000001</v>
      </c>
      <c r="T35">
        <v>1.5600750000000001</v>
      </c>
      <c r="U35">
        <v>-0.84498010000000001</v>
      </c>
      <c r="V35">
        <v>1.3516630000000001</v>
      </c>
      <c r="W35">
        <v>-1.504429</v>
      </c>
      <c r="X35">
        <v>-1.589955</v>
      </c>
      <c r="Y35">
        <v>-1.0013300000000001</v>
      </c>
      <c r="Z35">
        <v>-0.62084349999999999</v>
      </c>
      <c r="AA35">
        <v>-0.19478770000000001</v>
      </c>
      <c r="AB35">
        <v>-0.58500799999999997</v>
      </c>
      <c r="AC35">
        <v>-0.68760010000000005</v>
      </c>
      <c r="AD35">
        <v>-1.579518</v>
      </c>
      <c r="AE35">
        <v>0.1171775</v>
      </c>
      <c r="AF35">
        <v>-0.71030320000000002</v>
      </c>
      <c r="AG35">
        <v>-0.52965989999999996</v>
      </c>
      <c r="AH35">
        <v>-2.3213629999999998</v>
      </c>
      <c r="AI35">
        <v>3.4379469999999999</v>
      </c>
      <c r="AJ35">
        <v>-0.16770879999999999</v>
      </c>
      <c r="AK35">
        <v>6.5279579999999999</v>
      </c>
      <c r="AL35">
        <v>4.2710949999999999</v>
      </c>
      <c r="AM35">
        <v>0.69314719999999996</v>
      </c>
      <c r="AN35">
        <v>2.867899</v>
      </c>
      <c r="AO35">
        <v>8.7000150000000005</v>
      </c>
      <c r="AP35">
        <v>-0.49429630000000002</v>
      </c>
      <c r="AQ35">
        <v>8.9930509999999995</v>
      </c>
      <c r="AR35">
        <v>4.8045</v>
      </c>
      <c r="AS35">
        <v>1.8717999999999999</v>
      </c>
      <c r="AT35">
        <v>10.1693</v>
      </c>
      <c r="AU35">
        <v>67.551000000000002</v>
      </c>
      <c r="AV35">
        <v>108.902</v>
      </c>
      <c r="AW35">
        <v>120.279</v>
      </c>
      <c r="AX35" s="17">
        <v>31000000000</v>
      </c>
      <c r="AY35">
        <v>2.8622000000000001</v>
      </c>
      <c r="AZ35">
        <v>0.61</v>
      </c>
      <c r="BA35">
        <v>0.69314710000000002</v>
      </c>
      <c r="BB35">
        <v>0.69314712000000001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0.89789099999999999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4.9820999999999997E-3</v>
      </c>
      <c r="CG35">
        <v>0.3685908</v>
      </c>
      <c r="CH35">
        <v>0.10538699999999999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-2.8013539999999999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0.13585920000000001</v>
      </c>
      <c r="DI35">
        <v>7.8475840000000003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0.2248404</v>
      </c>
      <c r="DW35">
        <v>-1.708826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13.846080000000001</v>
      </c>
      <c r="EW35">
        <v>7.0349800000000004E-2</v>
      </c>
      <c r="EX35">
        <v>7.1594900000000003E-2</v>
      </c>
      <c r="EY35">
        <v>7.0392099999999999E-2</v>
      </c>
      <c r="EZ35">
        <v>7.1887499999999993E-2</v>
      </c>
      <c r="FA35">
        <v>7.1184800000000006E-2</v>
      </c>
      <c r="FB35">
        <v>7.2024900000000003E-2</v>
      </c>
      <c r="FC35">
        <v>7.2209099999999998E-2</v>
      </c>
      <c r="FD35">
        <v>7.1489399999999995E-2</v>
      </c>
      <c r="FE35">
        <v>7.1287199999999995E-2</v>
      </c>
      <c r="FF35">
        <v>7.20306E-2</v>
      </c>
      <c r="FG35">
        <v>7.1504799999999993E-2</v>
      </c>
      <c r="FH35">
        <v>7.1809300000000006E-2</v>
      </c>
      <c r="FI35">
        <v>7.0749999999999993E-2</v>
      </c>
      <c r="FJ35">
        <v>7.1485599999999996E-2</v>
      </c>
      <c r="FK35">
        <v>0.20960300000000001</v>
      </c>
      <c r="FL35">
        <v>4.3933399999999997E-2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1.5600750000000001</v>
      </c>
      <c r="FZ35">
        <v>-0.84498010000000001</v>
      </c>
      <c r="GA35">
        <v>1.3516630000000001</v>
      </c>
      <c r="GB35">
        <v>-1.589955</v>
      </c>
      <c r="GC35">
        <v>-0.62084349999999999</v>
      </c>
      <c r="GD35">
        <v>-0.68760010000000005</v>
      </c>
      <c r="GE35">
        <v>-0.52965989999999996</v>
      </c>
      <c r="GF35">
        <v>-1.579518</v>
      </c>
      <c r="GG35">
        <v>0.1171775</v>
      </c>
      <c r="GH35">
        <v>-3.176984</v>
      </c>
      <c r="GI35">
        <v>10.093220000000001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0.12785779999999999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-1.9379599999999999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103.4149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17.5</v>
      </c>
      <c r="OD35">
        <v>26090</v>
      </c>
      <c r="OE35">
        <v>0</v>
      </c>
      <c r="OF35">
        <v>122.05800000000001</v>
      </c>
      <c r="OG35">
        <v>6.5</v>
      </c>
      <c r="OH35">
        <v>67.551000000000002</v>
      </c>
    </row>
    <row r="36" spans="1:398">
      <c r="A36">
        <v>4</v>
      </c>
      <c r="B36" t="s">
        <v>46</v>
      </c>
      <c r="C36" t="s">
        <v>45</v>
      </c>
      <c r="D36">
        <v>2011</v>
      </c>
      <c r="E36">
        <v>28.802</v>
      </c>
      <c r="F36">
        <v>0.86499999999999999</v>
      </c>
      <c r="G36">
        <v>688</v>
      </c>
      <c r="H36">
        <v>11.2</v>
      </c>
      <c r="I36">
        <v>78.900000000000006</v>
      </c>
      <c r="J36">
        <v>1.9</v>
      </c>
      <c r="K36">
        <v>5.4</v>
      </c>
      <c r="L36">
        <v>0.6</v>
      </c>
      <c r="M36">
        <v>1.3</v>
      </c>
      <c r="N36">
        <v>5625</v>
      </c>
      <c r="O36">
        <v>1.8</v>
      </c>
      <c r="P36">
        <v>0.63</v>
      </c>
      <c r="Q36">
        <v>7326.92</v>
      </c>
      <c r="R36">
        <v>22.5</v>
      </c>
      <c r="S36">
        <v>0.21176500000000001</v>
      </c>
      <c r="T36">
        <v>1.278087</v>
      </c>
      <c r="U36">
        <v>-0.82636089999999995</v>
      </c>
      <c r="V36">
        <v>1.3820330000000001</v>
      </c>
      <c r="W36">
        <v>-1.504429</v>
      </c>
      <c r="X36">
        <v>-0.57598839999999996</v>
      </c>
      <c r="Y36">
        <v>-1.017344</v>
      </c>
      <c r="Z36">
        <v>-0.62243550000000003</v>
      </c>
      <c r="AA36">
        <v>-0.19478770000000001</v>
      </c>
      <c r="AB36">
        <v>-0.58500799999999997</v>
      </c>
      <c r="AC36">
        <v>-0.68960730000000003</v>
      </c>
      <c r="AD36">
        <v>-1.4815100000000001</v>
      </c>
      <c r="AE36">
        <v>-0.1200485</v>
      </c>
      <c r="AF36">
        <v>-0.82619509999999996</v>
      </c>
      <c r="AG36">
        <v>-0.54007660000000002</v>
      </c>
      <c r="AH36">
        <v>-2.4343870000000001</v>
      </c>
      <c r="AI36">
        <v>3.3604449999999999</v>
      </c>
      <c r="AJ36">
        <v>-0.14502580000000001</v>
      </c>
      <c r="AK36">
        <v>6.5337889999999996</v>
      </c>
      <c r="AL36">
        <v>4.3681809999999999</v>
      </c>
      <c r="AM36">
        <v>0.64185389999999998</v>
      </c>
      <c r="AN36">
        <v>1.686399</v>
      </c>
      <c r="AO36">
        <v>8.634976</v>
      </c>
      <c r="AP36">
        <v>-0.46203549999999999</v>
      </c>
      <c r="AQ36">
        <v>8.8993110000000009</v>
      </c>
      <c r="AR36">
        <v>4.8209200000000001</v>
      </c>
      <c r="AS36">
        <v>2.0281500000000001</v>
      </c>
      <c r="AT36">
        <v>10.148</v>
      </c>
      <c r="AU36">
        <v>67.406000000000006</v>
      </c>
      <c r="AV36">
        <v>110.617</v>
      </c>
      <c r="AW36">
        <v>146.32300000000001</v>
      </c>
      <c r="AX36" s="17">
        <v>40000000000</v>
      </c>
      <c r="AY36">
        <v>2.91777</v>
      </c>
      <c r="AZ36">
        <v>0.56999999999999995</v>
      </c>
      <c r="BA36">
        <v>0.58778660000000005</v>
      </c>
      <c r="BB36">
        <v>0.58778660999999999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0.75141599999999997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4.9573999999999998E-3</v>
      </c>
      <c r="CG36">
        <v>0.36358370000000001</v>
      </c>
      <c r="CH36">
        <v>0.10242900000000001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-3.0599949999999998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0.13219310000000001</v>
      </c>
      <c r="DI36">
        <v>9.3635719999999996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0.2072427</v>
      </c>
      <c r="DW36">
        <v>-1.744197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13.84905</v>
      </c>
      <c r="EW36">
        <v>7.0482500000000003E-2</v>
      </c>
      <c r="EX36">
        <v>7.1568000000000007E-2</v>
      </c>
      <c r="EY36">
        <v>7.0422700000000005E-2</v>
      </c>
      <c r="EZ36">
        <v>7.1873500000000007E-2</v>
      </c>
      <c r="FA36">
        <v>7.0938699999999993E-2</v>
      </c>
      <c r="FB36">
        <v>7.20306E-2</v>
      </c>
      <c r="FC36">
        <v>7.2202500000000003E-2</v>
      </c>
      <c r="FD36">
        <v>7.1481500000000003E-2</v>
      </c>
      <c r="FE36">
        <v>7.1284700000000006E-2</v>
      </c>
      <c r="FF36">
        <v>7.2029499999999996E-2</v>
      </c>
      <c r="FG36">
        <v>7.1518399999999996E-2</v>
      </c>
      <c r="FH36">
        <v>7.1705599999999994E-2</v>
      </c>
      <c r="FI36">
        <v>7.0903499999999994E-2</v>
      </c>
      <c r="FJ36">
        <v>7.1558200000000002E-2</v>
      </c>
      <c r="FK36">
        <v>0.21028430000000001</v>
      </c>
      <c r="FL36">
        <v>4.4219500000000002E-2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1.278087</v>
      </c>
      <c r="FZ36">
        <v>-0.82636089999999995</v>
      </c>
      <c r="GA36">
        <v>1.3820330000000001</v>
      </c>
      <c r="GB36">
        <v>-0.57598839999999996</v>
      </c>
      <c r="GC36">
        <v>-0.62243550000000003</v>
      </c>
      <c r="GD36">
        <v>-0.68960730000000003</v>
      </c>
      <c r="GE36">
        <v>-0.54007660000000002</v>
      </c>
      <c r="GF36">
        <v>-1.4815100000000001</v>
      </c>
      <c r="GG36">
        <v>-0.1200485</v>
      </c>
      <c r="GH36">
        <v>-3.3081200000000002</v>
      </c>
      <c r="GI36">
        <v>10.943659999999999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0.119862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-1.8856280000000001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102.98090000000001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18.5</v>
      </c>
      <c r="OD36">
        <v>25538.799999999999</v>
      </c>
      <c r="OE36">
        <v>2.12</v>
      </c>
      <c r="OF36">
        <v>124.07899999999999</v>
      </c>
      <c r="OG36">
        <v>7.6</v>
      </c>
      <c r="OH36">
        <v>67.406000000000006</v>
      </c>
    </row>
    <row r="37" spans="1:398">
      <c r="A37">
        <v>4</v>
      </c>
      <c r="B37" t="s">
        <v>46</v>
      </c>
      <c r="C37" t="s">
        <v>45</v>
      </c>
      <c r="D37">
        <v>2012</v>
      </c>
      <c r="E37">
        <v>20.693999999999999</v>
      </c>
      <c r="F37">
        <v>1.1384000000000001</v>
      </c>
      <c r="G37">
        <v>695</v>
      </c>
      <c r="H37">
        <v>12.8</v>
      </c>
      <c r="I37">
        <v>86.6</v>
      </c>
      <c r="J37">
        <v>2</v>
      </c>
      <c r="K37">
        <v>4.95</v>
      </c>
      <c r="L37">
        <v>0.6</v>
      </c>
      <c r="M37">
        <v>1.3</v>
      </c>
      <c r="N37">
        <v>5582</v>
      </c>
      <c r="O37">
        <v>1.6</v>
      </c>
      <c r="P37">
        <v>0.61</v>
      </c>
      <c r="Q37">
        <v>7812.53</v>
      </c>
      <c r="R37">
        <v>26.5</v>
      </c>
      <c r="S37">
        <v>0.22056999999999999</v>
      </c>
      <c r="T37">
        <v>0.29301050000000001</v>
      </c>
      <c r="U37">
        <v>-0.5639653</v>
      </c>
      <c r="V37">
        <v>1.435181</v>
      </c>
      <c r="W37">
        <v>-1.4014329999999999</v>
      </c>
      <c r="X37">
        <v>0.49353720000000001</v>
      </c>
      <c r="Y37">
        <v>-1.0013300000000001</v>
      </c>
      <c r="Z37">
        <v>-0.62249429999999994</v>
      </c>
      <c r="AA37">
        <v>-0.19478770000000001</v>
      </c>
      <c r="AB37">
        <v>-0.58500799999999997</v>
      </c>
      <c r="AC37">
        <v>-0.68983559999999999</v>
      </c>
      <c r="AD37">
        <v>-1.579518</v>
      </c>
      <c r="AE37">
        <v>3.9939299999999997E-2</v>
      </c>
      <c r="AF37">
        <v>-0.61548270000000005</v>
      </c>
      <c r="AG37">
        <v>-0.55049320000000002</v>
      </c>
      <c r="AH37">
        <v>-2.211392</v>
      </c>
      <c r="AI37">
        <v>3.0298440000000002</v>
      </c>
      <c r="AJ37">
        <v>0.12962370000000001</v>
      </c>
      <c r="AK37">
        <v>6.5439119999999997</v>
      </c>
      <c r="AL37">
        <v>4.4612999999999996</v>
      </c>
      <c r="AM37">
        <v>0.69314719999999996</v>
      </c>
      <c r="AN37">
        <v>1.599388</v>
      </c>
      <c r="AO37">
        <v>8.6273020000000002</v>
      </c>
      <c r="AP37">
        <v>-0.49429630000000002</v>
      </c>
      <c r="AQ37">
        <v>8.9634839999999993</v>
      </c>
      <c r="AR37">
        <v>4.8372700000000002</v>
      </c>
      <c r="AS37">
        <v>2.1517599999999999</v>
      </c>
      <c r="AT37">
        <v>10.0976</v>
      </c>
      <c r="AU37">
        <v>67.260999999999996</v>
      </c>
      <c r="AV37">
        <v>112.34399999999999</v>
      </c>
      <c r="AW37">
        <v>279.36099999999999</v>
      </c>
      <c r="AX37" s="17">
        <v>70000000000</v>
      </c>
      <c r="AY37">
        <v>3.0204300000000002</v>
      </c>
      <c r="AZ37">
        <v>0.55000000000000004</v>
      </c>
      <c r="BA37">
        <v>0.47000360000000002</v>
      </c>
      <c r="BB37">
        <v>0.47000363000000001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0.60494099999999995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6.0378999999999997E-3</v>
      </c>
      <c r="CG37">
        <v>0.37146990000000002</v>
      </c>
      <c r="CH37">
        <v>0.10864699999999999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-2.8097799999999999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0.1379899</v>
      </c>
      <c r="DI37">
        <v>7.8948650000000002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0.2043085</v>
      </c>
      <c r="DW37">
        <v>-1.5453790000000001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13.84721</v>
      </c>
      <c r="EW37">
        <v>7.0876499999999995E-2</v>
      </c>
      <c r="EX37">
        <v>7.1362400000000006E-2</v>
      </c>
      <c r="EY37">
        <v>7.0467399999999999E-2</v>
      </c>
      <c r="EZ37">
        <v>7.1825399999999998E-2</v>
      </c>
      <c r="FA37">
        <v>7.0744899999999999E-2</v>
      </c>
      <c r="FB37">
        <v>7.2019799999999995E-2</v>
      </c>
      <c r="FC37">
        <v>7.2212399999999996E-2</v>
      </c>
      <c r="FD37">
        <v>7.1498300000000001E-2</v>
      </c>
      <c r="FE37">
        <v>7.1306499999999995E-2</v>
      </c>
      <c r="FF37">
        <v>7.2040999999999994E-2</v>
      </c>
      <c r="FG37">
        <v>7.15562E-2</v>
      </c>
      <c r="FH37">
        <v>7.1808200000000003E-2</v>
      </c>
      <c r="FI37">
        <v>7.0849700000000002E-2</v>
      </c>
      <c r="FJ37">
        <v>7.1431099999999997E-2</v>
      </c>
      <c r="FK37">
        <v>0.21917639999999999</v>
      </c>
      <c r="FL37">
        <v>4.8038299999999999E-2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0.29301050000000001</v>
      </c>
      <c r="FZ37">
        <v>-0.5639653</v>
      </c>
      <c r="GA37">
        <v>1.435181</v>
      </c>
      <c r="GB37">
        <v>0.49353720000000001</v>
      </c>
      <c r="GC37">
        <v>-0.62249429999999994</v>
      </c>
      <c r="GD37">
        <v>-0.68983559999999999</v>
      </c>
      <c r="GE37">
        <v>-0.55049320000000002</v>
      </c>
      <c r="GF37">
        <v>-1.579518</v>
      </c>
      <c r="GG37">
        <v>3.9939299999999997E-2</v>
      </c>
      <c r="GH37">
        <v>-3.0508470000000001</v>
      </c>
      <c r="GI37">
        <v>9.3076659999999993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0.120547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-1.6779660000000001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101.96210000000001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20.5</v>
      </c>
      <c r="OD37">
        <v>24285.5</v>
      </c>
      <c r="OE37">
        <v>0</v>
      </c>
      <c r="OF37">
        <v>126.125</v>
      </c>
      <c r="OG37">
        <v>8.6</v>
      </c>
      <c r="OH37">
        <v>67.260999999999996</v>
      </c>
    </row>
    <row r="38" spans="1:398">
      <c r="A38">
        <v>4</v>
      </c>
      <c r="B38" t="s">
        <v>46</v>
      </c>
      <c r="C38" t="s">
        <v>45</v>
      </c>
      <c r="D38">
        <v>2013</v>
      </c>
      <c r="E38">
        <v>15.271000000000001</v>
      </c>
      <c r="F38">
        <v>1.4731000000000001</v>
      </c>
      <c r="G38">
        <v>704</v>
      </c>
      <c r="H38">
        <v>13.9</v>
      </c>
      <c r="I38">
        <v>80.3</v>
      </c>
      <c r="J38">
        <v>2.4</v>
      </c>
      <c r="K38">
        <v>4.5</v>
      </c>
      <c r="L38">
        <v>0.6</v>
      </c>
      <c r="M38">
        <v>1.3</v>
      </c>
      <c r="N38">
        <v>5391</v>
      </c>
      <c r="O38">
        <v>1.4</v>
      </c>
      <c r="P38">
        <v>0.62</v>
      </c>
      <c r="Q38">
        <v>7647.46</v>
      </c>
      <c r="R38">
        <v>29.2</v>
      </c>
      <c r="S38">
        <v>0.218388</v>
      </c>
      <c r="T38">
        <v>-0.3658536</v>
      </c>
      <c r="U38">
        <v>-0.24273700000000001</v>
      </c>
      <c r="V38">
        <v>1.5035130000000001</v>
      </c>
      <c r="W38">
        <v>-1.330622</v>
      </c>
      <c r="X38">
        <v>-0.3815289</v>
      </c>
      <c r="Y38">
        <v>-0.93727819999999995</v>
      </c>
      <c r="Z38">
        <v>-0.62255300000000002</v>
      </c>
      <c r="AA38">
        <v>-0.19478770000000001</v>
      </c>
      <c r="AB38">
        <v>-0.58500799999999997</v>
      </c>
      <c r="AC38">
        <v>-0.69084979999999996</v>
      </c>
      <c r="AD38">
        <v>-1.5305139999999999</v>
      </c>
      <c r="AE38">
        <v>-1.4445100000000001E-2</v>
      </c>
      <c r="AF38">
        <v>-0.4732517</v>
      </c>
      <c r="AG38">
        <v>-0.56090989999999996</v>
      </c>
      <c r="AH38">
        <v>-1.8063340000000001</v>
      </c>
      <c r="AI38">
        <v>2.7259549999999999</v>
      </c>
      <c r="AJ38">
        <v>0.38736900000000002</v>
      </c>
      <c r="AK38">
        <v>6.5567780000000004</v>
      </c>
      <c r="AL38">
        <v>4.3857699999999999</v>
      </c>
      <c r="AM38">
        <v>0.87546880000000005</v>
      </c>
      <c r="AN38">
        <v>1.5040770000000001</v>
      </c>
      <c r="AO38">
        <v>8.5924859999999992</v>
      </c>
      <c r="AP38">
        <v>-0.47803580000000001</v>
      </c>
      <c r="AQ38">
        <v>8.9421280000000003</v>
      </c>
      <c r="AR38">
        <v>4.8530199999999999</v>
      </c>
      <c r="AS38">
        <v>2.2721300000000002</v>
      </c>
      <c r="AT38">
        <v>10.0318</v>
      </c>
      <c r="AU38">
        <v>67.137</v>
      </c>
      <c r="AV38">
        <v>120.926</v>
      </c>
      <c r="AW38">
        <v>108.375</v>
      </c>
      <c r="AX38" s="17">
        <v>26000000000</v>
      </c>
      <c r="AY38">
        <v>3.0204300000000002</v>
      </c>
      <c r="AZ38">
        <v>0.49</v>
      </c>
      <c r="BA38">
        <v>0.3364722</v>
      </c>
      <c r="BB38">
        <v>0.33647220999999999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0.45846500000000001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6.7553999999999999E-3</v>
      </c>
      <c r="CG38">
        <v>0.3653769</v>
      </c>
      <c r="CH38">
        <v>0.114868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-2.4026749999999999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0.13350029999999999</v>
      </c>
      <c r="DI38">
        <v>5.7728489999999999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0.17903469999999999</v>
      </c>
      <c r="DW38">
        <v>-1.177311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13.849679999999999</v>
      </c>
      <c r="EW38">
        <v>7.1146500000000001E-2</v>
      </c>
      <c r="EX38">
        <v>7.1124699999999999E-2</v>
      </c>
      <c r="EY38">
        <v>7.0483400000000002E-2</v>
      </c>
      <c r="EZ38">
        <v>7.1775699999999998E-2</v>
      </c>
      <c r="FA38">
        <v>7.0948200000000003E-2</v>
      </c>
      <c r="FB38">
        <v>7.1929599999999996E-2</v>
      </c>
      <c r="FC38">
        <v>7.2199899999999997E-2</v>
      </c>
      <c r="FD38">
        <v>7.1492700000000006E-2</v>
      </c>
      <c r="FE38">
        <v>7.1305800000000003E-2</v>
      </c>
      <c r="FF38">
        <v>7.2035600000000005E-2</v>
      </c>
      <c r="FG38">
        <v>7.1571399999999993E-2</v>
      </c>
      <c r="FH38">
        <v>7.1751999999999996E-2</v>
      </c>
      <c r="FI38">
        <v>7.0896100000000004E-2</v>
      </c>
      <c r="FJ38">
        <v>7.1338100000000002E-2</v>
      </c>
      <c r="FK38">
        <v>0.2171971</v>
      </c>
      <c r="FL38">
        <v>4.7174599999999997E-2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-0.3658536</v>
      </c>
      <c r="FZ38">
        <v>-0.24273700000000001</v>
      </c>
      <c r="GA38">
        <v>1.5035130000000001</v>
      </c>
      <c r="GB38">
        <v>-0.3815289</v>
      </c>
      <c r="GC38">
        <v>-0.62255300000000002</v>
      </c>
      <c r="GD38">
        <v>-0.69084979999999996</v>
      </c>
      <c r="GE38">
        <v>-0.56090989999999996</v>
      </c>
      <c r="GF38">
        <v>-1.5305139999999999</v>
      </c>
      <c r="GG38">
        <v>-1.4445100000000001E-2</v>
      </c>
      <c r="GH38">
        <v>-2.506154</v>
      </c>
      <c r="GI38">
        <v>6.2808070000000003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0.1064266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-1.2280150000000001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100.63720000000001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20.5</v>
      </c>
      <c r="OD38">
        <v>22738.5</v>
      </c>
      <c r="OE38">
        <v>0</v>
      </c>
      <c r="OF38">
        <v>128.12700000000001</v>
      </c>
      <c r="OG38">
        <v>9.6999999999999993</v>
      </c>
      <c r="OH38">
        <v>67.137</v>
      </c>
    </row>
    <row r="39" spans="1:398">
      <c r="A39">
        <v>4</v>
      </c>
      <c r="B39" t="s">
        <v>46</v>
      </c>
      <c r="C39" t="s">
        <v>45</v>
      </c>
      <c r="D39">
        <v>2014</v>
      </c>
      <c r="E39">
        <v>15.134</v>
      </c>
      <c r="F39">
        <v>1.4573</v>
      </c>
      <c r="G39">
        <v>729</v>
      </c>
      <c r="H39">
        <v>14.8</v>
      </c>
      <c r="I39">
        <v>89.4</v>
      </c>
      <c r="J39">
        <v>2.2000000000000002</v>
      </c>
      <c r="K39">
        <v>4.7</v>
      </c>
      <c r="L39">
        <v>0.2</v>
      </c>
      <c r="M39">
        <v>1.4</v>
      </c>
      <c r="N39">
        <v>5515</v>
      </c>
      <c r="O39">
        <v>1.2</v>
      </c>
      <c r="P39">
        <v>0.63</v>
      </c>
      <c r="Q39">
        <v>8058.01</v>
      </c>
      <c r="R39">
        <v>30.8</v>
      </c>
      <c r="S39">
        <v>0.22159999999999999</v>
      </c>
      <c r="T39">
        <v>-0.38249830000000001</v>
      </c>
      <c r="U39">
        <v>-0.25790099999999999</v>
      </c>
      <c r="V39">
        <v>1.6933240000000001</v>
      </c>
      <c r="W39">
        <v>-1.2726869999999999</v>
      </c>
      <c r="X39">
        <v>0.88245620000000002</v>
      </c>
      <c r="Y39">
        <v>-0.96930430000000001</v>
      </c>
      <c r="Z39">
        <v>-0.62252689999999999</v>
      </c>
      <c r="AA39">
        <v>-1.3073250000000001</v>
      </c>
      <c r="AB39">
        <v>-0.45308130000000002</v>
      </c>
      <c r="AC39">
        <v>-0.69019140000000001</v>
      </c>
      <c r="AD39">
        <v>-1.4815100000000001</v>
      </c>
      <c r="AE39">
        <v>0.1208149</v>
      </c>
      <c r="AF39">
        <v>-0.3889668</v>
      </c>
      <c r="AG39">
        <v>-0.57132649999999996</v>
      </c>
      <c r="AH39">
        <v>-2.1379290000000002</v>
      </c>
      <c r="AI39">
        <v>2.7169439999999998</v>
      </c>
      <c r="AJ39">
        <v>0.37658540000000001</v>
      </c>
      <c r="AK39">
        <v>6.5916740000000003</v>
      </c>
      <c r="AL39">
        <v>4.4931210000000004</v>
      </c>
      <c r="AM39">
        <v>0.78845739999999997</v>
      </c>
      <c r="AN39">
        <v>1.5475620000000001</v>
      </c>
      <c r="AO39">
        <v>8.6152270000000009</v>
      </c>
      <c r="AP39">
        <v>-0.46203549999999999</v>
      </c>
      <c r="AQ39">
        <v>8.9944220000000001</v>
      </c>
      <c r="AR39">
        <v>4.8680300000000001</v>
      </c>
      <c r="AS39">
        <v>2.25129</v>
      </c>
      <c r="AT39">
        <v>10.024900000000001</v>
      </c>
      <c r="AU39">
        <v>67.031000000000006</v>
      </c>
      <c r="AV39">
        <v>130.84399999999999</v>
      </c>
      <c r="AW39">
        <v>222.76400000000001</v>
      </c>
      <c r="AX39" s="17">
        <v>52000000000</v>
      </c>
      <c r="AY39">
        <v>3.0349499999999998</v>
      </c>
      <c r="AZ39">
        <v>0.48</v>
      </c>
      <c r="BA39">
        <v>0.1823216</v>
      </c>
      <c r="BB39">
        <v>0.18232159000000001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0.31198999999999999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7.3217000000000004E-3</v>
      </c>
      <c r="CG39">
        <v>0.36723339999999999</v>
      </c>
      <c r="CH39">
        <v>0.11008800000000001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-2.7487529999999998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0.13486039999999999</v>
      </c>
      <c r="DI39">
        <v>7.555644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0.17627200000000001</v>
      </c>
      <c r="DW39">
        <v>-1.319402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13.85201</v>
      </c>
      <c r="EW39">
        <v>7.1158100000000002E-2</v>
      </c>
      <c r="EX39">
        <v>7.1140499999999995E-2</v>
      </c>
      <c r="EY39">
        <v>7.0461300000000004E-2</v>
      </c>
      <c r="EZ39">
        <v>7.1735199999999999E-2</v>
      </c>
      <c r="FA39">
        <v>7.0707699999999998E-2</v>
      </c>
      <c r="FB39">
        <v>7.1956300000000001E-2</v>
      </c>
      <c r="FC39">
        <v>7.2187600000000005E-2</v>
      </c>
      <c r="FD39">
        <v>7.19973E-2</v>
      </c>
      <c r="FE39">
        <v>7.1225200000000002E-2</v>
      </c>
      <c r="FF39">
        <v>7.2019200000000005E-2</v>
      </c>
      <c r="FG39">
        <v>7.1586800000000006E-2</v>
      </c>
      <c r="FH39">
        <v>7.1698799999999993E-2</v>
      </c>
      <c r="FI39">
        <v>7.0839399999999997E-2</v>
      </c>
      <c r="FJ39">
        <v>7.1286600000000006E-2</v>
      </c>
      <c r="FK39">
        <v>0.22010940000000001</v>
      </c>
      <c r="FL39">
        <v>4.8448199999999997E-2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-0.38249830000000001</v>
      </c>
      <c r="FZ39">
        <v>-0.25790099999999999</v>
      </c>
      <c r="GA39">
        <v>1.6933240000000001</v>
      </c>
      <c r="GB39">
        <v>0.88245620000000002</v>
      </c>
      <c r="GC39">
        <v>-0.62252689999999999</v>
      </c>
      <c r="GD39">
        <v>-0.69019140000000001</v>
      </c>
      <c r="GE39">
        <v>-0.57132649999999996</v>
      </c>
      <c r="GF39">
        <v>-1.4815100000000001</v>
      </c>
      <c r="GG39">
        <v>0.1208149</v>
      </c>
      <c r="GH39">
        <v>-2.9909370000000002</v>
      </c>
      <c r="GI39">
        <v>8.945703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0.1056525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-1.4356500000000001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100.4986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20.8</v>
      </c>
      <c r="OD39">
        <v>22581.8</v>
      </c>
      <c r="OE39">
        <v>0</v>
      </c>
      <c r="OF39">
        <v>130.065</v>
      </c>
      <c r="OG39">
        <v>9.5</v>
      </c>
      <c r="OH39">
        <v>67.031000000000006</v>
      </c>
    </row>
    <row r="40" spans="1:398">
      <c r="A40">
        <v>4</v>
      </c>
      <c r="B40" t="s">
        <v>46</v>
      </c>
      <c r="C40" t="s">
        <v>45</v>
      </c>
      <c r="D40">
        <v>2015</v>
      </c>
      <c r="E40">
        <v>15.362</v>
      </c>
      <c r="F40">
        <v>1.4997</v>
      </c>
      <c r="G40">
        <v>729</v>
      </c>
      <c r="H40">
        <v>16.7</v>
      </c>
      <c r="I40">
        <v>91</v>
      </c>
      <c r="J40">
        <v>2.4</v>
      </c>
      <c r="K40">
        <v>15.2</v>
      </c>
      <c r="L40">
        <v>0.3</v>
      </c>
      <c r="M40">
        <v>1.5</v>
      </c>
      <c r="N40">
        <v>6120</v>
      </c>
      <c r="O40">
        <v>1</v>
      </c>
      <c r="P40">
        <v>0.62</v>
      </c>
      <c r="Q40">
        <v>8295.84</v>
      </c>
      <c r="R40">
        <v>32.799999999999997</v>
      </c>
      <c r="S40">
        <v>0.233684</v>
      </c>
      <c r="T40">
        <v>-0.35479749999999999</v>
      </c>
      <c r="U40">
        <v>-0.2172076</v>
      </c>
      <c r="V40">
        <v>1.6933240000000001</v>
      </c>
      <c r="W40">
        <v>-1.1503779999999999</v>
      </c>
      <c r="X40">
        <v>1.104695</v>
      </c>
      <c r="Y40">
        <v>-0.93727819999999995</v>
      </c>
      <c r="Z40">
        <v>-0.62115670000000001</v>
      </c>
      <c r="AA40">
        <v>-1.029191</v>
      </c>
      <c r="AB40">
        <v>-0.32115470000000002</v>
      </c>
      <c r="AC40">
        <v>-0.68697889999999995</v>
      </c>
      <c r="AD40">
        <v>-1.5305139999999999</v>
      </c>
      <c r="AE40">
        <v>0.19917190000000001</v>
      </c>
      <c r="AF40">
        <v>-0.28361049999999999</v>
      </c>
      <c r="AG40">
        <v>-0.58174320000000002</v>
      </c>
      <c r="AH40">
        <v>-1.9913890000000001</v>
      </c>
      <c r="AI40">
        <v>2.731897</v>
      </c>
      <c r="AJ40">
        <v>0.40526509999999999</v>
      </c>
      <c r="AK40">
        <v>6.5916740000000003</v>
      </c>
      <c r="AL40">
        <v>4.510859</v>
      </c>
      <c r="AM40">
        <v>0.87546880000000005</v>
      </c>
      <c r="AN40">
        <v>2.721295</v>
      </c>
      <c r="AO40">
        <v>8.7193170000000002</v>
      </c>
      <c r="AP40">
        <v>-0.47803580000000001</v>
      </c>
      <c r="AQ40">
        <v>9.0235099999999999</v>
      </c>
      <c r="AR40">
        <v>4.8826599999999996</v>
      </c>
      <c r="AS40">
        <v>2.3418100000000002</v>
      </c>
      <c r="AT40">
        <v>10.0642</v>
      </c>
      <c r="AU40">
        <v>66.945999999999998</v>
      </c>
      <c r="AV40">
        <v>137.27600000000001</v>
      </c>
      <c r="AW40">
        <v>145.46199999999999</v>
      </c>
      <c r="AX40" s="17">
        <v>29000000000</v>
      </c>
      <c r="AY40">
        <v>3.0680499999999999</v>
      </c>
      <c r="AZ40">
        <v>0.47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0.16551399999999999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8.5482000000000006E-3</v>
      </c>
      <c r="CG40">
        <v>0.38627420000000001</v>
      </c>
      <c r="CH40">
        <v>0.117075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-2.4690780000000001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0.1492078</v>
      </c>
      <c r="DI40">
        <v>6.0963479999999999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0.18154890000000001</v>
      </c>
      <c r="DW40">
        <v>-1.1604669999999999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13.84808</v>
      </c>
      <c r="EW40">
        <v>7.1182999999999996E-2</v>
      </c>
      <c r="EX40">
        <v>7.1149900000000002E-2</v>
      </c>
      <c r="EY40">
        <v>7.0530999999999996E-2</v>
      </c>
      <c r="EZ40">
        <v>7.1695900000000007E-2</v>
      </c>
      <c r="FA40">
        <v>7.0722400000000005E-2</v>
      </c>
      <c r="FB40">
        <v>7.1939500000000003E-2</v>
      </c>
      <c r="FC40">
        <v>7.2200399999999998E-2</v>
      </c>
      <c r="FD40">
        <v>7.18699E-2</v>
      </c>
      <c r="FE40">
        <v>7.1182999999999996E-2</v>
      </c>
      <c r="FF40">
        <v>7.2017800000000007E-2</v>
      </c>
      <c r="FG40">
        <v>7.1634299999999998E-2</v>
      </c>
      <c r="FH40">
        <v>7.1765800000000005E-2</v>
      </c>
      <c r="FI40">
        <v>7.0848599999999998E-2</v>
      </c>
      <c r="FJ40">
        <v>7.1258500000000002E-2</v>
      </c>
      <c r="FK40">
        <v>0.2322437</v>
      </c>
      <c r="FL40">
        <v>5.3937100000000002E-2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-0.35479749999999999</v>
      </c>
      <c r="FZ40">
        <v>-0.2172076</v>
      </c>
      <c r="GA40">
        <v>1.6933240000000001</v>
      </c>
      <c r="GB40">
        <v>1.104695</v>
      </c>
      <c r="GC40">
        <v>-0.62115670000000001</v>
      </c>
      <c r="GD40">
        <v>-0.68697889999999995</v>
      </c>
      <c r="GE40">
        <v>-0.58174320000000002</v>
      </c>
      <c r="GF40">
        <v>-1.5305139999999999</v>
      </c>
      <c r="GG40">
        <v>0.19917190000000001</v>
      </c>
      <c r="GH40">
        <v>-2.8132760000000001</v>
      </c>
      <c r="GI40">
        <v>7.9145209999999997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0.1091545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-1.3222400000000001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101.28830000000001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21.5</v>
      </c>
      <c r="OD40">
        <v>23487.200000000001</v>
      </c>
      <c r="OE40">
        <v>1.18</v>
      </c>
      <c r="OF40">
        <v>131.98099999999999</v>
      </c>
      <c r="OG40">
        <v>10.4</v>
      </c>
      <c r="OH40">
        <v>66.945999999999998</v>
      </c>
    </row>
    <row r="41" spans="1:398">
      <c r="A41">
        <v>4</v>
      </c>
      <c r="B41" t="s">
        <v>46</v>
      </c>
      <c r="C41" t="s">
        <v>45</v>
      </c>
      <c r="D41">
        <v>2016</v>
      </c>
      <c r="E41">
        <v>16.966999999999999</v>
      </c>
      <c r="F41">
        <v>1.4369000000000001</v>
      </c>
      <c r="G41">
        <v>711</v>
      </c>
      <c r="H41">
        <v>16.3</v>
      </c>
      <c r="I41">
        <v>87.8</v>
      </c>
      <c r="J41">
        <v>2.4</v>
      </c>
      <c r="K41">
        <v>6.6</v>
      </c>
      <c r="L41">
        <v>0.3</v>
      </c>
      <c r="M41">
        <v>1.6</v>
      </c>
      <c r="N41">
        <v>6840</v>
      </c>
      <c r="O41">
        <v>0.8</v>
      </c>
      <c r="P41">
        <v>0.65</v>
      </c>
      <c r="Q41">
        <v>8283.57</v>
      </c>
      <c r="R41">
        <v>33.6</v>
      </c>
      <c r="S41">
        <v>0.233155</v>
      </c>
      <c r="T41">
        <v>-0.1597992</v>
      </c>
      <c r="U41">
        <v>-0.2774799</v>
      </c>
      <c r="V41">
        <v>1.5566599999999999</v>
      </c>
      <c r="W41">
        <v>-1.1761269999999999</v>
      </c>
      <c r="X41">
        <v>0.66021730000000001</v>
      </c>
      <c r="Y41">
        <v>-0.93727819999999995</v>
      </c>
      <c r="Z41">
        <v>-0.62227889999999997</v>
      </c>
      <c r="AA41">
        <v>-1.029191</v>
      </c>
      <c r="AB41">
        <v>-0.18922800000000001</v>
      </c>
      <c r="AC41">
        <v>-0.68315570000000003</v>
      </c>
      <c r="AD41">
        <v>-1.383502</v>
      </c>
      <c r="AE41">
        <v>0.19512699999999999</v>
      </c>
      <c r="AF41">
        <v>-0.24146809999999999</v>
      </c>
      <c r="AG41">
        <v>-0.59215980000000001</v>
      </c>
      <c r="AH41">
        <v>-1.976445</v>
      </c>
      <c r="AI41">
        <v>2.83127</v>
      </c>
      <c r="AJ41">
        <v>0.36248799999999998</v>
      </c>
      <c r="AK41">
        <v>6.5666719999999996</v>
      </c>
      <c r="AL41">
        <v>4.4750610000000002</v>
      </c>
      <c r="AM41">
        <v>0.87546880000000005</v>
      </c>
      <c r="AN41">
        <v>1.88707</v>
      </c>
      <c r="AO41">
        <v>8.8305430000000005</v>
      </c>
      <c r="AP41">
        <v>-0.43078290000000002</v>
      </c>
      <c r="AQ41">
        <v>9.0220289999999999</v>
      </c>
      <c r="AR41">
        <v>4.8970000000000002</v>
      </c>
      <c r="AS41">
        <v>2.3321399999999999</v>
      </c>
      <c r="AT41">
        <v>10.1233</v>
      </c>
      <c r="AU41">
        <v>66.881</v>
      </c>
      <c r="AV41">
        <v>139.02199999999999</v>
      </c>
      <c r="AW41">
        <v>40.425800000000002</v>
      </c>
      <c r="AX41" s="17">
        <v>8500000000</v>
      </c>
      <c r="AY41">
        <v>3.0155400000000001</v>
      </c>
      <c r="AZ41">
        <v>0.47</v>
      </c>
      <c r="BA41">
        <v>-0.22314349999999999</v>
      </c>
      <c r="BB41">
        <v>-0.22314353000000001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1.9039E-2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8.2088999999999999E-3</v>
      </c>
      <c r="CG41">
        <v>0.38547559999999997</v>
      </c>
      <c r="CH41">
        <v>0.117344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-2.5747110000000002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0.14859140000000001</v>
      </c>
      <c r="DI41">
        <v>6.6291370000000001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0.18117349999999999</v>
      </c>
      <c r="DW41">
        <v>-1.2101139999999999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13.849030000000001</v>
      </c>
      <c r="EW41">
        <v>7.1118399999999998E-2</v>
      </c>
      <c r="EX41">
        <v>7.1201899999999999E-2</v>
      </c>
      <c r="EY41">
        <v>7.0613499999999996E-2</v>
      </c>
      <c r="EZ41">
        <v>7.1707300000000002E-2</v>
      </c>
      <c r="FA41">
        <v>7.0833900000000005E-2</v>
      </c>
      <c r="FB41">
        <v>7.1935399999999997E-2</v>
      </c>
      <c r="FC41">
        <v>7.2201699999999994E-2</v>
      </c>
      <c r="FD41">
        <v>7.1866399999999997E-2</v>
      </c>
      <c r="FE41">
        <v>7.1121500000000004E-2</v>
      </c>
      <c r="FF41">
        <v>7.1987800000000005E-2</v>
      </c>
      <c r="FG41">
        <v>7.1656200000000003E-2</v>
      </c>
      <c r="FH41">
        <v>7.1637400000000004E-2</v>
      </c>
      <c r="FI41">
        <v>7.0874999999999994E-2</v>
      </c>
      <c r="FJ41">
        <v>7.1243600000000004E-2</v>
      </c>
      <c r="FK41">
        <v>0.2318712</v>
      </c>
      <c r="FL41">
        <v>5.3764300000000001E-2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-0.1597992</v>
      </c>
      <c r="FZ41">
        <v>-0.2774799</v>
      </c>
      <c r="GA41">
        <v>1.5566599999999999</v>
      </c>
      <c r="GB41">
        <v>0.66021730000000001</v>
      </c>
      <c r="GC41">
        <v>-0.62227889999999997</v>
      </c>
      <c r="GD41">
        <v>-0.68315570000000003</v>
      </c>
      <c r="GE41">
        <v>-0.59215980000000001</v>
      </c>
      <c r="GF41">
        <v>-1.383502</v>
      </c>
      <c r="GG41">
        <v>0.19512699999999999</v>
      </c>
      <c r="GH41">
        <v>-2.8033190000000001</v>
      </c>
      <c r="GI41">
        <v>7.8585960000000004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0.10897950000000001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-1.3175600000000001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102.48099999999999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20.399999999999999</v>
      </c>
      <c r="OD41">
        <v>24916.6</v>
      </c>
      <c r="OE41">
        <v>0</v>
      </c>
      <c r="OF41">
        <v>133.887</v>
      </c>
      <c r="OG41">
        <v>10.3</v>
      </c>
      <c r="OH41">
        <v>66.881</v>
      </c>
    </row>
    <row r="42" spans="1:398">
      <c r="A42">
        <v>4</v>
      </c>
      <c r="B42" t="s">
        <v>46</v>
      </c>
      <c r="C42" t="s">
        <v>45</v>
      </c>
      <c r="D42">
        <v>2017</v>
      </c>
      <c r="E42">
        <v>20.196999999999999</v>
      </c>
      <c r="F42">
        <v>1.2815000000000001</v>
      </c>
      <c r="G42">
        <v>692</v>
      </c>
      <c r="H42">
        <v>16.5</v>
      </c>
      <c r="I42">
        <v>78.3</v>
      </c>
      <c r="J42">
        <v>2.4</v>
      </c>
      <c r="K42">
        <v>8.5</v>
      </c>
      <c r="L42">
        <v>0.5</v>
      </c>
      <c r="M42">
        <v>1.6</v>
      </c>
      <c r="N42">
        <v>7449</v>
      </c>
      <c r="O42">
        <v>0.6</v>
      </c>
      <c r="P42">
        <v>0.67</v>
      </c>
      <c r="Q42">
        <v>7971.41</v>
      </c>
      <c r="R42">
        <v>33.299999999999997</v>
      </c>
      <c r="S42">
        <v>0.230019</v>
      </c>
      <c r="T42">
        <v>0.2326279</v>
      </c>
      <c r="U42">
        <v>-0.42662499999999998</v>
      </c>
      <c r="V42">
        <v>1.4124030000000001</v>
      </c>
      <c r="W42">
        <v>-1.1632530000000001</v>
      </c>
      <c r="X42">
        <v>-0.65932780000000002</v>
      </c>
      <c r="Y42">
        <v>-0.93727819999999995</v>
      </c>
      <c r="Z42">
        <v>-0.622031</v>
      </c>
      <c r="AA42">
        <v>-0.47292210000000001</v>
      </c>
      <c r="AB42">
        <v>-0.18922800000000001</v>
      </c>
      <c r="AC42">
        <v>-0.67992189999999997</v>
      </c>
      <c r="AD42">
        <v>-1.285493</v>
      </c>
      <c r="AE42">
        <v>9.2284599999999994E-2</v>
      </c>
      <c r="AF42">
        <v>-0.25727149999999999</v>
      </c>
      <c r="AG42">
        <v>-0.60257640000000001</v>
      </c>
      <c r="AH42">
        <v>-1.820235</v>
      </c>
      <c r="AI42">
        <v>3.0055339999999999</v>
      </c>
      <c r="AJ42">
        <v>0.24803130000000001</v>
      </c>
      <c r="AK42">
        <v>6.5395859999999999</v>
      </c>
      <c r="AL42">
        <v>4.3605479999999996</v>
      </c>
      <c r="AM42">
        <v>0.87546880000000005</v>
      </c>
      <c r="AN42">
        <v>2.140066</v>
      </c>
      <c r="AO42">
        <v>8.9158349999999995</v>
      </c>
      <c r="AP42">
        <v>-0.40047749999999999</v>
      </c>
      <c r="AQ42">
        <v>8.9836170000000006</v>
      </c>
      <c r="AR42">
        <v>4.9107700000000003</v>
      </c>
      <c r="AS42">
        <v>2.38876</v>
      </c>
      <c r="AT42">
        <v>10.1699</v>
      </c>
      <c r="AU42">
        <v>66.835999999999999</v>
      </c>
      <c r="AV42">
        <v>148.01300000000001</v>
      </c>
      <c r="AW42">
        <v>62.783099999999997</v>
      </c>
      <c r="AX42" s="17">
        <v>14000000000</v>
      </c>
      <c r="AY42">
        <v>3.0397500000000002</v>
      </c>
      <c r="AZ42">
        <v>0.55000000000000004</v>
      </c>
      <c r="BA42">
        <v>-0.51082559999999999</v>
      </c>
      <c r="BB42">
        <v>-0.51082556999999995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-0.12743599999999999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8.2743999999999995E-3</v>
      </c>
      <c r="CG42">
        <v>0.38756259999999998</v>
      </c>
      <c r="CH42">
        <v>0.118711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-2.4328919999999998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0.1502047</v>
      </c>
      <c r="DI42">
        <v>5.918965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0.2131594</v>
      </c>
      <c r="DW42">
        <v>-1.3380909999999999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13.851279999999999</v>
      </c>
      <c r="EW42">
        <v>7.0982799999999999E-2</v>
      </c>
      <c r="EX42">
        <v>7.1306700000000001E-2</v>
      </c>
      <c r="EY42">
        <v>7.0686399999999996E-2</v>
      </c>
      <c r="EZ42">
        <v>7.1692500000000006E-2</v>
      </c>
      <c r="FA42">
        <v>7.1107600000000007E-2</v>
      </c>
      <c r="FB42">
        <v>7.1924600000000005E-2</v>
      </c>
      <c r="FC42">
        <v>7.2188500000000003E-2</v>
      </c>
      <c r="FD42">
        <v>7.1608099999999994E-2</v>
      </c>
      <c r="FE42">
        <v>7.1127700000000002E-2</v>
      </c>
      <c r="FF42">
        <v>7.1955699999999997E-2</v>
      </c>
      <c r="FG42">
        <v>7.1671200000000004E-2</v>
      </c>
      <c r="FH42">
        <v>7.1552099999999993E-2</v>
      </c>
      <c r="FI42">
        <v>7.0941900000000002E-2</v>
      </c>
      <c r="FJ42">
        <v>7.1254200000000004E-2</v>
      </c>
      <c r="FK42">
        <v>0.22898940000000001</v>
      </c>
      <c r="FL42">
        <v>5.2436200000000002E-2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0.2326279</v>
      </c>
      <c r="FZ42">
        <v>-0.42662499999999998</v>
      </c>
      <c r="GA42">
        <v>1.4124030000000001</v>
      </c>
      <c r="GB42">
        <v>-0.65932780000000002</v>
      </c>
      <c r="GC42">
        <v>-0.622031</v>
      </c>
      <c r="GD42">
        <v>-0.67992189999999997</v>
      </c>
      <c r="GE42">
        <v>-0.60257640000000001</v>
      </c>
      <c r="GF42">
        <v>-1.285493</v>
      </c>
      <c r="GG42">
        <v>9.2284599999999994E-2</v>
      </c>
      <c r="GH42">
        <v>-2.5774360000000001</v>
      </c>
      <c r="GI42">
        <v>6.6431779999999998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0.12594420000000001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-1.4175899999999999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103.4269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20.9</v>
      </c>
      <c r="OD42">
        <v>26105.599999999999</v>
      </c>
      <c r="OE42">
        <v>0</v>
      </c>
      <c r="OF42">
        <v>135.744</v>
      </c>
      <c r="OG42">
        <v>10.9</v>
      </c>
      <c r="OH42">
        <v>66.835999999999999</v>
      </c>
    </row>
    <row r="43" spans="1:398">
      <c r="A43">
        <v>4</v>
      </c>
      <c r="B43" t="s">
        <v>46</v>
      </c>
      <c r="C43" t="s">
        <v>45</v>
      </c>
      <c r="D43">
        <v>2018</v>
      </c>
      <c r="E43">
        <v>19.367999999999999</v>
      </c>
      <c r="F43">
        <v>1.3594999999999999</v>
      </c>
      <c r="G43">
        <v>681</v>
      </c>
      <c r="H43">
        <v>16.8</v>
      </c>
      <c r="I43">
        <v>90.6</v>
      </c>
      <c r="J43">
        <v>2.8</v>
      </c>
      <c r="K43">
        <v>29.4</v>
      </c>
      <c r="L43">
        <v>0.4</v>
      </c>
      <c r="M43">
        <v>1.7</v>
      </c>
      <c r="N43">
        <v>8291</v>
      </c>
      <c r="O43">
        <v>0.4</v>
      </c>
      <c r="P43">
        <v>0.67</v>
      </c>
      <c r="Q43">
        <v>7773.43</v>
      </c>
      <c r="R43">
        <v>34</v>
      </c>
      <c r="S43">
        <v>0.23976900000000001</v>
      </c>
      <c r="T43">
        <v>0.131909</v>
      </c>
      <c r="U43">
        <v>-0.35176449999999998</v>
      </c>
      <c r="V43">
        <v>1.328886</v>
      </c>
      <c r="W43">
        <v>-1.1439410000000001</v>
      </c>
      <c r="X43">
        <v>1.0491349999999999</v>
      </c>
      <c r="Y43">
        <v>-0.87322580000000005</v>
      </c>
      <c r="Z43">
        <v>-0.61930379999999996</v>
      </c>
      <c r="AA43">
        <v>-0.75105639999999996</v>
      </c>
      <c r="AB43">
        <v>-5.7301400000000002E-2</v>
      </c>
      <c r="AC43">
        <v>-0.67545089999999997</v>
      </c>
      <c r="AD43">
        <v>-1.285493</v>
      </c>
      <c r="AE43">
        <v>2.7056400000000001E-2</v>
      </c>
      <c r="AF43">
        <v>-0.2203967</v>
      </c>
      <c r="AG43">
        <v>-0.61299309999999996</v>
      </c>
      <c r="AH43">
        <v>-1.988639</v>
      </c>
      <c r="AI43">
        <v>2.963622</v>
      </c>
      <c r="AJ43">
        <v>0.30711699999999997</v>
      </c>
      <c r="AK43">
        <v>6.5235620000000001</v>
      </c>
      <c r="AL43">
        <v>4.5064539999999997</v>
      </c>
      <c r="AM43">
        <v>1.0296190000000001</v>
      </c>
      <c r="AN43">
        <v>3.380995</v>
      </c>
      <c r="AO43">
        <v>9.022926</v>
      </c>
      <c r="AP43">
        <v>-0.40047749999999999</v>
      </c>
      <c r="AQ43">
        <v>8.9584670000000006</v>
      </c>
      <c r="AR43">
        <v>4.9238099999999996</v>
      </c>
      <c r="AS43">
        <v>2.4849100000000002</v>
      </c>
      <c r="AT43">
        <v>10.218500000000001</v>
      </c>
      <c r="AU43">
        <v>66.81</v>
      </c>
      <c r="AV43">
        <v>147.624</v>
      </c>
      <c r="AW43">
        <v>-4.3110200000000001</v>
      </c>
      <c r="AX43" s="17">
        <v>-1100000000</v>
      </c>
      <c r="AY43">
        <v>3.0539999999999998</v>
      </c>
      <c r="AZ43">
        <v>0.54</v>
      </c>
      <c r="BA43">
        <v>-0.91629059999999996</v>
      </c>
      <c r="BB43">
        <v>-0.91629064000000005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-0.27391199999999999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8.4034000000000001E-3</v>
      </c>
      <c r="CG43">
        <v>0.40386949999999999</v>
      </c>
      <c r="CH43">
        <v>0.119742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-2.4641329999999999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0.16311059999999999</v>
      </c>
      <c r="DI43">
        <v>6.0719510000000003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0.21808959999999999</v>
      </c>
      <c r="DW43">
        <v>-1.330632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13.84867</v>
      </c>
      <c r="EW43">
        <v>7.10538E-2</v>
      </c>
      <c r="EX43">
        <v>7.12806E-2</v>
      </c>
      <c r="EY43">
        <v>7.0761299999999999E-2</v>
      </c>
      <c r="EZ43">
        <v>7.1699799999999994E-2</v>
      </c>
      <c r="FA43">
        <v>7.0818000000000006E-2</v>
      </c>
      <c r="FB43">
        <v>7.1868000000000001E-2</v>
      </c>
      <c r="FC43">
        <v>7.2187799999999996E-2</v>
      </c>
      <c r="FD43">
        <v>7.1743699999999994E-2</v>
      </c>
      <c r="FE43">
        <v>7.1090299999999995E-2</v>
      </c>
      <c r="FF43">
        <v>7.19418E-2</v>
      </c>
      <c r="FG43">
        <v>7.17111E-2</v>
      </c>
      <c r="FH43">
        <v>7.1571200000000001E-2</v>
      </c>
      <c r="FI43">
        <v>7.10118E-2</v>
      </c>
      <c r="FJ43">
        <v>7.1260900000000002E-2</v>
      </c>
      <c r="FK43">
        <v>0.2386585</v>
      </c>
      <c r="FL43">
        <v>5.6957899999999999E-2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0.131909</v>
      </c>
      <c r="FZ43">
        <v>-0.35176449999999998</v>
      </c>
      <c r="GA43">
        <v>1.328886</v>
      </c>
      <c r="GB43">
        <v>1.0491349999999999</v>
      </c>
      <c r="GC43">
        <v>-0.61930379999999996</v>
      </c>
      <c r="GD43">
        <v>-0.67545089999999997</v>
      </c>
      <c r="GE43">
        <v>-0.61299309999999996</v>
      </c>
      <c r="GF43">
        <v>-1.285493</v>
      </c>
      <c r="GG43">
        <v>2.7056400000000001E-2</v>
      </c>
      <c r="GH43">
        <v>-2.8332739999999998</v>
      </c>
      <c r="GI43">
        <v>8.0274439999999991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0.12887560000000001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-1.529968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104.4186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21.2</v>
      </c>
      <c r="OD43">
        <v>27406.5</v>
      </c>
      <c r="OE43">
        <v>0</v>
      </c>
      <c r="OF43">
        <v>137.52600000000001</v>
      </c>
      <c r="OG43">
        <v>12</v>
      </c>
      <c r="OH43">
        <v>66.81</v>
      </c>
    </row>
    <row r="44" spans="1:398">
      <c r="A44">
        <v>4</v>
      </c>
      <c r="B44" t="s">
        <v>46</v>
      </c>
      <c r="C44" t="s">
        <v>45</v>
      </c>
      <c r="D44">
        <v>2019</v>
      </c>
      <c r="E44">
        <v>20.504999999999999</v>
      </c>
      <c r="F44">
        <v>1.3320000000000001</v>
      </c>
      <c r="G44">
        <v>635</v>
      </c>
      <c r="H44">
        <v>16.899999999999999</v>
      </c>
      <c r="I44">
        <v>81.400000000000006</v>
      </c>
      <c r="J44">
        <v>3.2</v>
      </c>
      <c r="K44">
        <v>16.600000000000001</v>
      </c>
      <c r="L44">
        <v>0.3</v>
      </c>
      <c r="M44">
        <v>1.8</v>
      </c>
      <c r="N44">
        <v>8664</v>
      </c>
      <c r="O44">
        <v>0.2</v>
      </c>
      <c r="P44">
        <v>0.67</v>
      </c>
      <c r="Q44">
        <v>7575.44</v>
      </c>
      <c r="R44">
        <v>31.4</v>
      </c>
      <c r="S44">
        <v>0.22153300000000001</v>
      </c>
      <c r="T44">
        <v>0.27004800000000001</v>
      </c>
      <c r="U44">
        <v>-0.37815759999999998</v>
      </c>
      <c r="V44">
        <v>0.97963259999999996</v>
      </c>
      <c r="W44">
        <v>-1.1375040000000001</v>
      </c>
      <c r="X44">
        <v>-0.22873959999999999</v>
      </c>
      <c r="Y44">
        <v>-0.80917340000000004</v>
      </c>
      <c r="Z44">
        <v>-0.62097400000000003</v>
      </c>
      <c r="AA44">
        <v>-1.029191</v>
      </c>
      <c r="AB44">
        <v>7.46251E-2</v>
      </c>
      <c r="AC44">
        <v>-0.67347029999999997</v>
      </c>
      <c r="AD44">
        <v>-1.285493</v>
      </c>
      <c r="AE44">
        <v>-3.8171799999999999E-2</v>
      </c>
      <c r="AF44">
        <v>-0.35735990000000001</v>
      </c>
      <c r="AG44">
        <v>-0.62340969999999996</v>
      </c>
      <c r="AH44">
        <v>-2.0124569999999999</v>
      </c>
      <c r="AI44">
        <v>3.0206689999999998</v>
      </c>
      <c r="AJ44">
        <v>0.28668159999999998</v>
      </c>
      <c r="AK44">
        <v>6.4536249999999997</v>
      </c>
      <c r="AL44">
        <v>4.399375</v>
      </c>
      <c r="AM44">
        <v>1.163151</v>
      </c>
      <c r="AN44">
        <v>2.8094030000000001</v>
      </c>
      <c r="AO44">
        <v>9.0669319999999995</v>
      </c>
      <c r="AP44">
        <v>-0.40047749999999999</v>
      </c>
      <c r="AQ44">
        <v>8.9326670000000004</v>
      </c>
      <c r="AR44">
        <v>4.9362700000000004</v>
      </c>
      <c r="AS44">
        <v>2.4849100000000002</v>
      </c>
      <c r="AT44">
        <v>10.2621</v>
      </c>
      <c r="AU44">
        <v>66.805000000000007</v>
      </c>
      <c r="AV44">
        <v>150.506</v>
      </c>
      <c r="AW44">
        <v>201.685</v>
      </c>
      <c r="AX44" s="17">
        <v>53000000000</v>
      </c>
      <c r="AY44">
        <v>3.09104</v>
      </c>
      <c r="AZ44">
        <v>0.52</v>
      </c>
      <c r="BA44">
        <v>-1.6094379999999999</v>
      </c>
      <c r="BB44">
        <v>-1.6094377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-0.42038700000000001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8.3984000000000003E-3</v>
      </c>
      <c r="CG44">
        <v>0.3833821</v>
      </c>
      <c r="CH44">
        <v>0.113444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-2.6844229999999998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0.1469818</v>
      </c>
      <c r="DI44">
        <v>7.2061250000000001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0.1993587</v>
      </c>
      <c r="DW44">
        <v>-1.3958999999999999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13.85689</v>
      </c>
      <c r="EW44">
        <v>7.0984900000000004E-2</v>
      </c>
      <c r="EX44">
        <v>7.1268399999999996E-2</v>
      </c>
      <c r="EY44">
        <v>7.0858000000000004E-2</v>
      </c>
      <c r="EZ44">
        <v>7.1657499999999999E-2</v>
      </c>
      <c r="FA44">
        <v>7.1037199999999995E-2</v>
      </c>
      <c r="FB44">
        <v>7.1760199999999996E-2</v>
      </c>
      <c r="FC44">
        <v>7.2153499999999995E-2</v>
      </c>
      <c r="FD44">
        <v>7.1831900000000004E-2</v>
      </c>
      <c r="FE44">
        <v>7.1002300000000004E-2</v>
      </c>
      <c r="FF44">
        <v>7.1887800000000002E-2</v>
      </c>
      <c r="FG44">
        <v>7.1694800000000003E-2</v>
      </c>
      <c r="FH44">
        <v>7.1534299999999995E-2</v>
      </c>
      <c r="FI44">
        <v>7.1023799999999998E-2</v>
      </c>
      <c r="FJ44">
        <v>7.1305199999999999E-2</v>
      </c>
      <c r="FK44">
        <v>0.22065190000000001</v>
      </c>
      <c r="FL44">
        <v>4.8687300000000003E-2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0.27004800000000001</v>
      </c>
      <c r="FZ44">
        <v>-0.37815759999999998</v>
      </c>
      <c r="GA44">
        <v>0.97963259999999996</v>
      </c>
      <c r="GB44">
        <v>-0.22873959999999999</v>
      </c>
      <c r="GC44">
        <v>-0.62097400000000003</v>
      </c>
      <c r="GD44">
        <v>-0.67347029999999997</v>
      </c>
      <c r="GE44">
        <v>-0.62340969999999996</v>
      </c>
      <c r="GF44">
        <v>-1.285493</v>
      </c>
      <c r="GG44">
        <v>-3.8171799999999999E-2</v>
      </c>
      <c r="GH44">
        <v>-2.830139</v>
      </c>
      <c r="GI44">
        <v>8.0096860000000003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0.11473899999999999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-1.4716720000000001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105.3099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22</v>
      </c>
      <c r="OD44">
        <v>28625.8</v>
      </c>
      <c r="OE44">
        <v>0</v>
      </c>
      <c r="OF44">
        <v>139.25</v>
      </c>
      <c r="OG44">
        <v>12</v>
      </c>
      <c r="OH44">
        <v>66.805000000000007</v>
      </c>
    </row>
    <row r="45" spans="1:398">
      <c r="A45">
        <v>4</v>
      </c>
      <c r="B45" t="s">
        <v>46</v>
      </c>
      <c r="C45" t="s">
        <v>45</v>
      </c>
      <c r="D45">
        <v>2020</v>
      </c>
      <c r="E45">
        <v>19.562999999999999</v>
      </c>
      <c r="F45">
        <v>1.3385</v>
      </c>
      <c r="G45">
        <v>619</v>
      </c>
      <c r="H45">
        <v>17</v>
      </c>
      <c r="I45">
        <v>90.9</v>
      </c>
      <c r="J45">
        <v>3.8</v>
      </c>
      <c r="K45">
        <v>9</v>
      </c>
      <c r="L45">
        <v>0.2</v>
      </c>
      <c r="M45">
        <v>1.7</v>
      </c>
      <c r="N45">
        <v>8348</v>
      </c>
      <c r="O45" s="17">
        <v>5.9999999999999995E-8</v>
      </c>
      <c r="P45">
        <v>0.67</v>
      </c>
      <c r="Q45">
        <v>7377.46</v>
      </c>
      <c r="R45">
        <v>32.4</v>
      </c>
      <c r="S45">
        <v>0.224463</v>
      </c>
      <c r="T45">
        <v>0.1556003</v>
      </c>
      <c r="U45">
        <v>-0.37191920000000001</v>
      </c>
      <c r="V45">
        <v>0.8581531</v>
      </c>
      <c r="W45">
        <v>-1.1310659999999999</v>
      </c>
      <c r="X45">
        <v>1.090805</v>
      </c>
      <c r="Y45">
        <v>-0.71309480000000003</v>
      </c>
      <c r="Z45">
        <v>-0.62196580000000001</v>
      </c>
      <c r="AA45">
        <v>-1.3073250000000001</v>
      </c>
      <c r="AB45">
        <v>-5.7301400000000002E-2</v>
      </c>
      <c r="AC45">
        <v>-0.67514819999999998</v>
      </c>
      <c r="AD45">
        <v>-1.285493</v>
      </c>
      <c r="AE45">
        <v>-0.10340000000000001</v>
      </c>
      <c r="AF45">
        <v>-0.3046817</v>
      </c>
      <c r="AG45">
        <v>-0.63382640000000001</v>
      </c>
      <c r="AH45">
        <v>-2.1593810000000002</v>
      </c>
      <c r="AI45">
        <v>2.9736400000000001</v>
      </c>
      <c r="AJ45">
        <v>0.29154960000000002</v>
      </c>
      <c r="AK45">
        <v>6.4281050000000004</v>
      </c>
      <c r="AL45">
        <v>4.50976</v>
      </c>
      <c r="AM45">
        <v>1.3350010000000001</v>
      </c>
      <c r="AN45">
        <v>2.197225</v>
      </c>
      <c r="AO45">
        <v>9.0297780000000003</v>
      </c>
      <c r="AP45">
        <v>-0.40047749999999999</v>
      </c>
      <c r="AQ45">
        <v>8.9061839999999997</v>
      </c>
      <c r="AR45">
        <v>4.9483100000000002</v>
      </c>
      <c r="AS45">
        <v>2.7080500000000001</v>
      </c>
      <c r="AT45">
        <v>10.218</v>
      </c>
      <c r="AU45">
        <v>66.820999999999998</v>
      </c>
      <c r="AV45">
        <v>160.66900000000001</v>
      </c>
      <c r="AW45">
        <v>-101.833</v>
      </c>
      <c r="AX45" s="17">
        <v>-26000000000</v>
      </c>
      <c r="AY45">
        <v>3.1090599999999999</v>
      </c>
      <c r="AZ45">
        <v>0.5</v>
      </c>
      <c r="BA45">
        <v>-16.63561</v>
      </c>
      <c r="BB45">
        <v>-16.635611000000001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-0.56686300000000001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8.3929999999999994E-3</v>
      </c>
      <c r="CG45">
        <v>0.3315051</v>
      </c>
      <c r="CH45">
        <v>0.11185299999999999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-5.381894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0.1098956</v>
      </c>
      <c r="DI45">
        <v>28.964780000000001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0.1657525</v>
      </c>
      <c r="DW45">
        <v>-2.690947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13.8588</v>
      </c>
      <c r="EW45">
        <v>7.1034799999999995E-2</v>
      </c>
      <c r="EX45">
        <v>7.1266099999999999E-2</v>
      </c>
      <c r="EY45">
        <v>7.0912299999999998E-2</v>
      </c>
      <c r="EZ45">
        <v>7.16479E-2</v>
      </c>
      <c r="FA45">
        <v>7.0812299999999995E-2</v>
      </c>
      <c r="FB45">
        <v>7.1659100000000003E-2</v>
      </c>
      <c r="FC45">
        <v>7.2149000000000005E-2</v>
      </c>
      <c r="FD45">
        <v>7.1967699999999996E-2</v>
      </c>
      <c r="FE45">
        <v>7.1076899999999998E-2</v>
      </c>
      <c r="FF45">
        <v>7.1889099999999997E-2</v>
      </c>
      <c r="FG45">
        <v>7.17111E-2</v>
      </c>
      <c r="FH45">
        <v>7.1529800000000004E-2</v>
      </c>
      <c r="FI45">
        <v>7.1066099999999993E-2</v>
      </c>
      <c r="FJ45">
        <v>7.1277699999999999E-2</v>
      </c>
      <c r="FK45">
        <v>0.22349479999999999</v>
      </c>
      <c r="FL45">
        <v>4.9949899999999998E-2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0.1556003</v>
      </c>
      <c r="FZ45">
        <v>-0.37191920000000001</v>
      </c>
      <c r="GA45">
        <v>0.8581531</v>
      </c>
      <c r="GB45">
        <v>1.090805</v>
      </c>
      <c r="GC45">
        <v>-0.62196580000000001</v>
      </c>
      <c r="GD45">
        <v>-0.67514819999999998</v>
      </c>
      <c r="GE45">
        <v>-0.63382640000000001</v>
      </c>
      <c r="GF45">
        <v>-1.285493</v>
      </c>
      <c r="GG45">
        <v>-0.10340000000000001</v>
      </c>
      <c r="GH45">
        <v>-3.059863</v>
      </c>
      <c r="GI45">
        <v>9.3627629999999993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0.1117474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-1.5299320000000001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104.40730000000001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22.4</v>
      </c>
      <c r="OD45">
        <v>27391.599999999999</v>
      </c>
      <c r="OE45">
        <v>0</v>
      </c>
      <c r="OF45">
        <v>140.93600000000001</v>
      </c>
      <c r="OG45">
        <v>15</v>
      </c>
      <c r="OH45">
        <v>66.820999999999998</v>
      </c>
    </row>
    <row r="46" spans="1:398">
      <c r="A46">
        <v>5</v>
      </c>
      <c r="B46" t="s">
        <v>44</v>
      </c>
      <c r="C46" t="s">
        <v>43</v>
      </c>
      <c r="D46">
        <v>2010</v>
      </c>
      <c r="E46">
        <v>17.001999999999999</v>
      </c>
      <c r="F46">
        <v>0.93799999999999994</v>
      </c>
      <c r="G46">
        <v>279</v>
      </c>
      <c r="H46">
        <v>15.8</v>
      </c>
      <c r="I46">
        <v>86.7</v>
      </c>
      <c r="J46">
        <v>5.3</v>
      </c>
      <c r="K46">
        <v>7435.2</v>
      </c>
      <c r="L46">
        <v>0.3</v>
      </c>
      <c r="M46">
        <v>1.4</v>
      </c>
      <c r="N46">
        <v>114395</v>
      </c>
      <c r="O46">
        <v>7.65</v>
      </c>
      <c r="P46">
        <v>1.0900000000000001</v>
      </c>
      <c r="Q46">
        <v>10602</v>
      </c>
      <c r="R46">
        <v>29.3</v>
      </c>
      <c r="S46">
        <v>0.247533</v>
      </c>
      <c r="T46">
        <v>-0.15554670000000001</v>
      </c>
      <c r="U46">
        <v>-0.7562991</v>
      </c>
      <c r="V46">
        <v>-1.723285</v>
      </c>
      <c r="W46">
        <v>-1.2083140000000001</v>
      </c>
      <c r="X46">
        <v>0.50742699999999996</v>
      </c>
      <c r="Y46">
        <v>-0.4728984</v>
      </c>
      <c r="Z46">
        <v>0.34708749999999999</v>
      </c>
      <c r="AA46">
        <v>-1.029191</v>
      </c>
      <c r="AB46">
        <v>-0.45308130000000002</v>
      </c>
      <c r="AC46">
        <v>-0.11204119999999999</v>
      </c>
      <c r="AD46">
        <v>0.77268210000000004</v>
      </c>
      <c r="AE46">
        <v>0.9589491</v>
      </c>
      <c r="AF46">
        <v>-0.46798400000000001</v>
      </c>
      <c r="AG46">
        <v>-0.2353896</v>
      </c>
      <c r="AH46">
        <v>-1.306281</v>
      </c>
      <c r="AI46">
        <v>2.8333309999999998</v>
      </c>
      <c r="AJ46">
        <v>-6.4005300000000001E-2</v>
      </c>
      <c r="AK46">
        <v>5.6312119999999997</v>
      </c>
      <c r="AL46">
        <v>4.4624540000000001</v>
      </c>
      <c r="AM46">
        <v>1.6677070000000001</v>
      </c>
      <c r="AN46">
        <v>8.9139800000000005</v>
      </c>
      <c r="AO46">
        <v>11.647410000000001</v>
      </c>
      <c r="AP46">
        <v>8.6177699999999996E-2</v>
      </c>
      <c r="AQ46">
        <v>9.268796</v>
      </c>
      <c r="AR46">
        <v>4.9099000000000004</v>
      </c>
      <c r="AS46">
        <v>2.38876</v>
      </c>
      <c r="AT46">
        <v>9.7211200000000009</v>
      </c>
      <c r="AU46">
        <v>73.254999999999995</v>
      </c>
      <c r="AV46">
        <v>126.756</v>
      </c>
      <c r="AW46">
        <v>4.8150300000000001</v>
      </c>
      <c r="AX46" s="17">
        <v>10000000000</v>
      </c>
      <c r="AY46">
        <v>3.0445199999999999</v>
      </c>
      <c r="AZ46">
        <v>0.45</v>
      </c>
      <c r="BA46">
        <v>2.0347059999999999</v>
      </c>
      <c r="BB46">
        <v>2.0347056000000001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-0.31471100000000002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7.5547000000000001E-3</v>
      </c>
      <c r="CG46">
        <v>0.44621949999999999</v>
      </c>
      <c r="CH46">
        <v>0.18967200000000001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-0.77278179999999996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0.19911180000000001</v>
      </c>
      <c r="DI46">
        <v>0.59719180000000005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0.2007988</v>
      </c>
      <c r="DW46">
        <v>-0.3477518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13.798299999999999</v>
      </c>
      <c r="EW46">
        <v>7.1472300000000002E-2</v>
      </c>
      <c r="EX46">
        <v>7.1862400000000007E-2</v>
      </c>
      <c r="EY46">
        <v>7.2292400000000007E-2</v>
      </c>
      <c r="EZ46">
        <v>7.2002899999999995E-2</v>
      </c>
      <c r="FA46">
        <v>7.1250400000000005E-2</v>
      </c>
      <c r="FB46">
        <v>7.1766700000000003E-2</v>
      </c>
      <c r="FC46">
        <v>7.0627999999999996E-2</v>
      </c>
      <c r="FD46">
        <v>7.2138900000000006E-2</v>
      </c>
      <c r="FE46">
        <v>7.1609000000000006E-2</v>
      </c>
      <c r="FF46">
        <v>7.0329100000000005E-2</v>
      </c>
      <c r="FG46">
        <v>7.1313000000000001E-2</v>
      </c>
      <c r="FH46">
        <v>7.0715700000000006E-2</v>
      </c>
      <c r="FI46">
        <v>7.0929300000000001E-2</v>
      </c>
      <c r="FJ46">
        <v>7.1690000000000004E-2</v>
      </c>
      <c r="FK46">
        <v>0.246832</v>
      </c>
      <c r="FL46">
        <v>6.0926000000000001E-2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-0.15554670000000001</v>
      </c>
      <c r="FZ46">
        <v>-0.7562991</v>
      </c>
      <c r="GA46">
        <v>-1.723285</v>
      </c>
      <c r="GB46">
        <v>0.50742699999999996</v>
      </c>
      <c r="GC46">
        <v>0.34708749999999999</v>
      </c>
      <c r="GD46">
        <v>-0.11204119999999999</v>
      </c>
      <c r="GE46">
        <v>-0.2353896</v>
      </c>
      <c r="GF46">
        <v>0.77268210000000004</v>
      </c>
      <c r="GG46">
        <v>0.9589491</v>
      </c>
      <c r="GH46">
        <v>-1.8006009999999999</v>
      </c>
      <c r="GI46">
        <v>3.2421639999999998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0.1110744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-0.8102705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94.50018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21</v>
      </c>
      <c r="OD46">
        <v>16665.900000000001</v>
      </c>
      <c r="OE46">
        <v>0.73</v>
      </c>
      <c r="OF46">
        <v>135.626</v>
      </c>
      <c r="OG46">
        <v>10.9</v>
      </c>
      <c r="OH46">
        <v>73.254999999999995</v>
      </c>
    </row>
    <row r="47" spans="1:398">
      <c r="A47">
        <v>5</v>
      </c>
      <c r="B47" t="s">
        <v>44</v>
      </c>
      <c r="C47" t="s">
        <v>43</v>
      </c>
      <c r="D47">
        <v>2011</v>
      </c>
      <c r="E47">
        <v>17.271000000000001</v>
      </c>
      <c r="F47">
        <v>0.90429999999999999</v>
      </c>
      <c r="G47">
        <v>280</v>
      </c>
      <c r="H47">
        <v>16.899999999999999</v>
      </c>
      <c r="I47">
        <v>86.8</v>
      </c>
      <c r="J47">
        <v>5.4</v>
      </c>
      <c r="K47">
        <v>9869.4</v>
      </c>
      <c r="L47">
        <v>0.3</v>
      </c>
      <c r="M47">
        <v>1.4</v>
      </c>
      <c r="N47">
        <v>117602</v>
      </c>
      <c r="O47">
        <v>4.46</v>
      </c>
      <c r="P47">
        <v>1.07</v>
      </c>
      <c r="Q47">
        <v>10130.799999999999</v>
      </c>
      <c r="R47">
        <v>29.1</v>
      </c>
      <c r="S47">
        <v>0.247197</v>
      </c>
      <c r="T47">
        <v>-0.1228648</v>
      </c>
      <c r="U47">
        <v>-0.78864279999999998</v>
      </c>
      <c r="V47">
        <v>-1.7156929999999999</v>
      </c>
      <c r="W47">
        <v>-1.1375040000000001</v>
      </c>
      <c r="X47">
        <v>0.52131780000000005</v>
      </c>
      <c r="Y47">
        <v>-0.45688529999999999</v>
      </c>
      <c r="Z47">
        <v>0.66472909999999996</v>
      </c>
      <c r="AA47">
        <v>-1.029191</v>
      </c>
      <c r="AB47">
        <v>-0.45308130000000002</v>
      </c>
      <c r="AC47">
        <v>-9.5012100000000002E-2</v>
      </c>
      <c r="AD47">
        <v>0.67467390000000005</v>
      </c>
      <c r="AE47">
        <v>0.80373240000000001</v>
      </c>
      <c r="AF47">
        <v>-0.47851949999999999</v>
      </c>
      <c r="AG47">
        <v>-0.40153519999999998</v>
      </c>
      <c r="AH47">
        <v>-1.270065</v>
      </c>
      <c r="AI47">
        <v>2.8490289999999998</v>
      </c>
      <c r="AJ47">
        <v>-0.10059410000000001</v>
      </c>
      <c r="AK47">
        <v>5.6347889999999996</v>
      </c>
      <c r="AL47">
        <v>4.4636069999999997</v>
      </c>
      <c r="AM47">
        <v>1.686399</v>
      </c>
      <c r="AN47">
        <v>9.1971939999999996</v>
      </c>
      <c r="AO47">
        <v>11.67506</v>
      </c>
      <c r="AP47">
        <v>6.7658700000000002E-2</v>
      </c>
      <c r="AQ47">
        <v>9.2233400000000003</v>
      </c>
      <c r="AR47">
        <v>4.9119700000000002</v>
      </c>
      <c r="AS47">
        <v>2.5014400000000001</v>
      </c>
      <c r="AT47">
        <v>9.7366200000000003</v>
      </c>
      <c r="AU47">
        <v>73.185000000000002</v>
      </c>
      <c r="AV47">
        <v>136.751</v>
      </c>
      <c r="AW47">
        <v>1.8099400000000001</v>
      </c>
      <c r="AX47" s="17">
        <v>4200000000</v>
      </c>
      <c r="AY47">
        <v>3.1135100000000002</v>
      </c>
      <c r="AZ47">
        <v>0.45</v>
      </c>
      <c r="BA47">
        <v>1.4951490000000001</v>
      </c>
      <c r="BB47">
        <v>1.4951487999999999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-0.86750099999999997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8.1972E-3</v>
      </c>
      <c r="CG47">
        <v>0.44444620000000001</v>
      </c>
      <c r="CH47">
        <v>0.198601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-0.84827790000000003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0.1975325</v>
      </c>
      <c r="DI47">
        <v>0.71957530000000003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0.20000080000000001</v>
      </c>
      <c r="DW47">
        <v>-0.38172499999999998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13.80193</v>
      </c>
      <c r="EW47">
        <v>7.1456800000000001E-2</v>
      </c>
      <c r="EX47">
        <v>7.1873300000000001E-2</v>
      </c>
      <c r="EY47">
        <v>7.2269100000000003E-2</v>
      </c>
      <c r="EZ47">
        <v>7.1952500000000003E-2</v>
      </c>
      <c r="FA47">
        <v>7.1252200000000002E-2</v>
      </c>
      <c r="FB47">
        <v>7.1741700000000005E-2</v>
      </c>
      <c r="FC47">
        <v>7.0319000000000007E-2</v>
      </c>
      <c r="FD47">
        <v>7.2121299999999999E-2</v>
      </c>
      <c r="FE47">
        <v>7.1600800000000006E-2</v>
      </c>
      <c r="FF47">
        <v>7.0354E-2</v>
      </c>
      <c r="FG47">
        <v>7.1574899999999997E-2</v>
      </c>
      <c r="FH47">
        <v>7.0789199999999997E-2</v>
      </c>
      <c r="FI47">
        <v>7.1009799999999998E-2</v>
      </c>
      <c r="FJ47">
        <v>7.1685600000000002E-2</v>
      </c>
      <c r="FK47">
        <v>0.24650349999999999</v>
      </c>
      <c r="FL47">
        <v>6.0763999999999999E-2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-0.1228648</v>
      </c>
      <c r="FZ47">
        <v>-0.78864279999999998</v>
      </c>
      <c r="GA47">
        <v>-1.7156929999999999</v>
      </c>
      <c r="GB47">
        <v>0.52131780000000005</v>
      </c>
      <c r="GC47">
        <v>0.66472909999999996</v>
      </c>
      <c r="GD47">
        <v>-9.5012100000000002E-2</v>
      </c>
      <c r="GE47">
        <v>-0.40153519999999998</v>
      </c>
      <c r="GF47">
        <v>0.67467390000000005</v>
      </c>
      <c r="GG47">
        <v>0.80373240000000001</v>
      </c>
      <c r="GH47">
        <v>-1.7453920000000001</v>
      </c>
      <c r="GI47">
        <v>3.0463939999999998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0.1109266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-0.78542650000000003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94.801839999999999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22.5</v>
      </c>
      <c r="OD47">
        <v>16926.3</v>
      </c>
      <c r="OE47">
        <v>0.42</v>
      </c>
      <c r="OF47">
        <v>135.90700000000001</v>
      </c>
      <c r="OG47">
        <v>12.2</v>
      </c>
      <c r="OH47">
        <v>73.185000000000002</v>
      </c>
    </row>
    <row r="48" spans="1:398">
      <c r="A48">
        <v>5</v>
      </c>
      <c r="B48" t="s">
        <v>44</v>
      </c>
      <c r="C48" t="s">
        <v>43</v>
      </c>
      <c r="D48">
        <v>2012</v>
      </c>
      <c r="E48">
        <v>14.981999999999999</v>
      </c>
      <c r="F48">
        <v>1.0089999999999999</v>
      </c>
      <c r="G48">
        <v>279</v>
      </c>
      <c r="H48">
        <v>23.2</v>
      </c>
      <c r="I48">
        <v>80.599999999999994</v>
      </c>
      <c r="J48">
        <v>6.3</v>
      </c>
      <c r="K48">
        <v>9845.5</v>
      </c>
      <c r="L48">
        <v>0.3</v>
      </c>
      <c r="M48">
        <v>1.4</v>
      </c>
      <c r="N48">
        <v>119217</v>
      </c>
      <c r="O48">
        <v>7.32</v>
      </c>
      <c r="P48">
        <v>1.07</v>
      </c>
      <c r="Q48">
        <v>10059.4</v>
      </c>
      <c r="R48">
        <v>29.9</v>
      </c>
      <c r="S48">
        <v>0.251058</v>
      </c>
      <c r="T48">
        <v>-0.40096540000000003</v>
      </c>
      <c r="U48">
        <v>-0.68815700000000002</v>
      </c>
      <c r="V48">
        <v>-1.723285</v>
      </c>
      <c r="W48">
        <v>-0.73195440000000001</v>
      </c>
      <c r="X48">
        <v>-0.33985959999999998</v>
      </c>
      <c r="Y48">
        <v>-0.31276749999999998</v>
      </c>
      <c r="Z48">
        <v>0.66161029999999998</v>
      </c>
      <c r="AA48">
        <v>-1.029191</v>
      </c>
      <c r="AB48">
        <v>-0.45308130000000002</v>
      </c>
      <c r="AC48">
        <v>-8.6436499999999999E-2</v>
      </c>
      <c r="AD48">
        <v>0.67467390000000005</v>
      </c>
      <c r="AE48">
        <v>0.78019689999999997</v>
      </c>
      <c r="AF48">
        <v>-0.43637710000000002</v>
      </c>
      <c r="AG48">
        <v>-0.2525771</v>
      </c>
      <c r="AH48">
        <v>-0.84515419999999997</v>
      </c>
      <c r="AI48">
        <v>2.7068500000000002</v>
      </c>
      <c r="AJ48">
        <v>8.9596999999999993E-3</v>
      </c>
      <c r="AK48">
        <v>5.6312119999999997</v>
      </c>
      <c r="AL48">
        <v>4.3894989999999998</v>
      </c>
      <c r="AM48">
        <v>1.8405499999999999</v>
      </c>
      <c r="AN48">
        <v>9.1947700000000001</v>
      </c>
      <c r="AO48">
        <v>11.688700000000001</v>
      </c>
      <c r="AP48">
        <v>6.7658700000000002E-2</v>
      </c>
      <c r="AQ48">
        <v>9.2162640000000007</v>
      </c>
      <c r="AR48">
        <v>4.9133699999999996</v>
      </c>
      <c r="AS48">
        <v>2.5494400000000002</v>
      </c>
      <c r="AT48">
        <v>9.7274899999999995</v>
      </c>
      <c r="AU48">
        <v>73.197000000000003</v>
      </c>
      <c r="AV48">
        <v>145.47999999999999</v>
      </c>
      <c r="AW48">
        <v>4.4842399999999998</v>
      </c>
      <c r="AX48" s="17">
        <v>9400000000</v>
      </c>
      <c r="AY48">
        <v>3.1986699999999999</v>
      </c>
      <c r="AZ48">
        <v>0.46</v>
      </c>
      <c r="BA48">
        <v>1.99061</v>
      </c>
      <c r="BB48">
        <v>1.9906104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-0.35667500000000002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1.2083999999999999E-2</v>
      </c>
      <c r="CG48">
        <v>0.44733390000000001</v>
      </c>
      <c r="CH48">
        <v>0.20866199999999999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-0.34882439999999998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0.2001076</v>
      </c>
      <c r="DI48">
        <v>0.12167840000000001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0.2057736</v>
      </c>
      <c r="DW48">
        <v>-0.1604592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13.8011</v>
      </c>
      <c r="EW48">
        <v>7.1573399999999995E-2</v>
      </c>
      <c r="EX48">
        <v>7.1806499999999995E-2</v>
      </c>
      <c r="EY48">
        <v>7.2278400000000007E-2</v>
      </c>
      <c r="EZ48">
        <v>7.1778900000000007E-2</v>
      </c>
      <c r="FA48">
        <v>7.1429099999999995E-2</v>
      </c>
      <c r="FB48">
        <v>7.1641700000000003E-2</v>
      </c>
      <c r="FC48">
        <v>7.0404800000000003E-2</v>
      </c>
      <c r="FD48">
        <v>7.2126899999999994E-2</v>
      </c>
      <c r="FE48">
        <v>7.1615399999999996E-2</v>
      </c>
      <c r="FF48">
        <v>7.0416500000000007E-2</v>
      </c>
      <c r="FG48">
        <v>7.1357799999999999E-2</v>
      </c>
      <c r="FH48">
        <v>7.0838799999999993E-2</v>
      </c>
      <c r="FI48">
        <v>7.1056400000000006E-2</v>
      </c>
      <c r="FJ48">
        <v>7.1675199999999994E-2</v>
      </c>
      <c r="FK48">
        <v>0.2505464</v>
      </c>
      <c r="FL48">
        <v>6.2773499999999996E-2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-0.40096540000000003</v>
      </c>
      <c r="FZ48">
        <v>-0.68815700000000002</v>
      </c>
      <c r="GA48">
        <v>-1.723285</v>
      </c>
      <c r="GB48">
        <v>-0.33985959999999998</v>
      </c>
      <c r="GC48">
        <v>0.66161029999999998</v>
      </c>
      <c r="GD48">
        <v>-8.6436499999999999E-2</v>
      </c>
      <c r="GE48">
        <v>-0.2525771</v>
      </c>
      <c r="GF48">
        <v>0.67467390000000005</v>
      </c>
      <c r="GG48">
        <v>0.78019689999999997</v>
      </c>
      <c r="GH48">
        <v>-1.13446</v>
      </c>
      <c r="GI48">
        <v>1.2869999999999999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0.1152513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-0.52185179999999998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94.624070000000003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24.5</v>
      </c>
      <c r="OD48">
        <v>16772.400000000001</v>
      </c>
      <c r="OE48">
        <v>0.7</v>
      </c>
      <c r="OF48">
        <v>136.09700000000001</v>
      </c>
      <c r="OG48">
        <v>12.8</v>
      </c>
      <c r="OH48">
        <v>73.197000000000003</v>
      </c>
    </row>
    <row r="49" spans="1:398">
      <c r="A49">
        <v>5</v>
      </c>
      <c r="B49" t="s">
        <v>44</v>
      </c>
      <c r="C49" t="s">
        <v>43</v>
      </c>
      <c r="D49">
        <v>2013</v>
      </c>
      <c r="E49">
        <v>15.314</v>
      </c>
      <c r="F49">
        <v>1.0245</v>
      </c>
      <c r="G49">
        <v>289</v>
      </c>
      <c r="H49">
        <v>24.2</v>
      </c>
      <c r="I49">
        <v>91.1</v>
      </c>
      <c r="J49">
        <v>6.7</v>
      </c>
      <c r="K49">
        <v>9709.4</v>
      </c>
      <c r="L49">
        <v>0.3</v>
      </c>
      <c r="M49">
        <v>1.4</v>
      </c>
      <c r="N49">
        <v>116448</v>
      </c>
      <c r="O49">
        <v>7</v>
      </c>
      <c r="P49">
        <v>1.03</v>
      </c>
      <c r="Q49">
        <v>10009.299999999999</v>
      </c>
      <c r="R49">
        <v>31.8</v>
      </c>
      <c r="S49">
        <v>0.26294499999999998</v>
      </c>
      <c r="T49">
        <v>-0.36062929999999999</v>
      </c>
      <c r="U49">
        <v>-0.67328080000000001</v>
      </c>
      <c r="V49">
        <v>-1.6473610000000001</v>
      </c>
      <c r="W49">
        <v>-0.66758150000000005</v>
      </c>
      <c r="X49">
        <v>1.1185849999999999</v>
      </c>
      <c r="Y49">
        <v>-0.2487152</v>
      </c>
      <c r="Z49">
        <v>0.64385049999999999</v>
      </c>
      <c r="AA49">
        <v>-1.029191</v>
      </c>
      <c r="AB49">
        <v>-0.45308130000000002</v>
      </c>
      <c r="AC49">
        <v>-0.1011398</v>
      </c>
      <c r="AD49">
        <v>0.47865679999999999</v>
      </c>
      <c r="AE49">
        <v>0.7636773</v>
      </c>
      <c r="AF49">
        <v>-0.3362887</v>
      </c>
      <c r="AG49">
        <v>-0.26924369999999997</v>
      </c>
      <c r="AH49">
        <v>-0.95516429999999997</v>
      </c>
      <c r="AI49">
        <v>2.7287669999999999</v>
      </c>
      <c r="AJ49">
        <v>2.4204699999999999E-2</v>
      </c>
      <c r="AK49">
        <v>5.6664269999999997</v>
      </c>
      <c r="AL49">
        <v>4.5119579999999999</v>
      </c>
      <c r="AM49">
        <v>1.902107</v>
      </c>
      <c r="AN49">
        <v>9.1808499999999995</v>
      </c>
      <c r="AO49">
        <v>11.6652</v>
      </c>
      <c r="AP49">
        <v>2.95588E-2</v>
      </c>
      <c r="AQ49">
        <v>9.2112669999999994</v>
      </c>
      <c r="AR49">
        <v>4.9138299999999999</v>
      </c>
      <c r="AS49">
        <v>2.6318899999999998</v>
      </c>
      <c r="AT49">
        <v>9.7267399999999995</v>
      </c>
      <c r="AU49">
        <v>73.290000000000006</v>
      </c>
      <c r="AV49">
        <v>145.50200000000001</v>
      </c>
      <c r="AW49">
        <v>3.4538700000000002</v>
      </c>
      <c r="AX49" s="17">
        <v>7400000000</v>
      </c>
      <c r="AY49">
        <v>3.1780499999999998</v>
      </c>
      <c r="AZ49">
        <v>0.48</v>
      </c>
      <c r="BA49">
        <v>1.94591</v>
      </c>
      <c r="BB49">
        <v>1.9459101000000001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-0.400478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1.2557E-2</v>
      </c>
      <c r="CG49">
        <v>0.46088649999999998</v>
      </c>
      <c r="CH49">
        <v>0.209976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-0.4228941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0.21241640000000001</v>
      </c>
      <c r="DI49">
        <v>0.17883940000000001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0.22122549999999999</v>
      </c>
      <c r="DW49">
        <v>-0.20298920000000001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13.80137</v>
      </c>
      <c r="EW49">
        <v>7.1568900000000005E-2</v>
      </c>
      <c r="EX49">
        <v>7.1800100000000006E-2</v>
      </c>
      <c r="EY49">
        <v>7.2232000000000005E-2</v>
      </c>
      <c r="EZ49">
        <v>7.1757100000000004E-2</v>
      </c>
      <c r="FA49">
        <v>7.1197800000000006E-2</v>
      </c>
      <c r="FB49">
        <v>7.1602799999999994E-2</v>
      </c>
      <c r="FC49">
        <v>7.0492700000000005E-2</v>
      </c>
      <c r="FD49">
        <v>7.2126800000000005E-2</v>
      </c>
      <c r="FE49">
        <v>7.1624099999999996E-2</v>
      </c>
      <c r="FF49">
        <v>7.0515599999999998E-2</v>
      </c>
      <c r="FG49">
        <v>7.1398900000000001E-2</v>
      </c>
      <c r="FH49">
        <v>7.0961200000000002E-2</v>
      </c>
      <c r="FI49">
        <v>7.10924E-2</v>
      </c>
      <c r="FJ49">
        <v>7.1629600000000002E-2</v>
      </c>
      <c r="FK49">
        <v>0.26246520000000001</v>
      </c>
      <c r="FL49">
        <v>6.8888000000000005E-2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-0.36062929999999999</v>
      </c>
      <c r="FZ49">
        <v>-0.67328080000000001</v>
      </c>
      <c r="GA49">
        <v>-1.6473610000000001</v>
      </c>
      <c r="GB49">
        <v>1.1185849999999999</v>
      </c>
      <c r="GC49">
        <v>0.64385049999999999</v>
      </c>
      <c r="GD49">
        <v>-0.1011398</v>
      </c>
      <c r="GE49">
        <v>-0.26924369999999997</v>
      </c>
      <c r="GF49">
        <v>0.47865679999999999</v>
      </c>
      <c r="GG49">
        <v>0.7636773</v>
      </c>
      <c r="GH49">
        <v>-1.324346</v>
      </c>
      <c r="GI49">
        <v>1.7538929999999999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0.12598329999999999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-0.63568619999999998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94.609449999999995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24</v>
      </c>
      <c r="OD49">
        <v>16759.8</v>
      </c>
      <c r="OE49">
        <v>0.67</v>
      </c>
      <c r="OF49">
        <v>136.16</v>
      </c>
      <c r="OG49">
        <v>13.9</v>
      </c>
      <c r="OH49">
        <v>73.290000000000006</v>
      </c>
    </row>
    <row r="50" spans="1:398">
      <c r="A50">
        <v>5</v>
      </c>
      <c r="B50" t="s">
        <v>44</v>
      </c>
      <c r="C50" t="s">
        <v>43</v>
      </c>
      <c r="D50">
        <v>2014</v>
      </c>
      <c r="E50">
        <v>16.140999999999998</v>
      </c>
      <c r="F50">
        <v>1.0129999999999999</v>
      </c>
      <c r="G50">
        <v>297</v>
      </c>
      <c r="H50">
        <v>25.4</v>
      </c>
      <c r="I50">
        <v>85.5</v>
      </c>
      <c r="J50">
        <v>6.8</v>
      </c>
      <c r="K50">
        <v>11381.9</v>
      </c>
      <c r="L50">
        <v>0.3</v>
      </c>
      <c r="M50">
        <v>1.4</v>
      </c>
      <c r="N50">
        <v>114863</v>
      </c>
      <c r="O50">
        <v>4.33</v>
      </c>
      <c r="P50">
        <v>1.06</v>
      </c>
      <c r="Q50">
        <v>10178.4</v>
      </c>
      <c r="R50">
        <v>31.8</v>
      </c>
      <c r="S50">
        <v>0.265123</v>
      </c>
      <c r="T50">
        <v>-0.26015339999999998</v>
      </c>
      <c r="U50">
        <v>-0.68431790000000003</v>
      </c>
      <c r="V50">
        <v>-1.5866210000000001</v>
      </c>
      <c r="W50">
        <v>-0.59033409999999997</v>
      </c>
      <c r="X50">
        <v>0.340748</v>
      </c>
      <c r="Y50">
        <v>-0.23270199999999999</v>
      </c>
      <c r="Z50">
        <v>0.86209690000000005</v>
      </c>
      <c r="AA50">
        <v>-1.029191</v>
      </c>
      <c r="AB50">
        <v>-0.45308130000000002</v>
      </c>
      <c r="AC50">
        <v>-0.1095561</v>
      </c>
      <c r="AD50">
        <v>0.62566920000000004</v>
      </c>
      <c r="AE50">
        <v>0.81941129999999995</v>
      </c>
      <c r="AF50">
        <v>-0.3362887</v>
      </c>
      <c r="AG50">
        <v>-0.408306</v>
      </c>
      <c r="AH50">
        <v>-0.79112099999999996</v>
      </c>
      <c r="AI50">
        <v>2.7813629999999998</v>
      </c>
      <c r="AJ50">
        <v>1.2916199999999999E-2</v>
      </c>
      <c r="AK50">
        <v>5.6937319999999998</v>
      </c>
      <c r="AL50">
        <v>4.4485159999999997</v>
      </c>
      <c r="AM50">
        <v>1.9169229999999999</v>
      </c>
      <c r="AN50">
        <v>9.3397799999999993</v>
      </c>
      <c r="AO50">
        <v>11.651490000000001</v>
      </c>
      <c r="AP50">
        <v>5.8268899999999998E-2</v>
      </c>
      <c r="AQ50">
        <v>9.2280270000000009</v>
      </c>
      <c r="AR50">
        <v>4.9148800000000001</v>
      </c>
      <c r="AS50">
        <v>2.6946300000000001</v>
      </c>
      <c r="AT50">
        <v>9.7478899999999999</v>
      </c>
      <c r="AU50">
        <v>73.384</v>
      </c>
      <c r="AV50">
        <v>156.41499999999999</v>
      </c>
      <c r="AW50">
        <v>3.8351000000000002</v>
      </c>
      <c r="AX50" s="17">
        <v>8100000000</v>
      </c>
      <c r="AY50">
        <v>3.1780499999999998</v>
      </c>
      <c r="AZ50">
        <v>0.47</v>
      </c>
      <c r="BA50">
        <v>1.4655670000000001</v>
      </c>
      <c r="BB50">
        <v>1.4655674999999999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-0.891598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1.31319E-2</v>
      </c>
      <c r="CG50">
        <v>0.46247709999999997</v>
      </c>
      <c r="CH50">
        <v>0.21866099999999999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-0.37096770000000001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0.21388509999999999</v>
      </c>
      <c r="DI50">
        <v>0.13761709999999999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0.21736430000000001</v>
      </c>
      <c r="DW50">
        <v>-0.1743548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13.80499</v>
      </c>
      <c r="EW50">
        <v>7.1526599999999996E-2</v>
      </c>
      <c r="EX50">
        <v>7.1794999999999998E-2</v>
      </c>
      <c r="EY50">
        <v>7.2179099999999996E-2</v>
      </c>
      <c r="EZ50">
        <v>7.1713700000000005E-2</v>
      </c>
      <c r="FA50">
        <v>7.1328699999999995E-2</v>
      </c>
      <c r="FB50">
        <v>7.1582999999999994E-2</v>
      </c>
      <c r="FC50">
        <v>7.0342000000000002E-2</v>
      </c>
      <c r="FD50">
        <v>7.2109199999999998E-2</v>
      </c>
      <c r="FE50">
        <v>7.1615200000000004E-2</v>
      </c>
      <c r="FF50">
        <v>7.0577299999999996E-2</v>
      </c>
      <c r="FG50">
        <v>7.1609599999999995E-2</v>
      </c>
      <c r="FH50">
        <v>7.0918400000000006E-2</v>
      </c>
      <c r="FI50">
        <v>7.1081900000000003E-2</v>
      </c>
      <c r="FJ50">
        <v>7.1620500000000004E-2</v>
      </c>
      <c r="FK50">
        <v>0.26459660000000002</v>
      </c>
      <c r="FL50">
        <v>7.0011400000000001E-2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-0.26015339999999998</v>
      </c>
      <c r="FZ50">
        <v>-0.68431790000000003</v>
      </c>
      <c r="GA50">
        <v>-1.5866210000000001</v>
      </c>
      <c r="GB50">
        <v>0.340748</v>
      </c>
      <c r="GC50">
        <v>0.86209690000000005</v>
      </c>
      <c r="GD50">
        <v>-0.1095561</v>
      </c>
      <c r="GE50">
        <v>-0.408306</v>
      </c>
      <c r="GF50">
        <v>0.62566920000000004</v>
      </c>
      <c r="GG50">
        <v>0.81941129999999995</v>
      </c>
      <c r="GH50">
        <v>-1.0882750000000001</v>
      </c>
      <c r="GI50">
        <v>1.1843429999999999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0.1243604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-0.51148939999999998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95.021280000000004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24</v>
      </c>
      <c r="OD50">
        <v>17118</v>
      </c>
      <c r="OE50">
        <v>0.41</v>
      </c>
      <c r="OF50">
        <v>136.303</v>
      </c>
      <c r="OG50">
        <v>14.8</v>
      </c>
      <c r="OH50">
        <v>73.384</v>
      </c>
    </row>
    <row r="51" spans="1:398">
      <c r="A51">
        <v>5</v>
      </c>
      <c r="B51" t="s">
        <v>44</v>
      </c>
      <c r="C51" t="s">
        <v>43</v>
      </c>
      <c r="D51">
        <v>2015</v>
      </c>
      <c r="E51">
        <v>16.988</v>
      </c>
      <c r="F51">
        <v>1.02</v>
      </c>
      <c r="G51">
        <v>294</v>
      </c>
      <c r="H51">
        <v>29.7</v>
      </c>
      <c r="I51">
        <v>82.5</v>
      </c>
      <c r="J51">
        <v>6.9</v>
      </c>
      <c r="K51">
        <v>11821.4</v>
      </c>
      <c r="L51">
        <v>0.3</v>
      </c>
      <c r="M51">
        <v>1.4</v>
      </c>
      <c r="N51">
        <v>117124</v>
      </c>
      <c r="O51">
        <v>2.66</v>
      </c>
      <c r="P51">
        <v>1.08</v>
      </c>
      <c r="Q51">
        <v>9968.34</v>
      </c>
      <c r="R51">
        <v>33</v>
      </c>
      <c r="S51">
        <v>0.26938299999999998</v>
      </c>
      <c r="T51">
        <v>-0.15724759999999999</v>
      </c>
      <c r="U51">
        <v>-0.67759970000000003</v>
      </c>
      <c r="V51">
        <v>-1.6093980000000001</v>
      </c>
      <c r="W51">
        <v>-0.31353059999999999</v>
      </c>
      <c r="X51">
        <v>-7.5950400000000001E-2</v>
      </c>
      <c r="Y51">
        <v>-0.21668889999999999</v>
      </c>
      <c r="Z51">
        <v>0.91944780000000004</v>
      </c>
      <c r="AA51">
        <v>-1.029191</v>
      </c>
      <c r="AB51">
        <v>-0.45308130000000002</v>
      </c>
      <c r="AC51">
        <v>-9.7550300000000006E-2</v>
      </c>
      <c r="AD51">
        <v>0.72367800000000004</v>
      </c>
      <c r="AE51">
        <v>0.75019100000000005</v>
      </c>
      <c r="AF51">
        <v>-0.27307490000000001</v>
      </c>
      <c r="AG51">
        <v>-0.49528499999999998</v>
      </c>
      <c r="AH51">
        <v>-0.62452969999999997</v>
      </c>
      <c r="AI51">
        <v>2.8325070000000001</v>
      </c>
      <c r="AJ51">
        <v>1.98026E-2</v>
      </c>
      <c r="AK51">
        <v>5.6835800000000001</v>
      </c>
      <c r="AL51">
        <v>4.4127980000000004</v>
      </c>
      <c r="AM51">
        <v>1.931521</v>
      </c>
      <c r="AN51">
        <v>9.3776659999999996</v>
      </c>
      <c r="AO51">
        <v>11.67099</v>
      </c>
      <c r="AP51">
        <v>7.6961100000000005E-2</v>
      </c>
      <c r="AQ51">
        <v>9.2071690000000004</v>
      </c>
      <c r="AR51">
        <v>4.9169799999999997</v>
      </c>
      <c r="AS51">
        <v>2.6946300000000001</v>
      </c>
      <c r="AT51">
        <v>9.7943200000000008</v>
      </c>
      <c r="AU51">
        <v>73.477000000000004</v>
      </c>
      <c r="AV51">
        <v>154.018</v>
      </c>
      <c r="AW51">
        <v>0.89891399999999999</v>
      </c>
      <c r="AX51" s="17">
        <v>1700000000</v>
      </c>
      <c r="AY51">
        <v>3.21888</v>
      </c>
      <c r="AZ51">
        <v>0.48</v>
      </c>
      <c r="BA51">
        <v>0.97832609999999998</v>
      </c>
      <c r="BB51">
        <v>0.97832613999999996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-1.38629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1.5537799999999999E-2</v>
      </c>
      <c r="CG51">
        <v>0.46642519999999998</v>
      </c>
      <c r="CH51">
        <v>0.22323399999999999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-0.27561930000000001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0.21755250000000001</v>
      </c>
      <c r="DI51">
        <v>7.5966000000000006E-2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0.2238841</v>
      </c>
      <c r="DW51">
        <v>-0.13229730000000001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13.80829</v>
      </c>
      <c r="EW51">
        <v>7.1486999999999995E-2</v>
      </c>
      <c r="EX51">
        <v>7.1778599999999998E-2</v>
      </c>
      <c r="EY51">
        <v>7.2175400000000001E-2</v>
      </c>
      <c r="EZ51">
        <v>7.15972E-2</v>
      </c>
      <c r="FA51">
        <v>7.1399500000000005E-2</v>
      </c>
      <c r="FB51">
        <v>7.1565100000000006E-2</v>
      </c>
      <c r="FC51">
        <v>7.0352799999999993E-2</v>
      </c>
      <c r="FD51">
        <v>7.2093199999999996E-2</v>
      </c>
      <c r="FE51">
        <v>7.1607599999999993E-2</v>
      </c>
      <c r="FF51">
        <v>7.0595400000000003E-2</v>
      </c>
      <c r="FG51">
        <v>7.1747599999999995E-2</v>
      </c>
      <c r="FH51">
        <v>7.0900199999999997E-2</v>
      </c>
      <c r="FI51">
        <v>7.1119500000000002E-2</v>
      </c>
      <c r="FJ51">
        <v>7.1581000000000006E-2</v>
      </c>
      <c r="FK51">
        <v>0.26883269999999998</v>
      </c>
      <c r="FL51">
        <v>7.2271000000000002E-2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-0.15724759999999999</v>
      </c>
      <c r="FZ51">
        <v>-0.67759970000000003</v>
      </c>
      <c r="GA51">
        <v>-1.6093980000000001</v>
      </c>
      <c r="GB51">
        <v>-7.5950400000000001E-2</v>
      </c>
      <c r="GC51">
        <v>0.91944780000000004</v>
      </c>
      <c r="GD51">
        <v>-9.7550300000000006E-2</v>
      </c>
      <c r="GE51">
        <v>-0.49528499999999998</v>
      </c>
      <c r="GF51">
        <v>0.72367800000000004</v>
      </c>
      <c r="GG51">
        <v>0.75019100000000005</v>
      </c>
      <c r="GH51">
        <v>-0.86492910000000001</v>
      </c>
      <c r="GI51">
        <v>0.7481023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0.12903970000000001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-0.41516599999999998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95.928700000000006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25</v>
      </c>
      <c r="OD51">
        <v>17931.599999999999</v>
      </c>
      <c r="OE51">
        <v>0.25</v>
      </c>
      <c r="OF51">
        <v>136.589</v>
      </c>
      <c r="OG51">
        <v>14.8</v>
      </c>
      <c r="OH51">
        <v>73.477000000000004</v>
      </c>
    </row>
    <row r="52" spans="1:398">
      <c r="A52">
        <v>5</v>
      </c>
      <c r="B52" t="s">
        <v>44</v>
      </c>
      <c r="C52" t="s">
        <v>43</v>
      </c>
      <c r="D52">
        <v>2016</v>
      </c>
      <c r="E52">
        <v>16.687999999999999</v>
      </c>
      <c r="F52">
        <v>1.0606</v>
      </c>
      <c r="G52">
        <v>306</v>
      </c>
      <c r="H52">
        <v>33.6</v>
      </c>
      <c r="I52">
        <v>90</v>
      </c>
      <c r="J52">
        <v>7.5</v>
      </c>
      <c r="K52">
        <v>11743.5</v>
      </c>
      <c r="L52">
        <v>0.3</v>
      </c>
      <c r="M52">
        <v>1.4</v>
      </c>
      <c r="N52">
        <v>120738</v>
      </c>
      <c r="O52">
        <v>1.84</v>
      </c>
      <c r="P52">
        <v>1.1100000000000001</v>
      </c>
      <c r="Q52">
        <v>10018.4</v>
      </c>
      <c r="R52">
        <v>32.299999999999997</v>
      </c>
      <c r="S52">
        <v>0.286111</v>
      </c>
      <c r="T52">
        <v>-0.19369600000000001</v>
      </c>
      <c r="U52">
        <v>-0.63863380000000003</v>
      </c>
      <c r="V52">
        <v>-1.518289</v>
      </c>
      <c r="W52">
        <v>-6.2476499999999997E-2</v>
      </c>
      <c r="X52">
        <v>0.96579570000000003</v>
      </c>
      <c r="Y52">
        <v>-0.12061040000000001</v>
      </c>
      <c r="Z52">
        <v>0.90928240000000005</v>
      </c>
      <c r="AA52">
        <v>-1.029191</v>
      </c>
      <c r="AB52">
        <v>-0.45308130000000002</v>
      </c>
      <c r="AC52">
        <v>-7.8359999999999999E-2</v>
      </c>
      <c r="AD52">
        <v>0.87069039999999998</v>
      </c>
      <c r="AE52">
        <v>0.76667300000000005</v>
      </c>
      <c r="AF52">
        <v>-0.30994959999999999</v>
      </c>
      <c r="AG52">
        <v>-0.53799330000000001</v>
      </c>
      <c r="AH52">
        <v>-0.56495419999999996</v>
      </c>
      <c r="AI52">
        <v>2.8146900000000001</v>
      </c>
      <c r="AJ52">
        <v>5.88348E-2</v>
      </c>
      <c r="AK52">
        <v>5.7235849999999999</v>
      </c>
      <c r="AL52">
        <v>4.4998100000000001</v>
      </c>
      <c r="AM52">
        <v>2.0149029999999999</v>
      </c>
      <c r="AN52">
        <v>9.3710559999999994</v>
      </c>
      <c r="AO52">
        <v>11.70138</v>
      </c>
      <c r="AP52">
        <v>0.10435999999999999</v>
      </c>
      <c r="AQ52">
        <v>9.2121750000000002</v>
      </c>
      <c r="AR52">
        <v>4.9188999999999998</v>
      </c>
      <c r="AS52">
        <v>2.6946300000000001</v>
      </c>
      <c r="AT52">
        <v>9.8178800000000006</v>
      </c>
      <c r="AU52">
        <v>73.569999999999993</v>
      </c>
      <c r="AV52">
        <v>148.547</v>
      </c>
      <c r="AW52">
        <v>5.4756600000000004</v>
      </c>
      <c r="AX52" s="17">
        <v>11000000000</v>
      </c>
      <c r="AY52">
        <v>3.17388</v>
      </c>
      <c r="AZ52">
        <v>0.47</v>
      </c>
      <c r="BA52">
        <v>0.60976560000000002</v>
      </c>
      <c r="BB52">
        <v>0.60976558999999997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-1.77196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1.7589899999999999E-2</v>
      </c>
      <c r="CG52">
        <v>0.48267460000000001</v>
      </c>
      <c r="CH52">
        <v>0.229603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-0.22526109999999999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0.23297470000000001</v>
      </c>
      <c r="DI52">
        <v>5.0742599999999999E-2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0.22685710000000001</v>
      </c>
      <c r="DW52">
        <v>-0.1058727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13.806789999999999</v>
      </c>
      <c r="EW52">
        <v>7.1519399999999997E-2</v>
      </c>
      <c r="EX52">
        <v>7.1764599999999998E-2</v>
      </c>
      <c r="EY52">
        <v>7.2134000000000004E-2</v>
      </c>
      <c r="EZ52">
        <v>7.1524099999999993E-2</v>
      </c>
      <c r="FA52">
        <v>7.1255700000000005E-2</v>
      </c>
      <c r="FB52">
        <v>7.1518200000000004E-2</v>
      </c>
      <c r="FC52">
        <v>7.0441900000000002E-2</v>
      </c>
      <c r="FD52">
        <v>7.2102399999999997E-2</v>
      </c>
      <c r="FE52">
        <v>7.1624800000000002E-2</v>
      </c>
      <c r="FF52">
        <v>7.0623099999999994E-2</v>
      </c>
      <c r="FG52">
        <v>7.1837300000000007E-2</v>
      </c>
      <c r="FH52">
        <v>7.0889999999999995E-2</v>
      </c>
      <c r="FI52">
        <v>7.1147500000000002E-2</v>
      </c>
      <c r="FJ52">
        <v>7.1617100000000003E-2</v>
      </c>
      <c r="FK52">
        <v>0.28550179999999997</v>
      </c>
      <c r="FL52">
        <v>8.1511299999999995E-2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-0.19369600000000001</v>
      </c>
      <c r="FZ52">
        <v>-0.63863380000000003</v>
      </c>
      <c r="GA52">
        <v>-1.518289</v>
      </c>
      <c r="GB52">
        <v>0.96579570000000003</v>
      </c>
      <c r="GC52">
        <v>0.90928240000000005</v>
      </c>
      <c r="GD52">
        <v>-7.8359999999999999E-2</v>
      </c>
      <c r="GE52">
        <v>-0.53799330000000001</v>
      </c>
      <c r="GF52">
        <v>0.87069039999999998</v>
      </c>
      <c r="GG52">
        <v>0.76667300000000005</v>
      </c>
      <c r="GH52">
        <v>-0.77081469999999996</v>
      </c>
      <c r="GI52">
        <v>0.59415530000000005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0.13418579999999999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-0.36228290000000002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96.390780000000007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23.9</v>
      </c>
      <c r="OD52">
        <v>18359.099999999999</v>
      </c>
      <c r="OE52">
        <v>0.17</v>
      </c>
      <c r="OF52">
        <v>136.852</v>
      </c>
      <c r="OG52">
        <v>14.8</v>
      </c>
      <c r="OH52">
        <v>73.569999999999993</v>
      </c>
    </row>
    <row r="53" spans="1:398">
      <c r="A53">
        <v>5</v>
      </c>
      <c r="B53" t="s">
        <v>44</v>
      </c>
      <c r="C53" t="s">
        <v>43</v>
      </c>
      <c r="D53">
        <v>2017</v>
      </c>
      <c r="E53">
        <v>17.850000000000001</v>
      </c>
      <c r="F53">
        <v>1.0991</v>
      </c>
      <c r="G53">
        <v>317</v>
      </c>
      <c r="H53">
        <v>32.1</v>
      </c>
      <c r="I53">
        <v>86.9</v>
      </c>
      <c r="J53">
        <v>9.1</v>
      </c>
      <c r="K53">
        <v>11740.6</v>
      </c>
      <c r="L53">
        <v>0.4</v>
      </c>
      <c r="M53">
        <v>1.4</v>
      </c>
      <c r="N53">
        <v>120430</v>
      </c>
      <c r="O53">
        <v>6.4</v>
      </c>
      <c r="P53">
        <v>1.1399999999999999</v>
      </c>
      <c r="Q53">
        <v>9457.32</v>
      </c>
      <c r="R53">
        <v>32.9</v>
      </c>
      <c r="S53">
        <v>0.295462</v>
      </c>
      <c r="T53">
        <v>-5.2519499999999997E-2</v>
      </c>
      <c r="U53">
        <v>-0.60168339999999998</v>
      </c>
      <c r="V53">
        <v>-1.434771</v>
      </c>
      <c r="W53">
        <v>-0.1590358</v>
      </c>
      <c r="X53">
        <v>0.53520749999999995</v>
      </c>
      <c r="Y53">
        <v>0.1355992</v>
      </c>
      <c r="Z53">
        <v>0.90890400000000005</v>
      </c>
      <c r="AA53">
        <v>-0.75105639999999996</v>
      </c>
      <c r="AB53">
        <v>-0.45308130000000002</v>
      </c>
      <c r="AC53">
        <v>-7.9995499999999997E-2</v>
      </c>
      <c r="AD53">
        <v>1.017703</v>
      </c>
      <c r="AE53">
        <v>0.58183260000000003</v>
      </c>
      <c r="AF53">
        <v>-0.2783426</v>
      </c>
      <c r="AG53">
        <v>-0.30049369999999997</v>
      </c>
      <c r="AH53">
        <v>-0.2776207</v>
      </c>
      <c r="AI53">
        <v>2.8820039999999998</v>
      </c>
      <c r="AJ53">
        <v>9.4491699999999998E-2</v>
      </c>
      <c r="AK53">
        <v>5.758902</v>
      </c>
      <c r="AL53">
        <v>4.4647579999999998</v>
      </c>
      <c r="AM53">
        <v>2.2082739999999998</v>
      </c>
      <c r="AN53">
        <v>9.3708089999999995</v>
      </c>
      <c r="AO53">
        <v>11.69882</v>
      </c>
      <c r="AP53">
        <v>0.13102820000000001</v>
      </c>
      <c r="AQ53">
        <v>9.1545450000000006</v>
      </c>
      <c r="AR53">
        <v>4.9215600000000004</v>
      </c>
      <c r="AS53">
        <v>2.67415</v>
      </c>
      <c r="AT53">
        <v>9.8656699999999997</v>
      </c>
      <c r="AU53">
        <v>73.674999999999997</v>
      </c>
      <c r="AV53">
        <v>147.751</v>
      </c>
      <c r="AW53">
        <v>5.0706600000000002</v>
      </c>
      <c r="AX53" s="17">
        <v>11000000000</v>
      </c>
      <c r="AY53">
        <v>3.2067999999999999</v>
      </c>
      <c r="AZ53">
        <v>0.47</v>
      </c>
      <c r="BA53">
        <v>1.856298</v>
      </c>
      <c r="BB53">
        <v>1.856298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-0.510826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1.64213E-2</v>
      </c>
      <c r="CG53">
        <v>0.495917</v>
      </c>
      <c r="CH53">
        <v>0.24279500000000001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0.19686600000000001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0.24593370000000001</v>
      </c>
      <c r="DI53">
        <v>3.8756199999999998E-2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0.23308100000000001</v>
      </c>
      <c r="DW53">
        <v>9.2526999999999998E-2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13.80118</v>
      </c>
      <c r="EW53">
        <v>7.1514800000000003E-2</v>
      </c>
      <c r="EX53">
        <v>7.1774500000000005E-2</v>
      </c>
      <c r="EY53">
        <v>7.2120799999999999E-2</v>
      </c>
      <c r="EZ53">
        <v>7.1598800000000004E-2</v>
      </c>
      <c r="FA53">
        <v>7.1371900000000002E-2</v>
      </c>
      <c r="FB53">
        <v>7.1397500000000003E-2</v>
      </c>
      <c r="FC53">
        <v>7.0537900000000001E-2</v>
      </c>
      <c r="FD53">
        <v>7.20084E-2</v>
      </c>
      <c r="FE53">
        <v>7.1662900000000002E-2</v>
      </c>
      <c r="FF53">
        <v>7.0709099999999997E-2</v>
      </c>
      <c r="FG53">
        <v>7.14896E-2</v>
      </c>
      <c r="FH53">
        <v>7.0904099999999998E-2</v>
      </c>
      <c r="FI53">
        <v>7.1269600000000002E-2</v>
      </c>
      <c r="FJ53">
        <v>7.1639900000000006E-2</v>
      </c>
      <c r="FK53">
        <v>0.29506139999999997</v>
      </c>
      <c r="FL53">
        <v>8.7061200000000005E-2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-5.2519499999999997E-2</v>
      </c>
      <c r="FZ53">
        <v>-0.60168339999999998</v>
      </c>
      <c r="GA53">
        <v>-1.434771</v>
      </c>
      <c r="GB53">
        <v>0.53520749999999995</v>
      </c>
      <c r="GC53">
        <v>0.90890400000000005</v>
      </c>
      <c r="GD53">
        <v>-7.9995499999999997E-2</v>
      </c>
      <c r="GE53">
        <v>-0.30049369999999997</v>
      </c>
      <c r="GF53">
        <v>1.017703</v>
      </c>
      <c r="GG53">
        <v>0.58183260000000003</v>
      </c>
      <c r="GH53">
        <v>-0.35512630000000001</v>
      </c>
      <c r="GI53">
        <v>0.1261147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0.13867879999999999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-0.16690940000000001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97.331379999999996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24.7</v>
      </c>
      <c r="OD53">
        <v>19257.7</v>
      </c>
      <c r="OE53">
        <v>0.6</v>
      </c>
      <c r="OF53">
        <v>137.21600000000001</v>
      </c>
      <c r="OG53">
        <v>14.5</v>
      </c>
      <c r="OH53">
        <v>73.674999999999997</v>
      </c>
    </row>
    <row r="54" spans="1:398">
      <c r="A54">
        <v>5</v>
      </c>
      <c r="B54" t="s">
        <v>44</v>
      </c>
      <c r="C54" t="s">
        <v>43</v>
      </c>
      <c r="D54">
        <v>2018</v>
      </c>
      <c r="E54">
        <v>17.829999999999998</v>
      </c>
      <c r="F54">
        <v>1.1122000000000001</v>
      </c>
      <c r="G54">
        <v>318</v>
      </c>
      <c r="H54">
        <v>32.200000000000003</v>
      </c>
      <c r="I54">
        <v>84.7</v>
      </c>
      <c r="J54">
        <v>10.5</v>
      </c>
      <c r="K54">
        <v>12059.6</v>
      </c>
      <c r="L54">
        <v>0.4</v>
      </c>
      <c r="M54">
        <v>1.4</v>
      </c>
      <c r="N54">
        <v>120905</v>
      </c>
      <c r="O54">
        <v>4.67</v>
      </c>
      <c r="P54">
        <v>1.1399999999999999</v>
      </c>
      <c r="Q54">
        <v>8455.77</v>
      </c>
      <c r="R54">
        <v>32.799999999999997</v>
      </c>
      <c r="S54">
        <v>0.29150399999999999</v>
      </c>
      <c r="T54">
        <v>-5.4949400000000002E-2</v>
      </c>
      <c r="U54">
        <v>-0.58911069999999999</v>
      </c>
      <c r="V54">
        <v>-1.427179</v>
      </c>
      <c r="W54">
        <v>-0.1525984</v>
      </c>
      <c r="X54">
        <v>0.229628</v>
      </c>
      <c r="Y54">
        <v>0.3597824</v>
      </c>
      <c r="Z54">
        <v>0.9505306</v>
      </c>
      <c r="AA54">
        <v>-0.75105639999999996</v>
      </c>
      <c r="AB54">
        <v>-0.45308130000000002</v>
      </c>
      <c r="AC54">
        <v>-7.7473299999999995E-2</v>
      </c>
      <c r="AD54">
        <v>1.017703</v>
      </c>
      <c r="AE54">
        <v>0.25186199999999997</v>
      </c>
      <c r="AF54">
        <v>-0.28361049999999999</v>
      </c>
      <c r="AG54">
        <v>-0.39059769999999999</v>
      </c>
      <c r="AH54">
        <v>-0.1869923</v>
      </c>
      <c r="AI54">
        <v>2.8808829999999999</v>
      </c>
      <c r="AJ54">
        <v>0.10634010000000001</v>
      </c>
      <c r="AK54">
        <v>5.7620519999999997</v>
      </c>
      <c r="AL54">
        <v>4.4391160000000003</v>
      </c>
      <c r="AM54">
        <v>2.351375</v>
      </c>
      <c r="AN54">
        <v>9.3976159999999993</v>
      </c>
      <c r="AO54">
        <v>11.70276</v>
      </c>
      <c r="AP54">
        <v>0.13102820000000001</v>
      </c>
      <c r="AQ54">
        <v>9.0426040000000008</v>
      </c>
      <c r="AR54">
        <v>4.9249000000000001</v>
      </c>
      <c r="AS54">
        <v>2.6878500000000001</v>
      </c>
      <c r="AT54">
        <v>9.8902300000000007</v>
      </c>
      <c r="AU54">
        <v>73.792000000000002</v>
      </c>
      <c r="AV54">
        <v>145.142</v>
      </c>
      <c r="AW54">
        <v>3.3035399999999999</v>
      </c>
      <c r="AX54" s="17">
        <v>8300000000</v>
      </c>
      <c r="AY54">
        <v>3.2067999999999999</v>
      </c>
      <c r="AZ54">
        <v>0.47</v>
      </c>
      <c r="BA54">
        <v>1.5411589999999999</v>
      </c>
      <c r="BB54">
        <v>1.5411589999999999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-0.82098099999999996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1.6212799999999999E-2</v>
      </c>
      <c r="CG54">
        <v>0.4927626</v>
      </c>
      <c r="CH54">
        <v>0.244364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0.2566988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0.242815</v>
      </c>
      <c r="DI54">
        <v>6.5894300000000003E-2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0.23159840000000001</v>
      </c>
      <c r="DW54">
        <v>0.12064850000000001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13.80673</v>
      </c>
      <c r="EW54">
        <v>7.1499699999999999E-2</v>
      </c>
      <c r="EX54">
        <v>7.1743500000000002E-2</v>
      </c>
      <c r="EY54">
        <v>7.2089299999999995E-2</v>
      </c>
      <c r="EZ54">
        <v>7.1578299999999997E-2</v>
      </c>
      <c r="FA54">
        <v>7.1408700000000006E-2</v>
      </c>
      <c r="FB54">
        <v>7.1256E-2</v>
      </c>
      <c r="FC54">
        <v>7.0539699999999997E-2</v>
      </c>
      <c r="FD54">
        <v>7.1982000000000004E-2</v>
      </c>
      <c r="FE54">
        <v>7.1642999999999998E-2</v>
      </c>
      <c r="FF54">
        <v>7.0726800000000006E-2</v>
      </c>
      <c r="FG54">
        <v>7.1608000000000005E-2</v>
      </c>
      <c r="FH54">
        <v>7.0914599999999994E-2</v>
      </c>
      <c r="FI54">
        <v>7.1387500000000007E-2</v>
      </c>
      <c r="FJ54">
        <v>7.1623099999999995E-2</v>
      </c>
      <c r="FK54">
        <v>0.29111239999999999</v>
      </c>
      <c r="FL54">
        <v>8.47464E-2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-5.4949400000000002E-2</v>
      </c>
      <c r="FZ54">
        <v>-0.58911069999999999</v>
      </c>
      <c r="GA54">
        <v>-1.427179</v>
      </c>
      <c r="GB54">
        <v>0.229628</v>
      </c>
      <c r="GC54">
        <v>0.9505306</v>
      </c>
      <c r="GD54">
        <v>-7.7473299999999995E-2</v>
      </c>
      <c r="GE54">
        <v>-0.39059769999999999</v>
      </c>
      <c r="GF54">
        <v>1.017703</v>
      </c>
      <c r="GG54">
        <v>0.25186199999999997</v>
      </c>
      <c r="GH54">
        <v>-0.2218676</v>
      </c>
      <c r="GI54">
        <v>4.9225199999999997E-2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0.13682279999999999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-0.1042778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97.816649999999996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24.7</v>
      </c>
      <c r="OD54">
        <v>19736.599999999999</v>
      </c>
      <c r="OE54">
        <v>0.44</v>
      </c>
      <c r="OF54">
        <v>137.67599999999999</v>
      </c>
      <c r="OG54">
        <v>14.7</v>
      </c>
      <c r="OH54">
        <v>73.792000000000002</v>
      </c>
    </row>
    <row r="55" spans="1:398">
      <c r="A55">
        <v>5</v>
      </c>
      <c r="B55" t="s">
        <v>44</v>
      </c>
      <c r="C55" t="s">
        <v>43</v>
      </c>
      <c r="D55">
        <v>2019</v>
      </c>
      <c r="E55">
        <v>17.335999999999999</v>
      </c>
      <c r="F55">
        <v>1.1414</v>
      </c>
      <c r="G55">
        <v>320</v>
      </c>
      <c r="H55">
        <v>33.299999999999997</v>
      </c>
      <c r="I55">
        <v>92.6</v>
      </c>
      <c r="J55">
        <v>10.6</v>
      </c>
      <c r="K55">
        <v>13898.1</v>
      </c>
      <c r="L55">
        <v>0.4</v>
      </c>
      <c r="M55">
        <v>1.4</v>
      </c>
      <c r="N55">
        <v>125173</v>
      </c>
      <c r="O55">
        <v>9.49</v>
      </c>
      <c r="P55">
        <v>1.1299999999999999</v>
      </c>
      <c r="Q55">
        <v>7454.22</v>
      </c>
      <c r="R55">
        <v>32.700000000000003</v>
      </c>
      <c r="S55">
        <v>0.301396</v>
      </c>
      <c r="T55">
        <v>-0.1149676</v>
      </c>
      <c r="U55">
        <v>-0.56108599999999997</v>
      </c>
      <c r="V55">
        <v>-1.411994</v>
      </c>
      <c r="W55">
        <v>-8.1788299999999994E-2</v>
      </c>
      <c r="X55">
        <v>1.3269340000000001</v>
      </c>
      <c r="Y55">
        <v>0.3757955</v>
      </c>
      <c r="Z55">
        <v>1.190439</v>
      </c>
      <c r="AA55">
        <v>-0.75105639999999996</v>
      </c>
      <c r="AB55">
        <v>-0.45308130000000002</v>
      </c>
      <c r="AC55">
        <v>-5.4810299999999999E-2</v>
      </c>
      <c r="AD55">
        <v>0.96869859999999997</v>
      </c>
      <c r="AE55">
        <v>-7.8108700000000003E-2</v>
      </c>
      <c r="AF55">
        <v>-0.28887829999999998</v>
      </c>
      <c r="AG55">
        <v>-0.1395565</v>
      </c>
      <c r="AH55">
        <v>-0.126607</v>
      </c>
      <c r="AI55">
        <v>2.8527849999999999</v>
      </c>
      <c r="AJ55">
        <v>0.1322556</v>
      </c>
      <c r="AK55">
        <v>5.7683210000000003</v>
      </c>
      <c r="AL55">
        <v>4.528289</v>
      </c>
      <c r="AM55">
        <v>2.3608539999999998</v>
      </c>
      <c r="AN55">
        <v>9.5395079999999997</v>
      </c>
      <c r="AO55">
        <v>11.737450000000001</v>
      </c>
      <c r="AP55">
        <v>0.1222176</v>
      </c>
      <c r="AQ55">
        <v>8.9165349999999997</v>
      </c>
      <c r="AR55">
        <v>4.9288999999999996</v>
      </c>
      <c r="AS55">
        <v>2.7663199999999999</v>
      </c>
      <c r="AT55">
        <v>9.9213299999999993</v>
      </c>
      <c r="AU55">
        <v>73.921000000000006</v>
      </c>
      <c r="AV55">
        <v>138.155</v>
      </c>
      <c r="AW55">
        <v>4.1870599999999998</v>
      </c>
      <c r="AX55" s="17">
        <v>11000000000</v>
      </c>
      <c r="AY55">
        <v>3.2307999999999999</v>
      </c>
      <c r="AZ55">
        <v>0.33</v>
      </c>
      <c r="BA55">
        <v>2.2502390000000001</v>
      </c>
      <c r="BB55">
        <v>2.2502387000000001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-0.116534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1.6568300000000001E-2</v>
      </c>
      <c r="CG55">
        <v>0.49938149999999998</v>
      </c>
      <c r="CH55">
        <v>0.25968400000000003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0.33436100000000002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0.24938189999999999</v>
      </c>
      <c r="DI55">
        <v>0.1117973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0.1647959</v>
      </c>
      <c r="DW55">
        <v>0.1103391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13.80184</v>
      </c>
      <c r="EW55">
        <v>7.1556400000000006E-2</v>
      </c>
      <c r="EX55">
        <v>7.1756799999999996E-2</v>
      </c>
      <c r="EY55">
        <v>7.2108599999999995E-2</v>
      </c>
      <c r="EZ55">
        <v>7.1589600000000003E-2</v>
      </c>
      <c r="FA55">
        <v>7.1284899999999998E-2</v>
      </c>
      <c r="FB55">
        <v>7.1293400000000007E-2</v>
      </c>
      <c r="FC55">
        <v>7.0453100000000005E-2</v>
      </c>
      <c r="FD55">
        <v>7.2010000000000005E-2</v>
      </c>
      <c r="FE55">
        <v>7.1677099999999994E-2</v>
      </c>
      <c r="FF55">
        <v>7.0760799999999999E-2</v>
      </c>
      <c r="FG55">
        <v>7.1295200000000003E-2</v>
      </c>
      <c r="FH55">
        <v>7.0993299999999995E-2</v>
      </c>
      <c r="FI55">
        <v>7.1560700000000005E-2</v>
      </c>
      <c r="FJ55">
        <v>7.1660199999999993E-2</v>
      </c>
      <c r="FK55">
        <v>0.30102570000000001</v>
      </c>
      <c r="FL55">
        <v>9.0616500000000003E-2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-0.1149676</v>
      </c>
      <c r="FZ55">
        <v>-0.56108599999999997</v>
      </c>
      <c r="GA55">
        <v>-1.411994</v>
      </c>
      <c r="GB55">
        <v>1.3269340000000001</v>
      </c>
      <c r="GC55">
        <v>1.190439</v>
      </c>
      <c r="GD55">
        <v>-5.4810299999999999E-2</v>
      </c>
      <c r="GE55">
        <v>-0.1395565</v>
      </c>
      <c r="GF55">
        <v>0.96869859999999997</v>
      </c>
      <c r="GG55">
        <v>-7.8108700000000003E-2</v>
      </c>
      <c r="GH55">
        <v>-0.11747730000000001</v>
      </c>
      <c r="GI55">
        <v>1.38009E-2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9.9338499999999996E-2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-3.8767500000000003E-2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98.432839999999999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25.3</v>
      </c>
      <c r="OD55">
        <v>20360.099999999999</v>
      </c>
      <c r="OE55">
        <v>0.89</v>
      </c>
      <c r="OF55">
        <v>138.227</v>
      </c>
      <c r="OG55">
        <v>15.9</v>
      </c>
      <c r="OH55">
        <v>73.921000000000006</v>
      </c>
    </row>
    <row r="56" spans="1:398">
      <c r="A56">
        <v>5</v>
      </c>
      <c r="B56" t="s">
        <v>44</v>
      </c>
      <c r="C56" t="s">
        <v>43</v>
      </c>
      <c r="D56">
        <v>2020</v>
      </c>
      <c r="E56">
        <v>16.042000000000002</v>
      </c>
      <c r="F56">
        <v>1.1672</v>
      </c>
      <c r="G56">
        <v>308</v>
      </c>
      <c r="H56">
        <v>40.5</v>
      </c>
      <c r="I56">
        <v>88.8</v>
      </c>
      <c r="J56">
        <v>11.5</v>
      </c>
      <c r="K56">
        <v>13085</v>
      </c>
      <c r="L56">
        <v>0.4</v>
      </c>
      <c r="M56">
        <v>1.5</v>
      </c>
      <c r="N56">
        <v>123938</v>
      </c>
      <c r="O56">
        <v>7.16</v>
      </c>
      <c r="P56">
        <v>1.01</v>
      </c>
      <c r="Q56">
        <v>6452.67</v>
      </c>
      <c r="R56">
        <v>31.1</v>
      </c>
      <c r="S56">
        <v>0.28693200000000002</v>
      </c>
      <c r="T56">
        <v>-0.27218140000000002</v>
      </c>
      <c r="U56">
        <v>-0.53632449999999998</v>
      </c>
      <c r="V56">
        <v>-1.503104</v>
      </c>
      <c r="W56">
        <v>0.3816966</v>
      </c>
      <c r="X56">
        <v>0.79911670000000001</v>
      </c>
      <c r="Y56">
        <v>0.51991330000000002</v>
      </c>
      <c r="Z56">
        <v>1.084336</v>
      </c>
      <c r="AA56">
        <v>-0.75105639999999996</v>
      </c>
      <c r="AB56">
        <v>-0.32115470000000002</v>
      </c>
      <c r="AC56">
        <v>-6.1368100000000002E-2</v>
      </c>
      <c r="AD56">
        <v>0.3806486</v>
      </c>
      <c r="AE56">
        <v>-0.40807929999999998</v>
      </c>
      <c r="AF56">
        <v>-0.37316329999999998</v>
      </c>
      <c r="AG56">
        <v>-0.26091039999999999</v>
      </c>
      <c r="AH56">
        <v>-7.1797899999999998E-2</v>
      </c>
      <c r="AI56">
        <v>2.77521</v>
      </c>
      <c r="AJ56">
        <v>0.15460769999999999</v>
      </c>
      <c r="AK56">
        <v>5.7301000000000002</v>
      </c>
      <c r="AL56">
        <v>4.4863869999999997</v>
      </c>
      <c r="AM56">
        <v>2.4423469999999998</v>
      </c>
      <c r="AN56">
        <v>9.4792210000000008</v>
      </c>
      <c r="AO56">
        <v>11.727539999999999</v>
      </c>
      <c r="AP56">
        <v>9.9503000000000005E-3</v>
      </c>
      <c r="AQ56">
        <v>8.7722490000000004</v>
      </c>
      <c r="AR56">
        <v>4.9314200000000001</v>
      </c>
      <c r="AS56">
        <v>2.8332099999999998</v>
      </c>
      <c r="AT56">
        <v>9.8643900000000002</v>
      </c>
      <c r="AU56">
        <v>74.061000000000007</v>
      </c>
      <c r="AV56">
        <v>128.78</v>
      </c>
      <c r="AW56">
        <v>3.39114</v>
      </c>
      <c r="AX56" s="17">
        <v>8500000000</v>
      </c>
      <c r="AY56">
        <v>3.2464900000000001</v>
      </c>
      <c r="AZ56">
        <v>0.32</v>
      </c>
      <c r="BA56">
        <v>1.96851</v>
      </c>
      <c r="BB56">
        <v>1.9685098999999999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-0.400478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2.0235699999999999E-2</v>
      </c>
      <c r="CG56">
        <v>0.48620150000000001</v>
      </c>
      <c r="CH56">
        <v>0.24947800000000001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0.41840290000000002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0.23639189999999999</v>
      </c>
      <c r="DI56">
        <v>0.17506099999999999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0.15558449999999999</v>
      </c>
      <c r="DW56">
        <v>0.13388890000000001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13.81246</v>
      </c>
      <c r="EW56">
        <v>7.1562600000000004E-2</v>
      </c>
      <c r="EX56">
        <v>7.1692199999999998E-2</v>
      </c>
      <c r="EY56">
        <v>7.2101100000000001E-2</v>
      </c>
      <c r="EZ56">
        <v>7.1394799999999994E-2</v>
      </c>
      <c r="FA56">
        <v>7.1327000000000002E-2</v>
      </c>
      <c r="FB56">
        <v>7.1182499999999996E-2</v>
      </c>
      <c r="FC56">
        <v>7.0539400000000002E-2</v>
      </c>
      <c r="FD56">
        <v>7.1957099999999996E-2</v>
      </c>
      <c r="FE56">
        <v>7.1567199999999997E-2</v>
      </c>
      <c r="FF56">
        <v>7.0764400000000005E-2</v>
      </c>
      <c r="FG56">
        <v>7.1418499999999996E-2</v>
      </c>
      <c r="FH56">
        <v>7.11812E-2</v>
      </c>
      <c r="FI56">
        <v>7.1657200000000004E-2</v>
      </c>
      <c r="FJ56">
        <v>7.1654599999999999E-2</v>
      </c>
      <c r="FK56">
        <v>0.2866399</v>
      </c>
      <c r="FL56">
        <v>8.2162399999999997E-2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-0.27218140000000002</v>
      </c>
      <c r="FZ56">
        <v>-0.53632449999999998</v>
      </c>
      <c r="GA56">
        <v>-1.503104</v>
      </c>
      <c r="GB56">
        <v>0.79911670000000001</v>
      </c>
      <c r="GC56">
        <v>1.084336</v>
      </c>
      <c r="GD56">
        <v>-6.1368100000000002E-2</v>
      </c>
      <c r="GE56">
        <v>-0.26091039999999999</v>
      </c>
      <c r="GF56">
        <v>0.3806486</v>
      </c>
      <c r="GG56">
        <v>-0.40807929999999998</v>
      </c>
      <c r="GH56">
        <v>-1.6920399999999999E-2</v>
      </c>
      <c r="GI56">
        <v>2.8630000000000002E-4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9.1724799999999995E-2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-5.4145E-3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97.306160000000006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25.7</v>
      </c>
      <c r="OD56">
        <v>19233.099999999999</v>
      </c>
      <c r="OE56">
        <v>0.67</v>
      </c>
      <c r="OF56">
        <v>138.57599999999999</v>
      </c>
      <c r="OG56">
        <v>17</v>
      </c>
      <c r="OH56">
        <v>74.061000000000007</v>
      </c>
    </row>
    <row r="57" spans="1:398">
      <c r="A57">
        <v>6</v>
      </c>
      <c r="B57" t="s">
        <v>42</v>
      </c>
      <c r="C57" t="s">
        <v>41</v>
      </c>
      <c r="D57">
        <v>2010</v>
      </c>
      <c r="E57">
        <v>15.398999999999999</v>
      </c>
      <c r="F57">
        <v>2.2462</v>
      </c>
      <c r="G57">
        <v>642</v>
      </c>
      <c r="H57">
        <v>62.5</v>
      </c>
      <c r="I57">
        <v>82.8</v>
      </c>
      <c r="J57">
        <v>11.2</v>
      </c>
      <c r="K57">
        <v>7078.4</v>
      </c>
      <c r="L57">
        <v>0.7</v>
      </c>
      <c r="M57">
        <v>1.7</v>
      </c>
      <c r="N57">
        <v>583392</v>
      </c>
      <c r="O57">
        <v>92.02</v>
      </c>
      <c r="P57">
        <v>0.8</v>
      </c>
      <c r="Q57">
        <v>9782.7199999999993</v>
      </c>
      <c r="R57">
        <v>38</v>
      </c>
      <c r="S57">
        <v>0.46714800000000001</v>
      </c>
      <c r="T57">
        <v>-0.35030220000000001</v>
      </c>
      <c r="U57">
        <v>0.49924590000000002</v>
      </c>
      <c r="V57">
        <v>1.03278</v>
      </c>
      <c r="W57">
        <v>1.7979000000000001</v>
      </c>
      <c r="X57">
        <v>-3.4280100000000001E-2</v>
      </c>
      <c r="Y57">
        <v>0.47187400000000002</v>
      </c>
      <c r="Z57">
        <v>0.30052830000000003</v>
      </c>
      <c r="AA57">
        <v>8.3346600000000007E-2</v>
      </c>
      <c r="AB57">
        <v>-5.7301400000000002E-2</v>
      </c>
      <c r="AC57">
        <v>2.3783219999999998</v>
      </c>
      <c r="AD57">
        <v>-0.64843899999999999</v>
      </c>
      <c r="AE57">
        <v>0.68903700000000001</v>
      </c>
      <c r="AF57">
        <v>-9.6842999999999999E-3</v>
      </c>
      <c r="AG57">
        <v>4.1588729999999998</v>
      </c>
      <c r="AH57">
        <v>3.1426620000000001</v>
      </c>
      <c r="AI57">
        <v>2.7343030000000002</v>
      </c>
      <c r="AJ57">
        <v>0.80923990000000001</v>
      </c>
      <c r="AK57">
        <v>6.464588</v>
      </c>
      <c r="AL57">
        <v>4.4164279999999998</v>
      </c>
      <c r="AM57">
        <v>2.4159139999999999</v>
      </c>
      <c r="AN57">
        <v>8.8648030000000002</v>
      </c>
      <c r="AO57">
        <v>13.27661</v>
      </c>
      <c r="AP57">
        <v>-0.22314349999999999</v>
      </c>
      <c r="AQ57">
        <v>9.1883730000000003</v>
      </c>
      <c r="AR57">
        <v>5.45791</v>
      </c>
      <c r="AS57">
        <v>2.4510000000000001</v>
      </c>
      <c r="AT57">
        <v>10.5589</v>
      </c>
      <c r="AU57">
        <v>76.965999999999994</v>
      </c>
      <c r="AV57">
        <v>73.8626</v>
      </c>
      <c r="AW57">
        <v>2.4807899999999998</v>
      </c>
      <c r="AX57" s="17">
        <v>86000000000</v>
      </c>
      <c r="AY57">
        <v>3.3673000000000002</v>
      </c>
      <c r="AZ57">
        <v>0.74</v>
      </c>
      <c r="BA57">
        <v>4.5220060000000002</v>
      </c>
      <c r="BB57">
        <v>4.5220060000000002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0.12221799999999999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3.14452E-2</v>
      </c>
      <c r="CG57">
        <v>0.60328360000000003</v>
      </c>
      <c r="CH57">
        <v>0.47940500000000003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2.346714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0.36395110000000003</v>
      </c>
      <c r="DI57">
        <v>5.5070639999999997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0.44642979999999999</v>
      </c>
      <c r="DW57">
        <v>1.7365679999999999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13.72512</v>
      </c>
      <c r="EW57">
        <v>7.2053099999999995E-2</v>
      </c>
      <c r="EX57">
        <v>7.1585999999999997E-2</v>
      </c>
      <c r="EY57">
        <v>7.1610400000000005E-2</v>
      </c>
      <c r="EZ57">
        <v>7.1467000000000003E-2</v>
      </c>
      <c r="FA57">
        <v>7.1923899999999999E-2</v>
      </c>
      <c r="FB57">
        <v>7.1683300000000005E-2</v>
      </c>
      <c r="FC57">
        <v>7.1664599999999995E-2</v>
      </c>
      <c r="FD57">
        <v>7.2103E-2</v>
      </c>
      <c r="FE57">
        <v>7.1912699999999996E-2</v>
      </c>
      <c r="FF57">
        <v>6.9112599999999996E-2</v>
      </c>
      <c r="FG57">
        <v>6.9162500000000002E-2</v>
      </c>
      <c r="FH57">
        <v>7.2079799999999999E-2</v>
      </c>
      <c r="FI57">
        <v>7.1691400000000002E-2</v>
      </c>
      <c r="FJ57">
        <v>7.1949700000000005E-2</v>
      </c>
      <c r="FK57">
        <v>0.4650495</v>
      </c>
      <c r="FL57">
        <v>0.21627109999999999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-0.35030220000000001</v>
      </c>
      <c r="FZ57">
        <v>0.49924590000000002</v>
      </c>
      <c r="GA57">
        <v>1.03278</v>
      </c>
      <c r="GB57">
        <v>-3.4280100000000001E-2</v>
      </c>
      <c r="GC57">
        <v>0.30052830000000003</v>
      </c>
      <c r="GD57">
        <v>2.3783219999999998</v>
      </c>
      <c r="GE57">
        <v>4.1588729999999998</v>
      </c>
      <c r="GF57">
        <v>-0.64843899999999999</v>
      </c>
      <c r="GG57">
        <v>0.68903700000000001</v>
      </c>
      <c r="GH57">
        <v>4.845472</v>
      </c>
      <c r="GI57">
        <v>23.4786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0.34413670000000002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3.5856490000000001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111.4897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29</v>
      </c>
      <c r="OD57">
        <v>38517.4</v>
      </c>
      <c r="OE57">
        <v>1.1299999999999999</v>
      </c>
      <c r="OF57">
        <v>234.607</v>
      </c>
      <c r="OG57">
        <v>11.6</v>
      </c>
      <c r="OH57">
        <v>76.965999999999994</v>
      </c>
    </row>
    <row r="58" spans="1:398">
      <c r="A58">
        <v>6</v>
      </c>
      <c r="B58" t="s">
        <v>42</v>
      </c>
      <c r="C58" t="s">
        <v>41</v>
      </c>
      <c r="D58">
        <v>2011</v>
      </c>
      <c r="E58">
        <v>0</v>
      </c>
      <c r="F58">
        <v>2.1867999999999999</v>
      </c>
      <c r="G58">
        <v>632</v>
      </c>
      <c r="H58">
        <v>63</v>
      </c>
      <c r="I58">
        <v>83.9</v>
      </c>
      <c r="J58">
        <v>10.6</v>
      </c>
      <c r="K58">
        <v>8983.4</v>
      </c>
      <c r="L58">
        <v>0.6</v>
      </c>
      <c r="M58">
        <v>1.7</v>
      </c>
      <c r="N58">
        <v>596629</v>
      </c>
      <c r="O58">
        <v>110.25</v>
      </c>
      <c r="P58">
        <v>0.81</v>
      </c>
      <c r="Q58">
        <v>9873.49</v>
      </c>
      <c r="R58">
        <v>37.1</v>
      </c>
      <c r="S58">
        <v>0.45786700000000002</v>
      </c>
      <c r="T58">
        <v>-2.2211940000000001</v>
      </c>
      <c r="U58">
        <v>0.44223669999999998</v>
      </c>
      <c r="V58">
        <v>0.95685520000000002</v>
      </c>
      <c r="W58">
        <v>1.830087</v>
      </c>
      <c r="X58">
        <v>0.11850910000000001</v>
      </c>
      <c r="Y58">
        <v>0.3757955</v>
      </c>
      <c r="Z58">
        <v>0.54911390000000004</v>
      </c>
      <c r="AA58">
        <v>-0.19478780000000001</v>
      </c>
      <c r="AB58">
        <v>-5.7301400000000002E-2</v>
      </c>
      <c r="AC58">
        <v>2.44861</v>
      </c>
      <c r="AD58">
        <v>-0.59943489999999999</v>
      </c>
      <c r="AE58">
        <v>0.71894119999999995</v>
      </c>
      <c r="AF58">
        <v>-5.7094699999999998E-2</v>
      </c>
      <c r="AG58">
        <v>5.1083499999999997</v>
      </c>
      <c r="AH58">
        <v>3.5964230000000001</v>
      </c>
      <c r="AJ58">
        <v>0.78243929999999995</v>
      </c>
      <c r="AK58">
        <v>6.4488890000000003</v>
      </c>
      <c r="AL58">
        <v>4.4296259999999998</v>
      </c>
      <c r="AM58">
        <v>2.3608539999999998</v>
      </c>
      <c r="AN58">
        <v>9.1031340000000007</v>
      </c>
      <c r="AO58">
        <v>13.299049999999999</v>
      </c>
      <c r="AP58">
        <v>-0.21072099999999999</v>
      </c>
      <c r="AQ58">
        <v>9.1976080000000007</v>
      </c>
      <c r="AR58">
        <v>5.4394</v>
      </c>
      <c r="AS58">
        <v>2.5257299999999998</v>
      </c>
      <c r="AT58">
        <v>10.6143</v>
      </c>
      <c r="AU58">
        <v>77.16</v>
      </c>
      <c r="AV58">
        <v>78.407300000000006</v>
      </c>
      <c r="AW58">
        <v>2.5500600000000002</v>
      </c>
      <c r="AX58" s="17">
        <v>98000000000</v>
      </c>
      <c r="AY58">
        <v>3.4011999999999998</v>
      </c>
      <c r="AZ58">
        <v>0.72</v>
      </c>
      <c r="BA58">
        <v>4.7027510000000001</v>
      </c>
      <c r="BB58">
        <v>4.7027507000000002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0.31481100000000001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3.0739499999999999E-2</v>
      </c>
      <c r="CH58">
        <v>0.50250799999999995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13.74095</v>
      </c>
      <c r="EW58">
        <v>7.2775199999999998E-2</v>
      </c>
      <c r="EX58">
        <v>7.1555400000000005E-2</v>
      </c>
      <c r="EY58">
        <v>7.1573800000000007E-2</v>
      </c>
      <c r="EZ58">
        <v>7.1406999999999998E-2</v>
      </c>
      <c r="FA58">
        <v>7.18303E-2</v>
      </c>
      <c r="FB58">
        <v>7.1671600000000002E-2</v>
      </c>
      <c r="FC58">
        <v>7.1390800000000004E-2</v>
      </c>
      <c r="FD58">
        <v>7.2124900000000006E-2</v>
      </c>
      <c r="FE58">
        <v>7.1842799999999998E-2</v>
      </c>
      <c r="FF58">
        <v>6.9253999999999996E-2</v>
      </c>
      <c r="FG58">
        <v>6.9072400000000006E-2</v>
      </c>
      <c r="FH58">
        <v>7.1983099999999994E-2</v>
      </c>
      <c r="FI58">
        <v>7.1619100000000005E-2</v>
      </c>
      <c r="FJ58">
        <v>7.1899500000000005E-2</v>
      </c>
      <c r="FK58">
        <v>0.45489479999999999</v>
      </c>
      <c r="FL58">
        <v>0.20692930000000001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-2.2211940000000001</v>
      </c>
      <c r="FZ58">
        <v>0.44223669999999998</v>
      </c>
      <c r="GA58">
        <v>0.95685520000000002</v>
      </c>
      <c r="GB58">
        <v>0.11850910000000001</v>
      </c>
      <c r="GC58">
        <v>0.54911390000000004</v>
      </c>
      <c r="GD58">
        <v>2.44861</v>
      </c>
      <c r="GE58">
        <v>5.1083499999999997</v>
      </c>
      <c r="GF58">
        <v>-0.59943489999999999</v>
      </c>
      <c r="GG58">
        <v>0.71894119999999995</v>
      </c>
      <c r="GH58">
        <v>5.5676680000000003</v>
      </c>
      <c r="GI58">
        <v>30.998930000000001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0.32752429999999999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4.0087210000000004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112.6634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30</v>
      </c>
      <c r="OD58">
        <v>40712.699999999997</v>
      </c>
      <c r="OE58">
        <v>1.37</v>
      </c>
      <c r="OF58">
        <v>230.30500000000001</v>
      </c>
      <c r="OG58">
        <v>12.5</v>
      </c>
      <c r="OH58">
        <v>77.16</v>
      </c>
    </row>
    <row r="59" spans="1:398">
      <c r="A59">
        <v>6</v>
      </c>
      <c r="B59" t="s">
        <v>42</v>
      </c>
      <c r="C59" t="s">
        <v>41</v>
      </c>
      <c r="D59">
        <v>2012</v>
      </c>
      <c r="E59">
        <v>16.007000000000001</v>
      </c>
      <c r="F59">
        <v>2.2747999999999999</v>
      </c>
      <c r="G59">
        <v>640</v>
      </c>
      <c r="H59">
        <v>65.2</v>
      </c>
      <c r="I59">
        <v>83.5</v>
      </c>
      <c r="J59">
        <v>11</v>
      </c>
      <c r="K59">
        <v>10636.4</v>
      </c>
      <c r="L59">
        <v>0.5</v>
      </c>
      <c r="M59">
        <v>1.7</v>
      </c>
      <c r="N59">
        <v>617452</v>
      </c>
      <c r="O59">
        <v>91.62</v>
      </c>
      <c r="P59">
        <v>0.76</v>
      </c>
      <c r="Q59">
        <v>9321.4699999999993</v>
      </c>
      <c r="R59">
        <v>36.799999999999997</v>
      </c>
      <c r="S59">
        <v>0.46651599999999999</v>
      </c>
      <c r="T59">
        <v>-0.2764337</v>
      </c>
      <c r="U59">
        <v>0.52669469999999996</v>
      </c>
      <c r="V59">
        <v>1.017595</v>
      </c>
      <c r="W59">
        <v>1.9717070000000001</v>
      </c>
      <c r="X59">
        <v>6.2949099999999994E-2</v>
      </c>
      <c r="Y59">
        <v>0.43984790000000001</v>
      </c>
      <c r="Z59">
        <v>0.76481580000000005</v>
      </c>
      <c r="AA59">
        <v>-0.47292210000000001</v>
      </c>
      <c r="AB59">
        <v>-5.7301400000000002E-2</v>
      </c>
      <c r="AC59">
        <v>2.55918</v>
      </c>
      <c r="AD59">
        <v>-0.84445579999999998</v>
      </c>
      <c r="AE59">
        <v>0.5370743</v>
      </c>
      <c r="AF59">
        <v>-7.2898000000000004E-2</v>
      </c>
      <c r="AG59">
        <v>4.1380400000000002</v>
      </c>
      <c r="AH59">
        <v>3.1690459999999998</v>
      </c>
      <c r="AI59">
        <v>2.7730260000000002</v>
      </c>
      <c r="AJ59">
        <v>0.82189210000000001</v>
      </c>
      <c r="AK59">
        <v>6.461468</v>
      </c>
      <c r="AL59">
        <v>4.4248469999999998</v>
      </c>
      <c r="AM59">
        <v>2.3978950000000001</v>
      </c>
      <c r="AN59">
        <v>9.2720380000000002</v>
      </c>
      <c r="AO59">
        <v>13.333360000000001</v>
      </c>
      <c r="AP59">
        <v>-0.27443689999999998</v>
      </c>
      <c r="AQ59">
        <v>9.1400760000000005</v>
      </c>
      <c r="AR59">
        <v>5.4413400000000003</v>
      </c>
      <c r="AS59">
        <v>2.6100699999999999</v>
      </c>
      <c r="AT59">
        <v>10.6172</v>
      </c>
      <c r="AU59">
        <v>77.17</v>
      </c>
      <c r="AV59">
        <v>79.3005</v>
      </c>
      <c r="AW59">
        <v>1.8189299999999999</v>
      </c>
      <c r="AX59" s="17">
        <v>65000000000</v>
      </c>
      <c r="AY59">
        <v>3.4499900000000001</v>
      </c>
      <c r="AZ59">
        <v>0.74</v>
      </c>
      <c r="BA59">
        <v>4.5176499999999997</v>
      </c>
      <c r="BB59">
        <v>4.5176496999999998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0.13102800000000001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3.0902300000000001E-2</v>
      </c>
      <c r="CG59">
        <v>0.59686669999999997</v>
      </c>
      <c r="CH59">
        <v>0.49969000000000002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2.2148949999999998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0.35624990000000001</v>
      </c>
      <c r="DI59">
        <v>4.9057579999999996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0.4416814</v>
      </c>
      <c r="DW59">
        <v>1.639022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13.74194</v>
      </c>
      <c r="EW59">
        <v>7.1950500000000001E-2</v>
      </c>
      <c r="EX59">
        <v>7.1533700000000006E-2</v>
      </c>
      <c r="EY59">
        <v>7.1573200000000003E-2</v>
      </c>
      <c r="EZ59">
        <v>7.1396699999999994E-2</v>
      </c>
      <c r="FA59">
        <v>7.1846400000000005E-2</v>
      </c>
      <c r="FB59">
        <v>7.1651599999999996E-2</v>
      </c>
      <c r="FC59">
        <v>7.1249800000000002E-2</v>
      </c>
      <c r="FD59">
        <v>7.2227600000000003E-2</v>
      </c>
      <c r="FE59">
        <v>7.1850200000000003E-2</v>
      </c>
      <c r="FF59">
        <v>6.9423899999999997E-2</v>
      </c>
      <c r="FG59">
        <v>6.9587999999999997E-2</v>
      </c>
      <c r="FH59">
        <v>7.2099399999999994E-2</v>
      </c>
      <c r="FI59">
        <v>7.1696700000000002E-2</v>
      </c>
      <c r="FJ59">
        <v>7.1912199999999996E-2</v>
      </c>
      <c r="FK59">
        <v>0.46455819999999998</v>
      </c>
      <c r="FL59">
        <v>0.21581439999999999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-0.2764337</v>
      </c>
      <c r="FZ59">
        <v>0.52669469999999996</v>
      </c>
      <c r="GA59">
        <v>1.017595</v>
      </c>
      <c r="GB59">
        <v>6.2949099999999994E-2</v>
      </c>
      <c r="GC59">
        <v>0.76481580000000005</v>
      </c>
      <c r="GD59">
        <v>2.55918</v>
      </c>
      <c r="GE59">
        <v>4.1380400000000002</v>
      </c>
      <c r="GF59">
        <v>-0.84445579999999998</v>
      </c>
      <c r="GG59">
        <v>0.5370743</v>
      </c>
      <c r="GH59">
        <v>4.922504</v>
      </c>
      <c r="GI59">
        <v>24.23104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0.3437731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3.6426530000000001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112.7239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31.5</v>
      </c>
      <c r="OD59">
        <v>40829</v>
      </c>
      <c r="OE59">
        <v>1.1399999999999999</v>
      </c>
      <c r="OF59">
        <v>230.751</v>
      </c>
      <c r="OG59">
        <v>13.6</v>
      </c>
      <c r="OH59">
        <v>77.17</v>
      </c>
    </row>
    <row r="60" spans="1:398">
      <c r="A60">
        <v>6</v>
      </c>
      <c r="B60" t="s">
        <v>42</v>
      </c>
      <c r="C60" t="s">
        <v>41</v>
      </c>
      <c r="D60">
        <v>2013</v>
      </c>
      <c r="E60">
        <v>15.949</v>
      </c>
      <c r="F60">
        <v>2.2837000000000001</v>
      </c>
      <c r="G60">
        <v>601</v>
      </c>
      <c r="H60">
        <v>63.8</v>
      </c>
      <c r="I60">
        <v>82.8</v>
      </c>
      <c r="J60">
        <v>11.1</v>
      </c>
      <c r="K60">
        <v>12487.7</v>
      </c>
      <c r="L60">
        <v>0.4</v>
      </c>
      <c r="M60">
        <v>1.7</v>
      </c>
      <c r="N60">
        <v>611082</v>
      </c>
      <c r="O60">
        <v>86.41</v>
      </c>
      <c r="P60">
        <v>0.75</v>
      </c>
      <c r="Q60">
        <v>9288.0499999999993</v>
      </c>
      <c r="R60">
        <v>37.9</v>
      </c>
      <c r="S60">
        <v>0.45567000000000002</v>
      </c>
      <c r="T60">
        <v>-0.28348030000000002</v>
      </c>
      <c r="U60">
        <v>0.53523639999999995</v>
      </c>
      <c r="V60">
        <v>0.72148869999999998</v>
      </c>
      <c r="W60">
        <v>1.8815850000000001</v>
      </c>
      <c r="X60">
        <v>-3.4280100000000001E-2</v>
      </c>
      <c r="Y60">
        <v>0.45586100000000002</v>
      </c>
      <c r="Z60">
        <v>1.006394</v>
      </c>
      <c r="AA60">
        <v>-0.75105639999999996</v>
      </c>
      <c r="AB60">
        <v>-5.7301400000000002E-2</v>
      </c>
      <c r="AC60">
        <v>2.5253549999999998</v>
      </c>
      <c r="AD60">
        <v>-0.89345989999999997</v>
      </c>
      <c r="AE60">
        <v>0.52606540000000002</v>
      </c>
      <c r="AF60">
        <v>-1.4952E-2</v>
      </c>
      <c r="AG60">
        <v>3.8666860000000001</v>
      </c>
      <c r="AH60">
        <v>3.0582739999999999</v>
      </c>
      <c r="AI60">
        <v>2.769396</v>
      </c>
      <c r="AJ60">
        <v>0.82579689999999994</v>
      </c>
      <c r="AK60">
        <v>6.3985950000000003</v>
      </c>
      <c r="AL60">
        <v>4.4164279999999998</v>
      </c>
      <c r="AM60">
        <v>2.4069449999999999</v>
      </c>
      <c r="AN60">
        <v>9.4324999999999992</v>
      </c>
      <c r="AO60">
        <v>13.322990000000001</v>
      </c>
      <c r="AP60">
        <v>-0.2876821</v>
      </c>
      <c r="AQ60">
        <v>9.1364839999999994</v>
      </c>
      <c r="AR60">
        <v>5.4430899999999998</v>
      </c>
      <c r="AS60">
        <v>2.6100699999999999</v>
      </c>
      <c r="AT60">
        <v>10.6183</v>
      </c>
      <c r="AU60">
        <v>77.180000000000007</v>
      </c>
      <c r="AV60">
        <v>77.564400000000006</v>
      </c>
      <c r="AW60">
        <v>1.7646599999999999</v>
      </c>
      <c r="AX60" s="17">
        <v>67000000000</v>
      </c>
      <c r="AY60">
        <v>3.4499900000000001</v>
      </c>
      <c r="AZ60">
        <v>0.72</v>
      </c>
      <c r="BA60">
        <v>4.459104</v>
      </c>
      <c r="BB60">
        <v>4.4591035999999997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6.7658999999999997E-2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2.9309200000000001E-2</v>
      </c>
      <c r="CG60">
        <v>0.58804869999999998</v>
      </c>
      <c r="CH60">
        <v>0.497784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2.1237849999999998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0.34580129999999998</v>
      </c>
      <c r="DI60">
        <v>4.5104639999999998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0.42339510000000002</v>
      </c>
      <c r="DW60">
        <v>1.5291250000000001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13.752190000000001</v>
      </c>
      <c r="EW60">
        <v>7.19085E-2</v>
      </c>
      <c r="EX60">
        <v>7.1499900000000005E-2</v>
      </c>
      <c r="EY60">
        <v>7.1626200000000001E-2</v>
      </c>
      <c r="EZ60">
        <v>7.1394399999999997E-2</v>
      </c>
      <c r="FA60">
        <v>7.18197E-2</v>
      </c>
      <c r="FB60">
        <v>7.1608900000000003E-2</v>
      </c>
      <c r="FC60">
        <v>7.1065400000000001E-2</v>
      </c>
      <c r="FD60">
        <v>7.2286799999999998E-2</v>
      </c>
      <c r="FE60">
        <v>7.1808800000000006E-2</v>
      </c>
      <c r="FF60">
        <v>6.9592500000000002E-2</v>
      </c>
      <c r="FG60">
        <v>6.9805599999999995E-2</v>
      </c>
      <c r="FH60">
        <v>7.2075E-2</v>
      </c>
      <c r="FI60">
        <v>7.1664099999999994E-2</v>
      </c>
      <c r="FJ60">
        <v>7.1844000000000005E-2</v>
      </c>
      <c r="FK60">
        <v>0.45393159999999999</v>
      </c>
      <c r="FL60">
        <v>0.20605390000000001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-0.28348030000000002</v>
      </c>
      <c r="FZ60">
        <v>0.53523639999999995</v>
      </c>
      <c r="GA60">
        <v>0.72148869999999998</v>
      </c>
      <c r="GB60">
        <v>-3.4280100000000001E-2</v>
      </c>
      <c r="GC60">
        <v>1.006394</v>
      </c>
      <c r="GD60">
        <v>2.5253549999999998</v>
      </c>
      <c r="GE60">
        <v>3.8666860000000001</v>
      </c>
      <c r="GF60">
        <v>-0.89345989999999997</v>
      </c>
      <c r="GG60">
        <v>0.52606540000000002</v>
      </c>
      <c r="GH60">
        <v>4.7327880000000002</v>
      </c>
      <c r="GI60">
        <v>22.399280000000001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0.32683069999999997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3.4076070000000001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112.74769999999999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31.5</v>
      </c>
      <c r="OD60">
        <v>40875</v>
      </c>
      <c r="OE60">
        <v>1.07</v>
      </c>
      <c r="OF60">
        <v>231.15600000000001</v>
      </c>
      <c r="OG60">
        <v>13.6</v>
      </c>
      <c r="OH60">
        <v>77.180000000000007</v>
      </c>
    </row>
    <row r="61" spans="1:398">
      <c r="A61">
        <v>6</v>
      </c>
      <c r="B61" t="s">
        <v>42</v>
      </c>
      <c r="C61" t="s">
        <v>41</v>
      </c>
      <c r="D61">
        <v>2014</v>
      </c>
      <c r="E61">
        <v>16.059000000000001</v>
      </c>
      <c r="F61">
        <v>2.3123999999999998</v>
      </c>
      <c r="G61">
        <v>587</v>
      </c>
      <c r="H61">
        <v>65.599999999999994</v>
      </c>
      <c r="I61">
        <v>84.2</v>
      </c>
      <c r="J61">
        <v>11.2</v>
      </c>
      <c r="K61">
        <v>13520.5</v>
      </c>
      <c r="L61">
        <v>0.5</v>
      </c>
      <c r="M61">
        <v>1.8</v>
      </c>
      <c r="N61">
        <v>657563</v>
      </c>
      <c r="O61">
        <v>89.86</v>
      </c>
      <c r="P61">
        <v>0.76</v>
      </c>
      <c r="Q61">
        <v>9087.32</v>
      </c>
      <c r="R61">
        <v>38</v>
      </c>
      <c r="S61">
        <v>0.47118199999999999</v>
      </c>
      <c r="T61">
        <v>-0.27011600000000002</v>
      </c>
      <c r="U61">
        <v>0.56278130000000004</v>
      </c>
      <c r="V61">
        <v>0.61519420000000002</v>
      </c>
      <c r="W61">
        <v>1.9974559999999999</v>
      </c>
      <c r="X61">
        <v>0.1601783</v>
      </c>
      <c r="Y61">
        <v>0.47187400000000002</v>
      </c>
      <c r="Z61">
        <v>1.141165</v>
      </c>
      <c r="AA61">
        <v>-0.47292210000000001</v>
      </c>
      <c r="AB61">
        <v>7.46251E-2</v>
      </c>
      <c r="AC61">
        <v>2.7721680000000002</v>
      </c>
      <c r="AD61">
        <v>-0.84445579999999998</v>
      </c>
      <c r="AE61">
        <v>0.4599299</v>
      </c>
      <c r="AF61">
        <v>-9.6842999999999999E-3</v>
      </c>
      <c r="AG61">
        <v>4.046373</v>
      </c>
      <c r="AH61">
        <v>3.3231259999999998</v>
      </c>
      <c r="AI61">
        <v>2.7762690000000001</v>
      </c>
      <c r="AJ61">
        <v>0.83828599999999998</v>
      </c>
      <c r="AK61">
        <v>6.3750249999999999</v>
      </c>
      <c r="AL61">
        <v>4.4331950000000004</v>
      </c>
      <c r="AM61">
        <v>2.4159139999999999</v>
      </c>
      <c r="AN61">
        <v>9.5119620000000005</v>
      </c>
      <c r="AO61">
        <v>13.3963</v>
      </c>
      <c r="AP61">
        <v>-0.27443689999999998</v>
      </c>
      <c r="AQ61">
        <v>9.1146349999999998</v>
      </c>
      <c r="AR61">
        <v>5.4471999999999996</v>
      </c>
      <c r="AS61">
        <v>2.6390600000000002</v>
      </c>
      <c r="AT61">
        <v>10.6356</v>
      </c>
      <c r="AU61">
        <v>77.19</v>
      </c>
      <c r="AV61">
        <v>76.830299999999994</v>
      </c>
      <c r="AW61">
        <v>0.43765999999999999</v>
      </c>
      <c r="AX61" s="17">
        <v>17000000000</v>
      </c>
      <c r="AY61">
        <v>3.4177300000000002</v>
      </c>
      <c r="AZ61">
        <v>0.72</v>
      </c>
      <c r="BA61">
        <v>4.4982530000000001</v>
      </c>
      <c r="BB61">
        <v>4.4982528999999998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0.10435999999999999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2.9308000000000001E-2</v>
      </c>
      <c r="CG61">
        <v>0.59736560000000005</v>
      </c>
      <c r="CH61">
        <v>0.52236499999999997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2.2653799999999999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0.35684569999999999</v>
      </c>
      <c r="DI61">
        <v>5.1319480000000004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0.43010330000000002</v>
      </c>
      <c r="DW61">
        <v>1.6310739999999999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13.753030000000001</v>
      </c>
      <c r="EW61">
        <v>7.1909200000000006E-2</v>
      </c>
      <c r="EX61">
        <v>7.1505899999999997E-2</v>
      </c>
      <c r="EY61">
        <v>7.1670399999999995E-2</v>
      </c>
      <c r="EZ61">
        <v>7.1390099999999998E-2</v>
      </c>
      <c r="FA61">
        <v>7.1798200000000006E-2</v>
      </c>
      <c r="FB61">
        <v>7.1614999999999998E-2</v>
      </c>
      <c r="FC61">
        <v>7.1018700000000004E-2</v>
      </c>
      <c r="FD61">
        <v>7.2176100000000007E-2</v>
      </c>
      <c r="FE61">
        <v>7.1761800000000001E-2</v>
      </c>
      <c r="FF61">
        <v>6.9655700000000001E-2</v>
      </c>
      <c r="FG61">
        <v>6.9898699999999994E-2</v>
      </c>
      <c r="FH61">
        <v>7.2053099999999995E-2</v>
      </c>
      <c r="FI61">
        <v>7.1698799999999993E-2</v>
      </c>
      <c r="FJ61">
        <v>7.1848300000000004E-2</v>
      </c>
      <c r="FK61">
        <v>0.46944249999999998</v>
      </c>
      <c r="FL61">
        <v>0.2203763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-0.27011600000000002</v>
      </c>
      <c r="FZ61">
        <v>0.56278130000000004</v>
      </c>
      <c r="GA61">
        <v>0.61519420000000002</v>
      </c>
      <c r="GB61">
        <v>0.1601783</v>
      </c>
      <c r="GC61">
        <v>1.141165</v>
      </c>
      <c r="GD61">
        <v>2.7721680000000002</v>
      </c>
      <c r="GE61">
        <v>4.046373</v>
      </c>
      <c r="GF61">
        <v>-0.84445579999999998</v>
      </c>
      <c r="GG61">
        <v>0.4599299</v>
      </c>
      <c r="GH61">
        <v>5.129416</v>
      </c>
      <c r="GI61">
        <v>26.31091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0.33799859999999998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3.6931799999999999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113.1153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30.5</v>
      </c>
      <c r="OD61">
        <v>41588.1</v>
      </c>
      <c r="OE61">
        <v>1.1100000000000001</v>
      </c>
      <c r="OF61">
        <v>232.108</v>
      </c>
      <c r="OG61">
        <v>14</v>
      </c>
      <c r="OH61">
        <v>77.19</v>
      </c>
    </row>
    <row r="62" spans="1:398">
      <c r="A62">
        <v>6</v>
      </c>
      <c r="B62" t="s">
        <v>42</v>
      </c>
      <c r="C62" t="s">
        <v>41</v>
      </c>
      <c r="D62">
        <v>2015</v>
      </c>
      <c r="E62">
        <v>15.316000000000001</v>
      </c>
      <c r="F62">
        <v>2.4224999999999999</v>
      </c>
      <c r="G62">
        <v>565</v>
      </c>
      <c r="H62">
        <v>66.7</v>
      </c>
      <c r="I62">
        <v>79.3</v>
      </c>
      <c r="J62">
        <v>11.6</v>
      </c>
      <c r="K62">
        <v>16300.1</v>
      </c>
      <c r="L62">
        <v>0.5</v>
      </c>
      <c r="M62">
        <v>1.9</v>
      </c>
      <c r="N62">
        <v>651777</v>
      </c>
      <c r="O62">
        <v>89.46</v>
      </c>
      <c r="P62">
        <v>0.78</v>
      </c>
      <c r="Q62">
        <v>8939.58</v>
      </c>
      <c r="R62">
        <v>40</v>
      </c>
      <c r="S62">
        <v>0.47460400000000003</v>
      </c>
      <c r="T62">
        <v>-0.36038629999999999</v>
      </c>
      <c r="U62">
        <v>0.66844959999999998</v>
      </c>
      <c r="V62">
        <v>0.44816</v>
      </c>
      <c r="W62">
        <v>2.0682659999999999</v>
      </c>
      <c r="X62">
        <v>-0.52042829999999995</v>
      </c>
      <c r="Y62">
        <v>0.53592649999999997</v>
      </c>
      <c r="Z62">
        <v>1.503878</v>
      </c>
      <c r="AA62">
        <v>-0.47292210000000001</v>
      </c>
      <c r="AB62">
        <v>0.2065517</v>
      </c>
      <c r="AC62">
        <v>2.741444</v>
      </c>
      <c r="AD62">
        <v>-0.74644759999999999</v>
      </c>
      <c r="AE62">
        <v>0.41125640000000002</v>
      </c>
      <c r="AF62">
        <v>9.5671999999999993E-2</v>
      </c>
      <c r="AG62">
        <v>4.0255400000000003</v>
      </c>
      <c r="AH62">
        <v>3.636679</v>
      </c>
      <c r="AI62">
        <v>2.728898</v>
      </c>
      <c r="AJ62">
        <v>0.88480000000000003</v>
      </c>
      <c r="AK62">
        <v>6.3368260000000003</v>
      </c>
      <c r="AL62">
        <v>4.3732379999999997</v>
      </c>
      <c r="AM62">
        <v>2.4510049999999999</v>
      </c>
      <c r="AN62">
        <v>9.6989269999999994</v>
      </c>
      <c r="AO62">
        <v>13.387460000000001</v>
      </c>
      <c r="AP62">
        <v>-0.2484614</v>
      </c>
      <c r="AQ62">
        <v>9.0982439999999993</v>
      </c>
      <c r="AR62">
        <v>5.4559800000000003</v>
      </c>
      <c r="AS62">
        <v>2.6810200000000002</v>
      </c>
      <c r="AT62">
        <v>10.6433</v>
      </c>
      <c r="AU62">
        <v>77.2</v>
      </c>
      <c r="AV62">
        <v>77.791399999999996</v>
      </c>
      <c r="AW62">
        <v>1.82321</v>
      </c>
      <c r="AX62" s="17">
        <v>62000000000</v>
      </c>
      <c r="AY62">
        <v>3.4563199999999998</v>
      </c>
      <c r="AZ62">
        <v>0.74</v>
      </c>
      <c r="BA62">
        <v>4.493792</v>
      </c>
      <c r="BB62">
        <v>4.4937915999999998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9.5310000000000006E-2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2.89681E-2</v>
      </c>
      <c r="CG62">
        <v>0.59714639999999997</v>
      </c>
      <c r="CH62">
        <v>0.53981400000000002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2.4900090000000001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0.35658380000000001</v>
      </c>
      <c r="DI62">
        <v>6.2001460000000002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0.44188830000000001</v>
      </c>
      <c r="DW62">
        <v>1.8426070000000001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13.756880000000001</v>
      </c>
      <c r="EW62">
        <v>7.1925900000000001E-2</v>
      </c>
      <c r="EX62">
        <v>7.1462700000000004E-2</v>
      </c>
      <c r="EY62">
        <v>7.1715200000000007E-2</v>
      </c>
      <c r="EZ62">
        <v>7.1381200000000006E-2</v>
      </c>
      <c r="FA62">
        <v>7.1891200000000002E-2</v>
      </c>
      <c r="FB62">
        <v>7.1582000000000007E-2</v>
      </c>
      <c r="FC62">
        <v>7.0832999999999993E-2</v>
      </c>
      <c r="FD62">
        <v>7.2159600000000004E-2</v>
      </c>
      <c r="FE62">
        <v>7.1702500000000002E-2</v>
      </c>
      <c r="FF62">
        <v>6.9819199999999998E-2</v>
      </c>
      <c r="FG62">
        <v>7.0027900000000004E-2</v>
      </c>
      <c r="FH62">
        <v>7.19939E-2</v>
      </c>
      <c r="FI62">
        <v>7.1710499999999996E-2</v>
      </c>
      <c r="FJ62">
        <v>7.1795200000000003E-2</v>
      </c>
      <c r="FK62">
        <v>0.47299350000000001</v>
      </c>
      <c r="FL62">
        <v>0.2237228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-0.36038629999999999</v>
      </c>
      <c r="FZ62">
        <v>0.66844959999999998</v>
      </c>
      <c r="GA62">
        <v>0.44816</v>
      </c>
      <c r="GB62">
        <v>-0.52042829999999995</v>
      </c>
      <c r="GC62">
        <v>1.503878</v>
      </c>
      <c r="GD62">
        <v>2.741444</v>
      </c>
      <c r="GE62">
        <v>4.0255400000000003</v>
      </c>
      <c r="GF62">
        <v>-0.74644759999999999</v>
      </c>
      <c r="GG62">
        <v>0.41125640000000002</v>
      </c>
      <c r="GH62">
        <v>5.552505</v>
      </c>
      <c r="GI62">
        <v>30.83032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0.35001520000000003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4.108854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113.27979999999999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31.7</v>
      </c>
      <c r="OD62">
        <v>41911</v>
      </c>
      <c r="OE62">
        <v>1.1000000000000001</v>
      </c>
      <c r="OF62">
        <v>234.15299999999999</v>
      </c>
      <c r="OG62">
        <v>14.6</v>
      </c>
      <c r="OH62">
        <v>77.2</v>
      </c>
    </row>
    <row r="63" spans="1:398">
      <c r="A63">
        <v>6</v>
      </c>
      <c r="B63" t="s">
        <v>42</v>
      </c>
      <c r="C63" t="s">
        <v>41</v>
      </c>
      <c r="D63">
        <v>2016</v>
      </c>
      <c r="E63">
        <v>15.664999999999999</v>
      </c>
      <c r="F63">
        <v>2.4466000000000001</v>
      </c>
      <c r="G63">
        <v>564</v>
      </c>
      <c r="H63">
        <v>67.099999999999994</v>
      </c>
      <c r="I63">
        <v>86.7</v>
      </c>
      <c r="J63">
        <v>11.8</v>
      </c>
      <c r="K63">
        <v>18016.7</v>
      </c>
      <c r="L63">
        <v>0.5</v>
      </c>
      <c r="M63">
        <v>1.9</v>
      </c>
      <c r="N63">
        <v>677723</v>
      </c>
      <c r="O63">
        <v>82.62</v>
      </c>
      <c r="P63">
        <v>0.8</v>
      </c>
      <c r="Q63">
        <v>8613.6299999999992</v>
      </c>
      <c r="R63">
        <v>40</v>
      </c>
      <c r="S63">
        <v>0.484655</v>
      </c>
      <c r="T63">
        <v>-0.31798480000000001</v>
      </c>
      <c r="U63">
        <v>0.69157959999999996</v>
      </c>
      <c r="V63">
        <v>0.4405675</v>
      </c>
      <c r="W63">
        <v>2.0940150000000002</v>
      </c>
      <c r="X63">
        <v>0.50742699999999996</v>
      </c>
      <c r="Y63">
        <v>0.56795260000000003</v>
      </c>
      <c r="Z63">
        <v>1.7278789999999999</v>
      </c>
      <c r="AA63">
        <v>-0.47292210000000001</v>
      </c>
      <c r="AB63">
        <v>0.2065517</v>
      </c>
      <c r="AC63">
        <v>2.8792170000000001</v>
      </c>
      <c r="AD63">
        <v>-0.64843899999999999</v>
      </c>
      <c r="AE63">
        <v>0.30387120000000001</v>
      </c>
      <c r="AF63">
        <v>9.5671999999999993E-2</v>
      </c>
      <c r="AG63">
        <v>3.6692909999999999</v>
      </c>
      <c r="AH63">
        <v>3.5698289999999999</v>
      </c>
      <c r="AI63">
        <v>2.7514289999999999</v>
      </c>
      <c r="AJ63">
        <v>0.89469929999999998</v>
      </c>
      <c r="AK63">
        <v>6.3350540000000004</v>
      </c>
      <c r="AL63">
        <v>4.4624540000000001</v>
      </c>
      <c r="AM63">
        <v>2.4681000000000002</v>
      </c>
      <c r="AN63">
        <v>9.7990539999999999</v>
      </c>
      <c r="AO63">
        <v>13.426489999999999</v>
      </c>
      <c r="AP63">
        <v>-0.22314349999999999</v>
      </c>
      <c r="AQ63">
        <v>9.061102</v>
      </c>
      <c r="AR63">
        <v>5.4626200000000003</v>
      </c>
      <c r="AS63">
        <v>2.6532399999999998</v>
      </c>
      <c r="AT63">
        <v>10.6579</v>
      </c>
      <c r="AU63">
        <v>77.224000000000004</v>
      </c>
      <c r="AV63">
        <v>75.9846</v>
      </c>
      <c r="AW63">
        <v>1.6432</v>
      </c>
      <c r="AX63" s="17">
        <v>58000000000</v>
      </c>
      <c r="AY63">
        <v>3.4242599999999999</v>
      </c>
      <c r="AZ63">
        <v>0.69</v>
      </c>
      <c r="BA63">
        <v>4.4142520000000003</v>
      </c>
      <c r="BB63">
        <v>4.4142517999999997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2.83273E-2</v>
      </c>
      <c r="CG63">
        <v>0.60754719999999995</v>
      </c>
      <c r="CH63">
        <v>0.54966899999999996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2.4463859999999999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0.36911359999999999</v>
      </c>
      <c r="DI63">
        <v>5.9848059999999998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0.41920760000000001</v>
      </c>
      <c r="DW63">
        <v>1.688007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13.759869999999999</v>
      </c>
      <c r="EW63">
        <v>7.1905399999999994E-2</v>
      </c>
      <c r="EX63">
        <v>7.1460499999999996E-2</v>
      </c>
      <c r="EY63">
        <v>7.1715699999999993E-2</v>
      </c>
      <c r="EZ63">
        <v>7.1386500000000006E-2</v>
      </c>
      <c r="FA63">
        <v>7.1735400000000005E-2</v>
      </c>
      <c r="FB63">
        <v>7.1569900000000006E-2</v>
      </c>
      <c r="FC63">
        <v>7.0756399999999997E-2</v>
      </c>
      <c r="FD63">
        <v>7.2147600000000006E-2</v>
      </c>
      <c r="FE63">
        <v>7.1701200000000007E-2</v>
      </c>
      <c r="FF63">
        <v>6.9895600000000002E-2</v>
      </c>
      <c r="FG63">
        <v>7.0247699999999996E-2</v>
      </c>
      <c r="FH63">
        <v>7.1941500000000005E-2</v>
      </c>
      <c r="FI63">
        <v>7.1745699999999996E-2</v>
      </c>
      <c r="FJ63">
        <v>7.1791099999999997E-2</v>
      </c>
      <c r="FK63">
        <v>0.48321890000000001</v>
      </c>
      <c r="FL63">
        <v>0.2335005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-0.31798480000000001</v>
      </c>
      <c r="FZ63">
        <v>0.69157959999999996</v>
      </c>
      <c r="GA63">
        <v>0.4405675</v>
      </c>
      <c r="GB63">
        <v>0.50742699999999996</v>
      </c>
      <c r="GC63">
        <v>1.7278789999999999</v>
      </c>
      <c r="GD63">
        <v>2.8792170000000001</v>
      </c>
      <c r="GE63">
        <v>3.6692909999999999</v>
      </c>
      <c r="GF63">
        <v>-0.64843899999999999</v>
      </c>
      <c r="GG63">
        <v>0.30387120000000001</v>
      </c>
      <c r="GH63">
        <v>5.4475420000000003</v>
      </c>
      <c r="GI63">
        <v>29.675709999999999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0.33342110000000003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3.758804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113.5913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30.7</v>
      </c>
      <c r="OD63">
        <v>42528.1</v>
      </c>
      <c r="OE63">
        <v>1</v>
      </c>
      <c r="OF63">
        <v>235.71299999999999</v>
      </c>
      <c r="OG63">
        <v>14.2</v>
      </c>
      <c r="OH63">
        <v>77.224000000000004</v>
      </c>
    </row>
    <row r="64" spans="1:398">
      <c r="A64">
        <v>6</v>
      </c>
      <c r="B64" t="s">
        <v>42</v>
      </c>
      <c r="C64" t="s">
        <v>41</v>
      </c>
      <c r="D64">
        <v>2017</v>
      </c>
      <c r="E64">
        <v>16.088999999999999</v>
      </c>
      <c r="F64">
        <v>2.4775999999999998</v>
      </c>
      <c r="G64">
        <v>582</v>
      </c>
      <c r="H64">
        <v>67.2</v>
      </c>
      <c r="I64">
        <v>85.8</v>
      </c>
      <c r="J64">
        <v>11.6</v>
      </c>
      <c r="K64">
        <v>15734.1</v>
      </c>
      <c r="L64">
        <v>0.9</v>
      </c>
      <c r="M64">
        <v>2.1</v>
      </c>
      <c r="N64">
        <v>700179</v>
      </c>
      <c r="O64">
        <v>71.180000000000007</v>
      </c>
      <c r="P64">
        <v>0.82</v>
      </c>
      <c r="Q64">
        <v>7787.97</v>
      </c>
      <c r="R64">
        <v>39.1</v>
      </c>
      <c r="S64">
        <v>0.49085600000000001</v>
      </c>
      <c r="T64">
        <v>-0.26647110000000002</v>
      </c>
      <c r="U64">
        <v>0.72133199999999997</v>
      </c>
      <c r="V64">
        <v>0.57723190000000002</v>
      </c>
      <c r="W64">
        <v>2.1004529999999999</v>
      </c>
      <c r="X64">
        <v>0.38241829999999999</v>
      </c>
      <c r="Y64">
        <v>0.53592649999999997</v>
      </c>
      <c r="Z64">
        <v>1.4300200000000001</v>
      </c>
      <c r="AA64">
        <v>0.6396153</v>
      </c>
      <c r="AB64">
        <v>0.47040490000000001</v>
      </c>
      <c r="AC64">
        <v>2.9984579999999998</v>
      </c>
      <c r="AD64">
        <v>-0.55043070000000005</v>
      </c>
      <c r="AE64">
        <v>3.1848799999999997E-2</v>
      </c>
      <c r="AF64">
        <v>4.8261600000000002E-2</v>
      </c>
      <c r="AG64">
        <v>3.073458</v>
      </c>
      <c r="AH64">
        <v>3.5921240000000001</v>
      </c>
      <c r="AI64">
        <v>2.7781359999999999</v>
      </c>
      <c r="AJ64">
        <v>0.90729040000000005</v>
      </c>
      <c r="AK64">
        <v>6.3664699999999996</v>
      </c>
      <c r="AL64">
        <v>4.4520189999999999</v>
      </c>
      <c r="AM64">
        <v>2.4510049999999999</v>
      </c>
      <c r="AN64">
        <v>9.6635860000000005</v>
      </c>
      <c r="AO64">
        <v>13.45909</v>
      </c>
      <c r="AP64">
        <v>-0.19845099999999999</v>
      </c>
      <c r="AQ64">
        <v>8.9603359999999999</v>
      </c>
      <c r="AR64">
        <v>5.4663199999999996</v>
      </c>
      <c r="AS64">
        <v>2.7212999999999998</v>
      </c>
      <c r="AT64">
        <v>10.680999999999999</v>
      </c>
      <c r="AU64">
        <v>77.260999999999996</v>
      </c>
      <c r="AV64">
        <v>77.566599999999994</v>
      </c>
      <c r="AW64">
        <v>2.8908800000000001</v>
      </c>
      <c r="AX64" s="17">
        <v>110000000000</v>
      </c>
      <c r="AY64">
        <v>3.4436200000000001</v>
      </c>
      <c r="AZ64">
        <v>0.68</v>
      </c>
      <c r="BA64">
        <v>4.265212</v>
      </c>
      <c r="BB64">
        <v>4.2652121000000003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-0.15082300000000001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2.7589499999999999E-2</v>
      </c>
      <c r="CG64">
        <v>0.62266829999999995</v>
      </c>
      <c r="CH64">
        <v>0.53896900000000003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2.6906850000000002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0.3877158</v>
      </c>
      <c r="DI64">
        <v>7.2397859999999996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0.42341450000000003</v>
      </c>
      <c r="DW64">
        <v>1.829666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13.76436</v>
      </c>
      <c r="EW64">
        <v>7.1874599999999997E-2</v>
      </c>
      <c r="EX64">
        <v>7.14476E-2</v>
      </c>
      <c r="EY64">
        <v>7.1666599999999997E-2</v>
      </c>
      <c r="EZ64">
        <v>7.1387500000000007E-2</v>
      </c>
      <c r="FA64">
        <v>7.1742100000000003E-2</v>
      </c>
      <c r="FB64">
        <v>7.1579599999999993E-2</v>
      </c>
      <c r="FC64">
        <v>7.0951E-2</v>
      </c>
      <c r="FD64">
        <v>7.1762400000000004E-2</v>
      </c>
      <c r="FE64">
        <v>7.1593599999999993E-2</v>
      </c>
      <c r="FF64">
        <v>6.9964299999999993E-2</v>
      </c>
      <c r="FG64">
        <v>7.0519200000000004E-2</v>
      </c>
      <c r="FH64">
        <v>7.1883600000000006E-2</v>
      </c>
      <c r="FI64">
        <v>7.1830099999999994E-2</v>
      </c>
      <c r="FJ64">
        <v>7.1797899999999998E-2</v>
      </c>
      <c r="FK64">
        <v>0.4897917</v>
      </c>
      <c r="FL64">
        <v>0.2398959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-0.26647110000000002</v>
      </c>
      <c r="FZ64">
        <v>0.72133199999999997</v>
      </c>
      <c r="GA64">
        <v>0.57723190000000002</v>
      </c>
      <c r="GB64">
        <v>0.38241829999999999</v>
      </c>
      <c r="GC64">
        <v>1.4300200000000001</v>
      </c>
      <c r="GD64">
        <v>2.9984579999999998</v>
      </c>
      <c r="GE64">
        <v>3.073458</v>
      </c>
      <c r="GF64">
        <v>-0.55043070000000005</v>
      </c>
      <c r="GG64">
        <v>3.1848799999999997E-2</v>
      </c>
      <c r="GH64">
        <v>5.4621890000000004</v>
      </c>
      <c r="GI64">
        <v>29.835509999999999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0.33305839999999998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3.7142879999999998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114.08329999999999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31.3</v>
      </c>
      <c r="OD64">
        <v>43520.2</v>
      </c>
      <c r="OE64">
        <v>0.86</v>
      </c>
      <c r="OF64">
        <v>236.589</v>
      </c>
      <c r="OG64">
        <v>15.2</v>
      </c>
      <c r="OH64">
        <v>77.260999999999996</v>
      </c>
    </row>
    <row r="65" spans="1:398">
      <c r="A65">
        <v>6</v>
      </c>
      <c r="B65" t="s">
        <v>42</v>
      </c>
      <c r="C65" t="s">
        <v>41</v>
      </c>
      <c r="D65">
        <v>2018</v>
      </c>
      <c r="E65">
        <v>16.21</v>
      </c>
      <c r="F65">
        <v>2.5867</v>
      </c>
      <c r="G65">
        <v>589</v>
      </c>
      <c r="H65">
        <v>67.099999999999994</v>
      </c>
      <c r="I65">
        <v>85.6</v>
      </c>
      <c r="J65">
        <v>12</v>
      </c>
      <c r="K65">
        <v>18920.8</v>
      </c>
      <c r="L65">
        <v>1</v>
      </c>
      <c r="M65">
        <v>2.2000000000000002</v>
      </c>
      <c r="N65">
        <v>744774</v>
      </c>
      <c r="O65">
        <v>84.57</v>
      </c>
      <c r="P65">
        <v>0.83</v>
      </c>
      <c r="Q65">
        <v>6885.73</v>
      </c>
      <c r="R65">
        <v>40</v>
      </c>
      <c r="S65">
        <v>0.51424000000000003</v>
      </c>
      <c r="T65">
        <v>-0.25177040000000001</v>
      </c>
      <c r="U65">
        <v>0.82604060000000001</v>
      </c>
      <c r="V65">
        <v>0.63037909999999997</v>
      </c>
      <c r="W65">
        <v>2.0940150000000002</v>
      </c>
      <c r="X65">
        <v>0.3546378</v>
      </c>
      <c r="Y65">
        <v>0.59997880000000003</v>
      </c>
      <c r="Z65">
        <v>1.8458570000000001</v>
      </c>
      <c r="AA65">
        <v>0.91774979999999995</v>
      </c>
      <c r="AB65">
        <v>0.60233159999999997</v>
      </c>
      <c r="AC65">
        <v>3.2352560000000001</v>
      </c>
      <c r="AD65">
        <v>-0.50142659999999994</v>
      </c>
      <c r="AE65">
        <v>-0.26540469999999999</v>
      </c>
      <c r="AF65">
        <v>9.5671999999999993E-2</v>
      </c>
      <c r="AG65">
        <v>3.7708529999999998</v>
      </c>
      <c r="AH65">
        <v>4.1440520000000003</v>
      </c>
      <c r="AI65">
        <v>2.785628</v>
      </c>
      <c r="AJ65">
        <v>0.95038290000000003</v>
      </c>
      <c r="AK65">
        <v>6.3784260000000002</v>
      </c>
      <c r="AL65">
        <v>4.4496849999999997</v>
      </c>
      <c r="AM65">
        <v>2.4849070000000002</v>
      </c>
      <c r="AN65">
        <v>9.8480170000000005</v>
      </c>
      <c r="AO65">
        <v>13.52084</v>
      </c>
      <c r="AP65">
        <v>-0.18632960000000001</v>
      </c>
      <c r="AQ65">
        <v>8.8372060000000001</v>
      </c>
      <c r="AR65">
        <v>5.4692999999999996</v>
      </c>
      <c r="AS65">
        <v>2.7725900000000001</v>
      </c>
      <c r="AT65">
        <v>10.6891</v>
      </c>
      <c r="AU65">
        <v>77.311999999999998</v>
      </c>
      <c r="AV65">
        <v>79.227699999999999</v>
      </c>
      <c r="AW65">
        <v>4.0042099999999996</v>
      </c>
      <c r="AX65" s="17">
        <v>160000000000</v>
      </c>
      <c r="AY65">
        <v>3.4499900000000001</v>
      </c>
      <c r="AZ65">
        <v>0.7</v>
      </c>
      <c r="BA65">
        <v>4.4375799999999996</v>
      </c>
      <c r="BB65">
        <v>4.4375796000000003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1.9803000000000001E-2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2.6807399999999999E-2</v>
      </c>
      <c r="CG65">
        <v>0.62954350000000003</v>
      </c>
      <c r="CH65">
        <v>0.58704699999999999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2.8784019999999999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0.39632509999999999</v>
      </c>
      <c r="DI65">
        <v>8.2851959999999991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0.44068049999999998</v>
      </c>
      <c r="DW65">
        <v>2.0148809999999999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13.76094</v>
      </c>
      <c r="EW65">
        <v>7.1896600000000005E-2</v>
      </c>
      <c r="EX65">
        <v>7.1445800000000004E-2</v>
      </c>
      <c r="EY65">
        <v>7.1683800000000006E-2</v>
      </c>
      <c r="EZ65">
        <v>7.14312E-2</v>
      </c>
      <c r="FA65">
        <v>7.1775599999999995E-2</v>
      </c>
      <c r="FB65">
        <v>7.1585399999999993E-2</v>
      </c>
      <c r="FC65">
        <v>7.0805599999999996E-2</v>
      </c>
      <c r="FD65">
        <v>7.1711899999999995E-2</v>
      </c>
      <c r="FE65">
        <v>7.1581400000000003E-2</v>
      </c>
      <c r="FF65">
        <v>7.0022000000000001E-2</v>
      </c>
      <c r="FG65">
        <v>7.0397799999999996E-2</v>
      </c>
      <c r="FH65">
        <v>7.18892E-2</v>
      </c>
      <c r="FI65">
        <v>7.1966600000000006E-2</v>
      </c>
      <c r="FJ65">
        <v>7.1807200000000002E-2</v>
      </c>
      <c r="FK65">
        <v>0.51294700000000004</v>
      </c>
      <c r="FL65">
        <v>0.26311459999999998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-0.25177040000000001</v>
      </c>
      <c r="FZ65">
        <v>0.82604060000000001</v>
      </c>
      <c r="GA65">
        <v>0.63037909999999997</v>
      </c>
      <c r="GB65">
        <v>0.3546378</v>
      </c>
      <c r="GC65">
        <v>1.8458570000000001</v>
      </c>
      <c r="GD65">
        <v>3.2352560000000001</v>
      </c>
      <c r="GE65">
        <v>3.7708529999999998</v>
      </c>
      <c r="GF65">
        <v>-0.50142659999999994</v>
      </c>
      <c r="GG65">
        <v>-0.26540469999999999</v>
      </c>
      <c r="GH65">
        <v>6.2915720000000004</v>
      </c>
      <c r="GI65">
        <v>39.583880000000001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0.35906290000000002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4.4040999999999997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114.2564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31.5</v>
      </c>
      <c r="OD65">
        <v>43874</v>
      </c>
      <c r="OE65">
        <v>1.02</v>
      </c>
      <c r="OF65">
        <v>237.29400000000001</v>
      </c>
      <c r="OG65">
        <v>16</v>
      </c>
      <c r="OH65">
        <v>77.311999999999998</v>
      </c>
    </row>
    <row r="66" spans="1:398">
      <c r="A66">
        <v>6</v>
      </c>
      <c r="B66" t="s">
        <v>42</v>
      </c>
      <c r="C66" t="s">
        <v>41</v>
      </c>
      <c r="D66">
        <v>2019</v>
      </c>
      <c r="E66">
        <v>15.981999999999999</v>
      </c>
      <c r="F66">
        <v>2.7054999999999998</v>
      </c>
      <c r="G66">
        <v>592</v>
      </c>
      <c r="H66">
        <v>66.7</v>
      </c>
      <c r="I66">
        <v>85.4</v>
      </c>
      <c r="J66">
        <v>12.4</v>
      </c>
      <c r="K66">
        <v>17948.900000000001</v>
      </c>
      <c r="L66">
        <v>0.8</v>
      </c>
      <c r="M66">
        <v>2.2999999999999998</v>
      </c>
      <c r="N66">
        <v>739622</v>
      </c>
      <c r="O66">
        <v>103.78</v>
      </c>
      <c r="P66">
        <v>0.84</v>
      </c>
      <c r="Q66">
        <v>15576.1</v>
      </c>
      <c r="R66">
        <v>41.4</v>
      </c>
      <c r="S66">
        <v>0.567994</v>
      </c>
      <c r="T66">
        <v>-0.27947100000000002</v>
      </c>
      <c r="U66">
        <v>0.94005890000000003</v>
      </c>
      <c r="V66">
        <v>0.65315650000000003</v>
      </c>
      <c r="W66">
        <v>2.0682659999999999</v>
      </c>
      <c r="X66">
        <v>0.32685829999999999</v>
      </c>
      <c r="Y66">
        <v>0.66403109999999999</v>
      </c>
      <c r="Z66">
        <v>1.7190319999999999</v>
      </c>
      <c r="AA66">
        <v>0.361481</v>
      </c>
      <c r="AB66">
        <v>0.73425810000000002</v>
      </c>
      <c r="AC66">
        <v>3.2078989999999998</v>
      </c>
      <c r="AD66">
        <v>-0.45242250000000001</v>
      </c>
      <c r="AE66">
        <v>2.5977359999999998</v>
      </c>
      <c r="AF66">
        <v>0.1694214</v>
      </c>
      <c r="AG66">
        <v>4.7713720000000004</v>
      </c>
      <c r="AH66">
        <v>4.6268289999999999</v>
      </c>
      <c r="AI66">
        <v>2.7714629999999998</v>
      </c>
      <c r="AJ66">
        <v>0.99528669999999997</v>
      </c>
      <c r="AK66">
        <v>6.3835069999999998</v>
      </c>
      <c r="AL66">
        <v>4.4473459999999996</v>
      </c>
      <c r="AM66">
        <v>2.5176959999999999</v>
      </c>
      <c r="AN66">
        <v>9.7952840000000005</v>
      </c>
      <c r="AO66">
        <v>13.51389</v>
      </c>
      <c r="AP66">
        <v>-0.17435339999999999</v>
      </c>
      <c r="AQ66">
        <v>9.6534960000000005</v>
      </c>
      <c r="AR66">
        <v>5.4715299999999996</v>
      </c>
      <c r="AS66">
        <v>2.83908</v>
      </c>
      <c r="AT66">
        <v>10.6966</v>
      </c>
      <c r="AU66">
        <v>77.376000000000005</v>
      </c>
      <c r="AV66">
        <v>79.133799999999994</v>
      </c>
      <c r="AW66">
        <v>1.90699</v>
      </c>
      <c r="AX66" s="17">
        <v>75000000000</v>
      </c>
      <c r="AY66">
        <v>3.4719699999999998</v>
      </c>
      <c r="AZ66">
        <v>0.67</v>
      </c>
      <c r="BA66">
        <v>4.6422730000000003</v>
      </c>
      <c r="BB66">
        <v>4.6422733999999997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0.22314400000000001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2.5946E-2</v>
      </c>
      <c r="CG66">
        <v>0.65907249999999995</v>
      </c>
      <c r="CH66">
        <v>0.62765099999999996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3.0099550000000002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0.4343766</v>
      </c>
      <c r="DI66">
        <v>9.0598299999999998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0.44157859999999999</v>
      </c>
      <c r="DW66">
        <v>2.01667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13.75245</v>
      </c>
      <c r="EW66">
        <v>7.1957400000000005E-2</v>
      </c>
      <c r="EX66">
        <v>7.1469099999999994E-2</v>
      </c>
      <c r="EY66">
        <v>7.1735999999999994E-2</v>
      </c>
      <c r="EZ66">
        <v>7.1504300000000007E-2</v>
      </c>
      <c r="FA66">
        <v>7.1835200000000002E-2</v>
      </c>
      <c r="FB66">
        <v>7.1618699999999993E-2</v>
      </c>
      <c r="FC66">
        <v>7.0968000000000003E-2</v>
      </c>
      <c r="FD66">
        <v>7.1930599999999997E-2</v>
      </c>
      <c r="FE66">
        <v>7.1598300000000004E-2</v>
      </c>
      <c r="FF66">
        <v>7.0200299999999993E-2</v>
      </c>
      <c r="FG66">
        <v>7.0261299999999999E-2</v>
      </c>
      <c r="FH66">
        <v>7.1922100000000003E-2</v>
      </c>
      <c r="FI66">
        <v>7.1165000000000006E-2</v>
      </c>
      <c r="FJ66">
        <v>7.1833499999999995E-2</v>
      </c>
      <c r="FK66">
        <v>0.56651010000000002</v>
      </c>
      <c r="FL66">
        <v>0.32093369999999999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-0.27947100000000002</v>
      </c>
      <c r="FZ66">
        <v>0.94005890000000003</v>
      </c>
      <c r="GA66">
        <v>0.65315650000000003</v>
      </c>
      <c r="GB66">
        <v>0.32685829999999999</v>
      </c>
      <c r="GC66">
        <v>1.7190319999999999</v>
      </c>
      <c r="GD66">
        <v>3.2078989999999998</v>
      </c>
      <c r="GE66">
        <v>4.7713720000000004</v>
      </c>
      <c r="GF66">
        <v>-0.45242250000000001</v>
      </c>
      <c r="GG66">
        <v>2.5977359999999998</v>
      </c>
      <c r="GH66">
        <v>6.9779249999999999</v>
      </c>
      <c r="GI66">
        <v>48.691429999999997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0.3795618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4.6752099999999999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114.4183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32.200000000000003</v>
      </c>
      <c r="OD66">
        <v>44207.6</v>
      </c>
      <c r="OE66">
        <v>1.25</v>
      </c>
      <c r="OF66">
        <v>237.82300000000001</v>
      </c>
      <c r="OG66">
        <v>17.100000000000001</v>
      </c>
      <c r="OH66">
        <v>77.376000000000005</v>
      </c>
    </row>
    <row r="67" spans="1:398">
      <c r="A67">
        <v>6</v>
      </c>
      <c r="B67" t="s">
        <v>42</v>
      </c>
      <c r="C67" t="s">
        <v>41</v>
      </c>
      <c r="D67">
        <v>2020</v>
      </c>
      <c r="E67">
        <v>15.271000000000001</v>
      </c>
      <c r="F67">
        <v>2.6840000000000002</v>
      </c>
      <c r="G67">
        <v>602</v>
      </c>
      <c r="H67">
        <v>70.3</v>
      </c>
      <c r="I67">
        <v>86.7</v>
      </c>
      <c r="J67">
        <v>12.8</v>
      </c>
      <c r="K67">
        <v>20307.7</v>
      </c>
      <c r="L67">
        <v>0.9</v>
      </c>
      <c r="M67">
        <v>2.2999999999999998</v>
      </c>
      <c r="N67">
        <v>764770</v>
      </c>
      <c r="O67">
        <v>45.67</v>
      </c>
      <c r="P67">
        <v>0.81</v>
      </c>
      <c r="Q67">
        <v>15617.6</v>
      </c>
      <c r="R67">
        <v>39.700000000000003</v>
      </c>
      <c r="S67">
        <v>0.54374100000000003</v>
      </c>
      <c r="T67">
        <v>-0.3658536</v>
      </c>
      <c r="U67">
        <v>0.91942440000000003</v>
      </c>
      <c r="V67">
        <v>0.72908119999999998</v>
      </c>
      <c r="W67">
        <v>2.3000090000000002</v>
      </c>
      <c r="X67">
        <v>0.50742699999999996</v>
      </c>
      <c r="Y67">
        <v>0.72808360000000005</v>
      </c>
      <c r="Z67">
        <v>2.026834</v>
      </c>
      <c r="AA67">
        <v>0.6396153</v>
      </c>
      <c r="AB67">
        <v>0.73425810000000002</v>
      </c>
      <c r="AC67">
        <v>3.341434</v>
      </c>
      <c r="AD67">
        <v>-0.59943489999999999</v>
      </c>
      <c r="AE67">
        <v>2.611408</v>
      </c>
      <c r="AF67">
        <v>7.9868599999999998E-2</v>
      </c>
      <c r="AG67">
        <v>1.744815</v>
      </c>
      <c r="AH67">
        <v>3.9539939999999998</v>
      </c>
      <c r="AI67">
        <v>2.7259549999999999</v>
      </c>
      <c r="AJ67">
        <v>0.98730819999999997</v>
      </c>
      <c r="AK67">
        <v>6.400258</v>
      </c>
      <c r="AL67">
        <v>4.4624540000000001</v>
      </c>
      <c r="AM67">
        <v>2.549445</v>
      </c>
      <c r="AN67">
        <v>9.9187560000000001</v>
      </c>
      <c r="AO67">
        <v>13.547330000000001</v>
      </c>
      <c r="AP67">
        <v>-0.21072099999999999</v>
      </c>
      <c r="AQ67">
        <v>9.6561570000000003</v>
      </c>
      <c r="AR67">
        <v>5.47234</v>
      </c>
      <c r="AS67">
        <v>2.91777</v>
      </c>
      <c r="AT67">
        <v>10.654</v>
      </c>
      <c r="AU67">
        <v>77.453000000000003</v>
      </c>
      <c r="AV67">
        <v>72.993300000000005</v>
      </c>
      <c r="AW67">
        <v>4.4866700000000002</v>
      </c>
      <c r="AX67" s="17">
        <v>180000000000</v>
      </c>
      <c r="AY67">
        <v>3.4904299999999999</v>
      </c>
      <c r="AZ67">
        <v>0.71</v>
      </c>
      <c r="BA67">
        <v>3.8214419999999998</v>
      </c>
      <c r="BB67">
        <v>3.8214416999999998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-0.59783699999999995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2.6705400000000001E-2</v>
      </c>
      <c r="CG67">
        <v>0.66210970000000002</v>
      </c>
      <c r="CH67">
        <v>0.58462700000000001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3.016159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0.43838919999999998</v>
      </c>
      <c r="DI67">
        <v>9.0972159999999995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0.47009780000000001</v>
      </c>
      <c r="DW67">
        <v>2.141473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13.76773</v>
      </c>
      <c r="EW67">
        <v>7.19109E-2</v>
      </c>
      <c r="EX67">
        <v>7.1421299999999993E-2</v>
      </c>
      <c r="EY67">
        <v>7.1650000000000005E-2</v>
      </c>
      <c r="EZ67">
        <v>7.1399400000000002E-2</v>
      </c>
      <c r="FA67">
        <v>7.1742299999999995E-2</v>
      </c>
      <c r="FB67">
        <v>7.1529599999999999E-2</v>
      </c>
      <c r="FC67">
        <v>7.0798200000000006E-2</v>
      </c>
      <c r="FD67">
        <v>7.1777900000000006E-2</v>
      </c>
      <c r="FE67">
        <v>7.1537500000000004E-2</v>
      </c>
      <c r="FF67">
        <v>7.01875E-2</v>
      </c>
      <c r="FG67">
        <v>7.1213899999999997E-2</v>
      </c>
      <c r="FH67">
        <v>7.1911000000000003E-2</v>
      </c>
      <c r="FI67">
        <v>7.1121299999999998E-2</v>
      </c>
      <c r="FJ67">
        <v>7.1799299999999996E-2</v>
      </c>
      <c r="FK67">
        <v>0.54269730000000005</v>
      </c>
      <c r="FL67">
        <v>0.29452030000000001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-0.3658536</v>
      </c>
      <c r="FZ67">
        <v>0.91942440000000003</v>
      </c>
      <c r="GA67">
        <v>0.72908119999999998</v>
      </c>
      <c r="GB67">
        <v>0.50742699999999996</v>
      </c>
      <c r="GC67">
        <v>2.026834</v>
      </c>
      <c r="GD67">
        <v>3.341434</v>
      </c>
      <c r="GE67">
        <v>1.744815</v>
      </c>
      <c r="GF67">
        <v>-0.59943489999999999</v>
      </c>
      <c r="GG67">
        <v>2.611408</v>
      </c>
      <c r="GH67">
        <v>5.9087759999999996</v>
      </c>
      <c r="GI67">
        <v>34.913640000000001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0.38531500000000002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4.1952309999999997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113.5081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32.799999999999997</v>
      </c>
      <c r="OD67">
        <v>42362.6</v>
      </c>
      <c r="OE67">
        <v>0.55000000000000004</v>
      </c>
      <c r="OF67">
        <v>238.017</v>
      </c>
      <c r="OG67">
        <v>18.5</v>
      </c>
      <c r="OH67">
        <v>77.453000000000003</v>
      </c>
    </row>
    <row r="68" spans="1:398">
      <c r="A68">
        <v>7</v>
      </c>
      <c r="B68" t="s">
        <v>40</v>
      </c>
      <c r="C68" t="s">
        <v>39</v>
      </c>
      <c r="D68">
        <v>2010</v>
      </c>
      <c r="E68">
        <v>18.151</v>
      </c>
      <c r="F68">
        <v>2.1768999999999998</v>
      </c>
      <c r="G68">
        <v>651</v>
      </c>
      <c r="H68">
        <v>42.3</v>
      </c>
      <c r="I68">
        <v>83.5</v>
      </c>
      <c r="J68">
        <v>8</v>
      </c>
      <c r="K68">
        <v>2061.6</v>
      </c>
      <c r="L68">
        <v>1.1000000000000001</v>
      </c>
      <c r="M68">
        <v>1.7</v>
      </c>
      <c r="N68">
        <v>33681</v>
      </c>
      <c r="O68">
        <v>0.31</v>
      </c>
      <c r="P68">
        <v>1.02</v>
      </c>
      <c r="Q68">
        <v>15406</v>
      </c>
      <c r="R68">
        <v>35.200000000000003</v>
      </c>
      <c r="S68">
        <v>0.382353</v>
      </c>
      <c r="T68">
        <v>-1.59498E-2</v>
      </c>
      <c r="U68">
        <v>0.43273499999999998</v>
      </c>
      <c r="V68">
        <v>1.1011120000000001</v>
      </c>
      <c r="W68">
        <v>0.49756800000000001</v>
      </c>
      <c r="X68">
        <v>6.2949099999999994E-2</v>
      </c>
      <c r="Y68">
        <v>-4.0544900000000002E-2</v>
      </c>
      <c r="Z68">
        <v>-0.35411969999999998</v>
      </c>
      <c r="AA68">
        <v>1.1958839999999999</v>
      </c>
      <c r="AB68">
        <v>-5.7301400000000002E-2</v>
      </c>
      <c r="AC68">
        <v>-0.54063059999999996</v>
      </c>
      <c r="AD68">
        <v>0.4296527</v>
      </c>
      <c r="AE68">
        <v>2.5416940000000001</v>
      </c>
      <c r="AF68">
        <v>-0.15718299999999999</v>
      </c>
      <c r="AG68">
        <v>-0.61768060000000002</v>
      </c>
      <c r="AH68">
        <v>0.54195939999999998</v>
      </c>
      <c r="AI68">
        <v>2.8987259999999999</v>
      </c>
      <c r="AJ68">
        <v>0.77790179999999998</v>
      </c>
      <c r="AK68">
        <v>6.4785089999999999</v>
      </c>
      <c r="AL68">
        <v>4.4248469999999998</v>
      </c>
      <c r="AM68">
        <v>2.0794419999999998</v>
      </c>
      <c r="AN68">
        <v>7.6312379999999997</v>
      </c>
      <c r="AO68">
        <v>10.42469</v>
      </c>
      <c r="AP68">
        <v>1.98026E-2</v>
      </c>
      <c r="AQ68">
        <v>9.6425149999999995</v>
      </c>
      <c r="AR68">
        <v>4.9322600000000003</v>
      </c>
      <c r="AS68">
        <v>3.0539999999999998</v>
      </c>
      <c r="AT68">
        <v>10.8437</v>
      </c>
      <c r="AU68">
        <v>86.795000000000002</v>
      </c>
      <c r="AV68">
        <v>94.387699999999995</v>
      </c>
      <c r="AW68">
        <v>-3.6507000000000001</v>
      </c>
      <c r="AX68" s="17">
        <v>-12000000000</v>
      </c>
      <c r="AY68">
        <v>3.3843899999999998</v>
      </c>
      <c r="AZ68">
        <v>0.74</v>
      </c>
      <c r="BA68">
        <v>-1.1711830000000001</v>
      </c>
      <c r="BB68">
        <v>-1.1711830000000001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-2.8134100000000002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1.5176200000000001E-2</v>
      </c>
      <c r="CG68">
        <v>0.56871839999999996</v>
      </c>
      <c r="CH68">
        <v>0.231438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0.64895219999999998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0.32344070000000003</v>
      </c>
      <c r="DI68">
        <v>0.42113889999999998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0.42085159999999999</v>
      </c>
      <c r="DW68">
        <v>0.4802246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13.847860000000001</v>
      </c>
      <c r="EW68">
        <v>7.1402800000000002E-2</v>
      </c>
      <c r="EX68">
        <v>7.1217299999999997E-2</v>
      </c>
      <c r="EY68">
        <v>7.1154400000000007E-2</v>
      </c>
      <c r="EZ68">
        <v>7.1407200000000004E-2</v>
      </c>
      <c r="FA68">
        <v>7.1397600000000006E-2</v>
      </c>
      <c r="FB68">
        <v>7.1486400000000005E-2</v>
      </c>
      <c r="FC68">
        <v>7.1890700000000002E-2</v>
      </c>
      <c r="FD68">
        <v>7.1222499999999994E-2</v>
      </c>
      <c r="FE68">
        <v>7.1418099999999998E-2</v>
      </c>
      <c r="FF68">
        <v>7.1987800000000005E-2</v>
      </c>
      <c r="FG68">
        <v>7.2042400000000006E-2</v>
      </c>
      <c r="FH68">
        <v>7.1124000000000007E-2</v>
      </c>
      <c r="FI68">
        <v>7.0762400000000003E-2</v>
      </c>
      <c r="FJ68">
        <v>7.1486499999999994E-2</v>
      </c>
      <c r="FK68">
        <v>0.38124190000000002</v>
      </c>
      <c r="FL68">
        <v>0.14534540000000001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-1.59498E-2</v>
      </c>
      <c r="FZ68">
        <v>0.43273499999999998</v>
      </c>
      <c r="GA68">
        <v>1.1011120000000001</v>
      </c>
      <c r="GB68">
        <v>6.2949099999999994E-2</v>
      </c>
      <c r="GC68">
        <v>-0.35411969999999998</v>
      </c>
      <c r="GD68">
        <v>-0.54063059999999996</v>
      </c>
      <c r="GE68">
        <v>-0.61768060000000002</v>
      </c>
      <c r="GF68">
        <v>0.4296527</v>
      </c>
      <c r="GG68">
        <v>2.5416940000000001</v>
      </c>
      <c r="GH68">
        <v>0.73605419999999999</v>
      </c>
      <c r="GI68">
        <v>0.54177580000000003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0.28211900000000001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0.5446801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117.58540000000001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29.5</v>
      </c>
      <c r="OD68">
        <v>51209.4</v>
      </c>
      <c r="OE68">
        <v>0.06</v>
      </c>
      <c r="OF68">
        <v>138.69200000000001</v>
      </c>
      <c r="OG68">
        <v>21.2</v>
      </c>
      <c r="OH68">
        <v>86.795000000000002</v>
      </c>
    </row>
    <row r="69" spans="1:398">
      <c r="A69">
        <v>7</v>
      </c>
      <c r="B69" t="s">
        <v>40</v>
      </c>
      <c r="C69" t="s">
        <v>39</v>
      </c>
      <c r="D69">
        <v>2011</v>
      </c>
      <c r="E69">
        <v>21.297000000000001</v>
      </c>
      <c r="F69">
        <v>1.9789000000000001</v>
      </c>
      <c r="G69">
        <v>606</v>
      </c>
      <c r="H69">
        <v>42.4</v>
      </c>
      <c r="I69">
        <v>92</v>
      </c>
      <c r="J69">
        <v>7</v>
      </c>
      <c r="K69">
        <v>2654.5</v>
      </c>
      <c r="L69">
        <v>1</v>
      </c>
      <c r="M69">
        <v>1.7</v>
      </c>
      <c r="N69">
        <v>34410</v>
      </c>
      <c r="O69">
        <v>4.99</v>
      </c>
      <c r="P69">
        <v>1.07</v>
      </c>
      <c r="Q69">
        <v>15012.8</v>
      </c>
      <c r="R69">
        <v>36</v>
      </c>
      <c r="S69">
        <v>0.386851</v>
      </c>
      <c r="T69">
        <v>0.36627169999999998</v>
      </c>
      <c r="U69">
        <v>0.24270459999999999</v>
      </c>
      <c r="V69">
        <v>0.75945110000000005</v>
      </c>
      <c r="W69">
        <v>0.50400520000000004</v>
      </c>
      <c r="X69">
        <v>1.243595</v>
      </c>
      <c r="Y69">
        <v>-0.20067589999999999</v>
      </c>
      <c r="Z69">
        <v>-0.27675149999999998</v>
      </c>
      <c r="AA69">
        <v>0.91774960000000005</v>
      </c>
      <c r="AB69">
        <v>-5.7301400000000002E-2</v>
      </c>
      <c r="AC69">
        <v>-0.5367596</v>
      </c>
      <c r="AD69">
        <v>0.67467390000000005</v>
      </c>
      <c r="AE69">
        <v>2.41214</v>
      </c>
      <c r="AF69">
        <v>-0.1150405</v>
      </c>
      <c r="AG69">
        <v>-0.37393110000000002</v>
      </c>
      <c r="AH69">
        <v>0.28327659999999999</v>
      </c>
      <c r="AI69">
        <v>3.0585659999999999</v>
      </c>
      <c r="AJ69">
        <v>0.68254110000000001</v>
      </c>
      <c r="AK69">
        <v>6.4068800000000001</v>
      </c>
      <c r="AL69">
        <v>4.5217890000000001</v>
      </c>
      <c r="AM69">
        <v>1.94591</v>
      </c>
      <c r="AN69">
        <v>7.8840120000000002</v>
      </c>
      <c r="AO69">
        <v>10.446099999999999</v>
      </c>
      <c r="AP69">
        <v>6.7658700000000002E-2</v>
      </c>
      <c r="AQ69">
        <v>9.6166590000000003</v>
      </c>
      <c r="AR69">
        <v>4.9363700000000001</v>
      </c>
      <c r="AS69">
        <v>3.1696900000000001</v>
      </c>
      <c r="AT69">
        <v>10.852600000000001</v>
      </c>
      <c r="AU69">
        <v>86.956999999999994</v>
      </c>
      <c r="AV69">
        <v>102.01300000000001</v>
      </c>
      <c r="AW69">
        <v>3.9379300000000002</v>
      </c>
      <c r="AX69" s="17">
        <v>14000000000</v>
      </c>
      <c r="AY69">
        <v>3.4177300000000002</v>
      </c>
      <c r="AZ69">
        <v>0.69</v>
      </c>
      <c r="BA69">
        <v>1.6074360000000001</v>
      </c>
      <c r="BB69">
        <v>1.6074358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-0.105361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1.49879E-2</v>
      </c>
      <c r="CG69">
        <v>0.58394829999999998</v>
      </c>
      <c r="CH69">
        <v>0.23236299999999999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0.84087339999999999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0.34099560000000001</v>
      </c>
      <c r="DI69">
        <v>0.70706800000000003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0.40292430000000001</v>
      </c>
      <c r="DW69">
        <v>0.58020260000000001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13.846360000000001</v>
      </c>
      <c r="EW69">
        <v>7.1318500000000007E-2</v>
      </c>
      <c r="EX69">
        <v>7.13168E-2</v>
      </c>
      <c r="EY69">
        <v>7.1264900000000006E-2</v>
      </c>
      <c r="EZ69">
        <v>7.1422600000000003E-2</v>
      </c>
      <c r="FA69">
        <v>7.1263199999999999E-2</v>
      </c>
      <c r="FB69">
        <v>7.1583800000000003E-2</v>
      </c>
      <c r="FC69">
        <v>7.1827199999999994E-2</v>
      </c>
      <c r="FD69">
        <v>7.1317500000000006E-2</v>
      </c>
      <c r="FE69">
        <v>7.1434800000000007E-2</v>
      </c>
      <c r="FF69">
        <v>7.1992E-2</v>
      </c>
      <c r="FG69">
        <v>7.18694E-2</v>
      </c>
      <c r="FH69">
        <v>7.1070700000000001E-2</v>
      </c>
      <c r="FI69">
        <v>7.0833699999999999E-2</v>
      </c>
      <c r="FJ69">
        <v>7.1484800000000001E-2</v>
      </c>
      <c r="FK69">
        <v>0.38589669999999998</v>
      </c>
      <c r="FL69">
        <v>0.1489162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0.36627169999999998</v>
      </c>
      <c r="FZ69">
        <v>0.24270459999999999</v>
      </c>
      <c r="GA69">
        <v>0.75945110000000005</v>
      </c>
      <c r="GB69">
        <v>1.243595</v>
      </c>
      <c r="GC69">
        <v>-0.27675149999999998</v>
      </c>
      <c r="GD69">
        <v>-0.5367596</v>
      </c>
      <c r="GE69">
        <v>-0.37393110000000002</v>
      </c>
      <c r="GF69">
        <v>0.67467390000000005</v>
      </c>
      <c r="GG69">
        <v>2.41214</v>
      </c>
      <c r="GH69">
        <v>0.36147289999999999</v>
      </c>
      <c r="GI69">
        <v>0.13066259999999999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0.26626870000000002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0.24941630000000001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117.77849999999999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30.5</v>
      </c>
      <c r="OD69">
        <v>51667.5</v>
      </c>
      <c r="OE69">
        <v>0.9</v>
      </c>
      <c r="OF69">
        <v>139.26400000000001</v>
      </c>
      <c r="OG69">
        <v>23.8</v>
      </c>
      <c r="OH69">
        <v>86.956999999999994</v>
      </c>
    </row>
    <row r="70" spans="1:398">
      <c r="A70">
        <v>7</v>
      </c>
      <c r="B70" t="s">
        <v>40</v>
      </c>
      <c r="C70" t="s">
        <v>39</v>
      </c>
      <c r="D70">
        <v>2012</v>
      </c>
      <c r="E70">
        <v>22.581</v>
      </c>
      <c r="F70">
        <v>1.9710000000000001</v>
      </c>
      <c r="G70">
        <v>664</v>
      </c>
      <c r="H70">
        <v>42.5</v>
      </c>
      <c r="I70">
        <v>84.4</v>
      </c>
      <c r="J70">
        <v>6.4</v>
      </c>
      <c r="K70">
        <v>2399.6999999999998</v>
      </c>
      <c r="L70">
        <v>0.9</v>
      </c>
      <c r="M70">
        <v>1.7</v>
      </c>
      <c r="N70">
        <v>33009</v>
      </c>
      <c r="O70">
        <v>4.3</v>
      </c>
      <c r="P70">
        <v>1.06</v>
      </c>
      <c r="Q70">
        <v>14013.5</v>
      </c>
      <c r="R70">
        <v>34.799999999999997</v>
      </c>
      <c r="S70">
        <v>0.374718</v>
      </c>
      <c r="T70">
        <v>0.52227029999999997</v>
      </c>
      <c r="U70">
        <v>0.23512259999999999</v>
      </c>
      <c r="V70">
        <v>1.1998139999999999</v>
      </c>
      <c r="W70">
        <v>0.51044239999999996</v>
      </c>
      <c r="X70">
        <v>0.18795880000000001</v>
      </c>
      <c r="Y70">
        <v>-0.29675439999999997</v>
      </c>
      <c r="Z70">
        <v>-0.31000060000000002</v>
      </c>
      <c r="AA70">
        <v>0.6396153</v>
      </c>
      <c r="AB70">
        <v>-5.7301400000000002E-2</v>
      </c>
      <c r="AC70">
        <v>-0.54419890000000004</v>
      </c>
      <c r="AD70">
        <v>0.62566920000000004</v>
      </c>
      <c r="AE70">
        <v>2.0829140000000002</v>
      </c>
      <c r="AF70">
        <v>-0.1782543</v>
      </c>
      <c r="AG70">
        <v>-0.40986850000000002</v>
      </c>
      <c r="AH70">
        <v>0.2230444</v>
      </c>
      <c r="AI70">
        <v>3.1171090000000001</v>
      </c>
      <c r="AJ70">
        <v>0.67854099999999995</v>
      </c>
      <c r="AK70">
        <v>6.4982819999999997</v>
      </c>
      <c r="AL70">
        <v>4.4355669999999998</v>
      </c>
      <c r="AM70">
        <v>1.856298</v>
      </c>
      <c r="AN70">
        <v>7.783099</v>
      </c>
      <c r="AO70">
        <v>10.404540000000001</v>
      </c>
      <c r="AP70">
        <v>5.8268899999999998E-2</v>
      </c>
      <c r="AQ70">
        <v>9.547777</v>
      </c>
      <c r="AR70">
        <v>4.9401299999999999</v>
      </c>
      <c r="AS70">
        <v>3.2921299999999998</v>
      </c>
      <c r="AT70">
        <v>10.848800000000001</v>
      </c>
      <c r="AU70">
        <v>87.141999999999996</v>
      </c>
      <c r="AV70">
        <v>104.36199999999999</v>
      </c>
      <c r="AW70">
        <v>-5.00312</v>
      </c>
      <c r="AX70" s="17">
        <v>-16000000000</v>
      </c>
      <c r="AY70">
        <v>3.4657399999999998</v>
      </c>
      <c r="AZ70">
        <v>0.72</v>
      </c>
      <c r="BA70">
        <v>1.458615</v>
      </c>
      <c r="BB70">
        <v>1.4586151000000001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-0.26136500000000001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1.48045E-2</v>
      </c>
      <c r="CG70">
        <v>0.57333140000000005</v>
      </c>
      <c r="CH70">
        <v>0.22444700000000001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0.72908200000000001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0.32870890000000003</v>
      </c>
      <c r="DI70">
        <v>0.53156049999999999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0.41279860000000002</v>
      </c>
      <c r="DW70">
        <v>0.52493909999999999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13.852460000000001</v>
      </c>
      <c r="EW70">
        <v>7.1259600000000006E-2</v>
      </c>
      <c r="EX70">
        <v>7.13004E-2</v>
      </c>
      <c r="EY70">
        <v>7.1138099999999996E-2</v>
      </c>
      <c r="EZ70">
        <v>7.1398600000000007E-2</v>
      </c>
      <c r="FA70">
        <v>7.1378399999999995E-2</v>
      </c>
      <c r="FB70">
        <v>7.1608900000000003E-2</v>
      </c>
      <c r="FC70">
        <v>7.18279E-2</v>
      </c>
      <c r="FD70">
        <v>7.1372699999999997E-2</v>
      </c>
      <c r="FE70">
        <v>7.1412000000000003E-2</v>
      </c>
      <c r="FF70">
        <v>7.1969000000000005E-2</v>
      </c>
      <c r="FG70">
        <v>7.1863800000000005E-2</v>
      </c>
      <c r="FH70">
        <v>7.1074799999999994E-2</v>
      </c>
      <c r="FI70">
        <v>7.0909799999999995E-2</v>
      </c>
      <c r="FJ70">
        <v>7.1485800000000002E-2</v>
      </c>
      <c r="FK70">
        <v>0.37381170000000002</v>
      </c>
      <c r="FL70">
        <v>0.1397352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0.52227029999999997</v>
      </c>
      <c r="FZ70">
        <v>0.23512259999999999</v>
      </c>
      <c r="GA70">
        <v>1.1998139999999999</v>
      </c>
      <c r="GB70">
        <v>0.18795880000000001</v>
      </c>
      <c r="GC70">
        <v>-0.31000060000000002</v>
      </c>
      <c r="GD70">
        <v>-0.54419890000000004</v>
      </c>
      <c r="GE70">
        <v>-0.40986850000000002</v>
      </c>
      <c r="GF70">
        <v>0.62566920000000004</v>
      </c>
      <c r="GG70">
        <v>2.0829140000000002</v>
      </c>
      <c r="GH70">
        <v>0.31123420000000002</v>
      </c>
      <c r="GI70">
        <v>9.68667E-2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0.26914440000000001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0.2240886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117.69580000000001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32</v>
      </c>
      <c r="OD70">
        <v>51470.7</v>
      </c>
      <c r="OE70">
        <v>0.77</v>
      </c>
      <c r="OF70">
        <v>139.78899999999999</v>
      </c>
      <c r="OG70">
        <v>26.9</v>
      </c>
      <c r="OH70">
        <v>87.141999999999996</v>
      </c>
    </row>
    <row r="71" spans="1:398">
      <c r="A71">
        <v>7</v>
      </c>
      <c r="B71" t="s">
        <v>40</v>
      </c>
      <c r="C71" t="s">
        <v>39</v>
      </c>
      <c r="D71">
        <v>2013</v>
      </c>
      <c r="E71">
        <v>21.364999999999998</v>
      </c>
      <c r="F71">
        <v>2.1162000000000001</v>
      </c>
      <c r="G71">
        <v>657</v>
      </c>
      <c r="H71">
        <v>43.3</v>
      </c>
      <c r="I71">
        <v>82.6</v>
      </c>
      <c r="J71">
        <v>7.7</v>
      </c>
      <c r="K71">
        <v>1812.9</v>
      </c>
      <c r="L71">
        <v>0.8</v>
      </c>
      <c r="M71">
        <v>1.7</v>
      </c>
      <c r="N71">
        <v>32705</v>
      </c>
      <c r="O71">
        <v>6.94</v>
      </c>
      <c r="P71">
        <v>1.07</v>
      </c>
      <c r="Q71">
        <v>14513.2</v>
      </c>
      <c r="R71">
        <v>38.799999999999997</v>
      </c>
      <c r="S71">
        <v>0.38111400000000001</v>
      </c>
      <c r="T71">
        <v>0.37453320000000001</v>
      </c>
      <c r="U71">
        <v>0.37447829999999999</v>
      </c>
      <c r="V71">
        <v>1.1466670000000001</v>
      </c>
      <c r="W71">
        <v>0.56194060000000001</v>
      </c>
      <c r="X71">
        <v>-6.2060700000000003E-2</v>
      </c>
      <c r="Y71">
        <v>-8.8584200000000002E-2</v>
      </c>
      <c r="Z71">
        <v>-0.38657279999999999</v>
      </c>
      <c r="AA71">
        <v>0.361481</v>
      </c>
      <c r="AB71">
        <v>-5.7301400000000002E-2</v>
      </c>
      <c r="AC71">
        <v>-0.54581310000000005</v>
      </c>
      <c r="AD71">
        <v>0.67467390000000005</v>
      </c>
      <c r="AE71">
        <v>2.2475239999999999</v>
      </c>
      <c r="AF71">
        <v>3.24582E-2</v>
      </c>
      <c r="AG71">
        <v>-0.27236870000000002</v>
      </c>
      <c r="AH71">
        <v>0.4682751</v>
      </c>
      <c r="AI71">
        <v>3.0617540000000001</v>
      </c>
      <c r="AJ71">
        <v>0.74962200000000001</v>
      </c>
      <c r="AK71">
        <v>6.4876839999999998</v>
      </c>
      <c r="AL71">
        <v>4.4140100000000002</v>
      </c>
      <c r="AM71">
        <v>2.04122</v>
      </c>
      <c r="AN71">
        <v>7.5026830000000002</v>
      </c>
      <c r="AO71">
        <v>10.39528</v>
      </c>
      <c r="AP71">
        <v>6.7658700000000002E-2</v>
      </c>
      <c r="AQ71">
        <v>9.5828100000000003</v>
      </c>
      <c r="AR71">
        <v>4.9443000000000001</v>
      </c>
      <c r="AS71">
        <v>3.2958400000000001</v>
      </c>
      <c r="AT71">
        <v>10.8584</v>
      </c>
      <c r="AU71">
        <v>87.292000000000002</v>
      </c>
      <c r="AV71">
        <v>103.613</v>
      </c>
      <c r="AW71">
        <v>0.197411</v>
      </c>
      <c r="AX71" s="17">
        <v>680000000</v>
      </c>
      <c r="AY71">
        <v>3.4657399999999998</v>
      </c>
      <c r="AZ71">
        <v>0.72</v>
      </c>
      <c r="BA71">
        <v>1.9373020000000001</v>
      </c>
      <c r="BB71">
        <v>1.9373018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0.215111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1.4888E-2</v>
      </c>
      <c r="CG71">
        <v>0.57692739999999998</v>
      </c>
      <c r="CH71">
        <v>0.231823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0.97654430000000003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0.33284520000000001</v>
      </c>
      <c r="DI71">
        <v>0.95363869999999995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0.41538770000000003</v>
      </c>
      <c r="DW71">
        <v>0.70311190000000001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13.85202</v>
      </c>
      <c r="EW71">
        <v>7.1311200000000005E-2</v>
      </c>
      <c r="EX71">
        <v>7.1258299999999997E-2</v>
      </c>
      <c r="EY71">
        <v>7.1169499999999997E-2</v>
      </c>
      <c r="EZ71">
        <v>7.13974E-2</v>
      </c>
      <c r="FA71">
        <v>7.1422700000000006E-2</v>
      </c>
      <c r="FB71">
        <v>7.1507699999999993E-2</v>
      </c>
      <c r="FC71">
        <v>7.1904899999999994E-2</v>
      </c>
      <c r="FD71">
        <v>7.1461700000000003E-2</v>
      </c>
      <c r="FE71">
        <v>7.1422799999999995E-2</v>
      </c>
      <c r="FF71">
        <v>7.1973499999999996E-2</v>
      </c>
      <c r="FG71">
        <v>7.1776199999999998E-2</v>
      </c>
      <c r="FH71">
        <v>7.10808E-2</v>
      </c>
      <c r="FI71">
        <v>7.0899400000000001E-2</v>
      </c>
      <c r="FJ71">
        <v>7.1413900000000002E-2</v>
      </c>
      <c r="FK71">
        <v>0.38022349999999999</v>
      </c>
      <c r="FL71">
        <v>0.1445699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0.37453320000000001</v>
      </c>
      <c r="FZ71">
        <v>0.37447829999999999</v>
      </c>
      <c r="GA71">
        <v>1.1466670000000001</v>
      </c>
      <c r="GB71">
        <v>-6.2060700000000003E-2</v>
      </c>
      <c r="GC71">
        <v>-0.38657279999999999</v>
      </c>
      <c r="GD71">
        <v>-0.54581310000000005</v>
      </c>
      <c r="GE71">
        <v>-0.27236870000000002</v>
      </c>
      <c r="GF71">
        <v>0.67467390000000005</v>
      </c>
      <c r="GG71">
        <v>2.2475239999999999</v>
      </c>
      <c r="GH71">
        <v>0.61135280000000003</v>
      </c>
      <c r="GI71">
        <v>0.37375219999999998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0.27376089999999997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0.44017400000000001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117.9055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32</v>
      </c>
      <c r="OD71">
        <v>51970.400000000001</v>
      </c>
      <c r="OE71">
        <v>1.24</v>
      </c>
      <c r="OF71">
        <v>140.37299999999999</v>
      </c>
      <c r="OG71">
        <v>27</v>
      </c>
      <c r="OH71">
        <v>87.292000000000002</v>
      </c>
    </row>
    <row r="72" spans="1:398">
      <c r="A72">
        <v>7</v>
      </c>
      <c r="B72" t="s">
        <v>40</v>
      </c>
      <c r="C72" t="s">
        <v>39</v>
      </c>
      <c r="D72">
        <v>2014</v>
      </c>
      <c r="E72">
        <v>21.128</v>
      </c>
      <c r="F72">
        <v>2.1328999999999998</v>
      </c>
      <c r="G72">
        <v>664</v>
      </c>
      <c r="H72">
        <v>45.4</v>
      </c>
      <c r="I72">
        <v>83</v>
      </c>
      <c r="J72">
        <v>9</v>
      </c>
      <c r="K72">
        <v>2575.6999999999998</v>
      </c>
      <c r="L72">
        <v>1</v>
      </c>
      <c r="M72">
        <v>1.7</v>
      </c>
      <c r="N72">
        <v>33351</v>
      </c>
      <c r="O72">
        <v>10.039999999999999</v>
      </c>
      <c r="P72">
        <v>1.08</v>
      </c>
      <c r="Q72">
        <v>15344.7</v>
      </c>
      <c r="R72">
        <v>37.1</v>
      </c>
      <c r="S72">
        <v>0.40206900000000001</v>
      </c>
      <c r="T72">
        <v>0.34573910000000002</v>
      </c>
      <c r="U72">
        <v>0.39050610000000002</v>
      </c>
      <c r="V72">
        <v>1.1998139999999999</v>
      </c>
      <c r="W72">
        <v>0.69712379999999996</v>
      </c>
      <c r="X72">
        <v>-6.5006999999999999E-3</v>
      </c>
      <c r="Y72">
        <v>0.119586</v>
      </c>
      <c r="Z72">
        <v>-0.28703420000000002</v>
      </c>
      <c r="AA72">
        <v>0.91774979999999995</v>
      </c>
      <c r="AB72">
        <v>-5.7301400000000002E-2</v>
      </c>
      <c r="AC72">
        <v>-0.5423829</v>
      </c>
      <c r="AD72">
        <v>0.72367800000000004</v>
      </c>
      <c r="AE72">
        <v>2.5214699999999999</v>
      </c>
      <c r="AF72">
        <v>-5.7094699999999998E-2</v>
      </c>
      <c r="AG72">
        <v>-0.1109107</v>
      </c>
      <c r="AH72">
        <v>0.83594380000000001</v>
      </c>
      <c r="AI72">
        <v>3.0505990000000001</v>
      </c>
      <c r="AJ72">
        <v>0.75748249999999995</v>
      </c>
      <c r="AK72">
        <v>6.4982819999999997</v>
      </c>
      <c r="AL72">
        <v>4.4188400000000003</v>
      </c>
      <c r="AM72">
        <v>2.197225</v>
      </c>
      <c r="AN72">
        <v>7.8538769999999998</v>
      </c>
      <c r="AO72">
        <v>10.41484</v>
      </c>
      <c r="AP72">
        <v>7.6961100000000005E-2</v>
      </c>
      <c r="AQ72">
        <v>9.638522</v>
      </c>
      <c r="AR72">
        <v>4.9493799999999997</v>
      </c>
      <c r="AS72">
        <v>3.4078400000000002</v>
      </c>
      <c r="AT72">
        <v>10.866099999999999</v>
      </c>
      <c r="AU72">
        <v>87.41</v>
      </c>
      <c r="AV72">
        <v>103.211</v>
      </c>
      <c r="AW72">
        <v>1.86416</v>
      </c>
      <c r="AX72" s="17">
        <v>6600000000</v>
      </c>
      <c r="AY72">
        <v>3.4436200000000001</v>
      </c>
      <c r="AZ72">
        <v>0.7</v>
      </c>
      <c r="BA72">
        <v>2.3065769999999999</v>
      </c>
      <c r="BB72">
        <v>2.3065772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0.57661300000000004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1.54433E-2</v>
      </c>
      <c r="CG72">
        <v>0.59530859999999997</v>
      </c>
      <c r="CH72">
        <v>0.25226700000000002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1.367945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0.35439229999999999</v>
      </c>
      <c r="DI72">
        <v>1.871275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0.41671599999999998</v>
      </c>
      <c r="DW72">
        <v>0.95756180000000002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13.84643</v>
      </c>
      <c r="EW72">
        <v>7.1358400000000002E-2</v>
      </c>
      <c r="EX72">
        <v>7.1293599999999999E-2</v>
      </c>
      <c r="EY72">
        <v>7.1201299999999995E-2</v>
      </c>
      <c r="EZ72">
        <v>7.1403800000000003E-2</v>
      </c>
      <c r="FA72">
        <v>7.1452600000000005E-2</v>
      </c>
      <c r="FB72">
        <v>7.1442400000000003E-2</v>
      </c>
      <c r="FC72">
        <v>7.1841000000000002E-2</v>
      </c>
      <c r="FD72">
        <v>7.1347900000000006E-2</v>
      </c>
      <c r="FE72">
        <v>7.1459900000000007E-2</v>
      </c>
      <c r="FF72">
        <v>7.1999400000000005E-2</v>
      </c>
      <c r="FG72">
        <v>7.1708400000000005E-2</v>
      </c>
      <c r="FH72">
        <v>7.1113399999999993E-2</v>
      </c>
      <c r="FI72">
        <v>7.0893100000000001E-2</v>
      </c>
      <c r="FJ72">
        <v>7.1484800000000001E-2</v>
      </c>
      <c r="FK72">
        <v>0.40120299999999998</v>
      </c>
      <c r="FL72">
        <v>0.16096389999999999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0.34573910000000002</v>
      </c>
      <c r="FZ72">
        <v>0.39050610000000002</v>
      </c>
      <c r="GA72">
        <v>1.1998139999999999</v>
      </c>
      <c r="GB72">
        <v>-6.5006999999999999E-3</v>
      </c>
      <c r="GC72">
        <v>-0.28703420000000002</v>
      </c>
      <c r="GD72">
        <v>-0.5423829</v>
      </c>
      <c r="GE72">
        <v>-0.1109107</v>
      </c>
      <c r="GF72">
        <v>0.72367800000000004</v>
      </c>
      <c r="GG72">
        <v>2.5214699999999999</v>
      </c>
      <c r="GH72">
        <v>1.163578</v>
      </c>
      <c r="GI72">
        <v>1.3539140000000001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0.28084209999999998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0.81450469999999997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118.07129999999999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31.3</v>
      </c>
      <c r="OD72">
        <v>52368.4</v>
      </c>
      <c r="OE72">
        <v>1.78</v>
      </c>
      <c r="OF72">
        <v>141.08699999999999</v>
      </c>
      <c r="OG72">
        <v>30.2</v>
      </c>
      <c r="OH72">
        <v>87.41</v>
      </c>
    </row>
    <row r="73" spans="1:398">
      <c r="A73">
        <v>7</v>
      </c>
      <c r="B73" t="s">
        <v>40</v>
      </c>
      <c r="C73" t="s">
        <v>39</v>
      </c>
      <c r="D73">
        <v>2015</v>
      </c>
      <c r="E73">
        <v>23.102</v>
      </c>
      <c r="F73">
        <v>2.0924</v>
      </c>
      <c r="G73">
        <v>671</v>
      </c>
      <c r="H73">
        <v>47.4</v>
      </c>
      <c r="I73">
        <v>84.2</v>
      </c>
      <c r="J73">
        <v>8.3000000000000007</v>
      </c>
      <c r="K73">
        <v>2832.1</v>
      </c>
      <c r="L73">
        <v>1</v>
      </c>
      <c r="M73">
        <v>1.8</v>
      </c>
      <c r="N73">
        <v>32930</v>
      </c>
      <c r="O73">
        <v>5.75</v>
      </c>
      <c r="P73">
        <v>1.07</v>
      </c>
      <c r="Q73">
        <v>15101.9</v>
      </c>
      <c r="R73">
        <v>35.9</v>
      </c>
      <c r="S73">
        <v>0.40216000000000002</v>
      </c>
      <c r="T73">
        <v>0.58556889999999995</v>
      </c>
      <c r="U73">
        <v>0.35163630000000001</v>
      </c>
      <c r="V73">
        <v>1.252961</v>
      </c>
      <c r="W73">
        <v>0.82586959999999998</v>
      </c>
      <c r="X73">
        <v>0.1601783</v>
      </c>
      <c r="Y73">
        <v>7.4944E-3</v>
      </c>
      <c r="Z73">
        <v>-0.25357619999999997</v>
      </c>
      <c r="AA73">
        <v>0.91774979999999995</v>
      </c>
      <c r="AB73">
        <v>7.46251E-2</v>
      </c>
      <c r="AC73">
        <v>-0.54461839999999995</v>
      </c>
      <c r="AD73">
        <v>0.67467390000000005</v>
      </c>
      <c r="AE73">
        <v>2.4414929999999999</v>
      </c>
      <c r="AF73">
        <v>-0.1203082</v>
      </c>
      <c r="AG73">
        <v>-0.33434779999999997</v>
      </c>
      <c r="AH73">
        <v>0.68338299999999996</v>
      </c>
      <c r="AI73">
        <v>3.1399189999999999</v>
      </c>
      <c r="AJ73">
        <v>0.73831179999999996</v>
      </c>
      <c r="AK73">
        <v>6.508769</v>
      </c>
      <c r="AL73">
        <v>4.4331950000000004</v>
      </c>
      <c r="AM73">
        <v>2.1162559999999999</v>
      </c>
      <c r="AN73">
        <v>7.9487740000000002</v>
      </c>
      <c r="AO73">
        <v>10.402139999999999</v>
      </c>
      <c r="AP73">
        <v>6.7658700000000002E-2</v>
      </c>
      <c r="AQ73">
        <v>9.6225760000000005</v>
      </c>
      <c r="AR73">
        <v>4.9564399999999997</v>
      </c>
      <c r="AS73">
        <v>3.4812400000000001</v>
      </c>
      <c r="AT73">
        <v>10.879799999999999</v>
      </c>
      <c r="AU73">
        <v>87.525999999999996</v>
      </c>
      <c r="AV73">
        <v>105.13</v>
      </c>
      <c r="AW73">
        <v>0.61075100000000004</v>
      </c>
      <c r="AX73" s="17">
        <v>1800000000</v>
      </c>
      <c r="AY73">
        <v>3.4688599999999998</v>
      </c>
      <c r="AZ73">
        <v>0.7</v>
      </c>
      <c r="BA73">
        <v>1.7492000000000001</v>
      </c>
      <c r="BB73">
        <v>1.7491999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9.9500000000000005E-3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1.5933200000000002E-2</v>
      </c>
      <c r="CG73">
        <v>0.5976458</v>
      </c>
      <c r="CH73">
        <v>0.246921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1.1986669999999999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0.35718050000000001</v>
      </c>
      <c r="DI73">
        <v>1.4368019999999999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0.4183521</v>
      </c>
      <c r="DW73">
        <v>0.8390666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13.84934</v>
      </c>
      <c r="EW73">
        <v>7.1295700000000004E-2</v>
      </c>
      <c r="EX73">
        <v>7.1306099999999997E-2</v>
      </c>
      <c r="EY73">
        <v>7.1189500000000003E-2</v>
      </c>
      <c r="EZ73">
        <v>7.1369199999999994E-2</v>
      </c>
      <c r="FA73">
        <v>7.1424500000000002E-2</v>
      </c>
      <c r="FB73">
        <v>7.1488800000000005E-2</v>
      </c>
      <c r="FC73">
        <v>7.1797899999999998E-2</v>
      </c>
      <c r="FD73">
        <v>7.1343799999999999E-2</v>
      </c>
      <c r="FE73">
        <v>7.1406300000000006E-2</v>
      </c>
      <c r="FF73">
        <v>7.1987300000000004E-2</v>
      </c>
      <c r="FG73">
        <v>7.1834800000000004E-2</v>
      </c>
      <c r="FH73">
        <v>7.11315E-2</v>
      </c>
      <c r="FI73">
        <v>7.0923100000000003E-2</v>
      </c>
      <c r="FJ73">
        <v>7.1501300000000004E-2</v>
      </c>
      <c r="FK73">
        <v>0.40127669999999999</v>
      </c>
      <c r="FL73">
        <v>0.161023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0.58556889999999995</v>
      </c>
      <c r="FZ73">
        <v>0.35163630000000001</v>
      </c>
      <c r="GA73">
        <v>1.252961</v>
      </c>
      <c r="GB73">
        <v>0.1601783</v>
      </c>
      <c r="GC73">
        <v>-0.25357619999999997</v>
      </c>
      <c r="GD73">
        <v>-0.54461839999999995</v>
      </c>
      <c r="GE73">
        <v>-0.33434779999999997</v>
      </c>
      <c r="GF73">
        <v>0.67467390000000005</v>
      </c>
      <c r="GG73">
        <v>2.4414929999999999</v>
      </c>
      <c r="GH73">
        <v>0.95515539999999999</v>
      </c>
      <c r="GI73">
        <v>0.91232190000000002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0.28089370000000002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0.6686088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118.37050000000001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32.1</v>
      </c>
      <c r="OD73">
        <v>53094</v>
      </c>
      <c r="OE73">
        <v>1.01</v>
      </c>
      <c r="OF73">
        <v>142.08699999999999</v>
      </c>
      <c r="OG73">
        <v>32.5</v>
      </c>
      <c r="OH73">
        <v>87.525999999999996</v>
      </c>
    </row>
    <row r="74" spans="1:398">
      <c r="A74">
        <v>7</v>
      </c>
      <c r="B74" t="s">
        <v>40</v>
      </c>
      <c r="C74" t="s">
        <v>39</v>
      </c>
      <c r="D74">
        <v>2016</v>
      </c>
      <c r="E74">
        <v>23.335000000000001</v>
      </c>
      <c r="F74">
        <v>2.0947</v>
      </c>
      <c r="G74">
        <v>695</v>
      </c>
      <c r="H74">
        <v>48.3</v>
      </c>
      <c r="I74">
        <v>86.4</v>
      </c>
      <c r="J74">
        <v>8</v>
      </c>
      <c r="K74">
        <v>3009</v>
      </c>
      <c r="L74">
        <v>0.9</v>
      </c>
      <c r="M74">
        <v>1.8</v>
      </c>
      <c r="N74">
        <v>33435</v>
      </c>
      <c r="O74">
        <v>7.18</v>
      </c>
      <c r="P74">
        <v>1.0900000000000001</v>
      </c>
      <c r="Q74">
        <v>15144</v>
      </c>
      <c r="R74">
        <v>35.4</v>
      </c>
      <c r="S74">
        <v>0.406856</v>
      </c>
      <c r="T74">
        <v>0.61387709999999995</v>
      </c>
      <c r="U74">
        <v>0.35384379999999999</v>
      </c>
      <c r="V74">
        <v>1.435181</v>
      </c>
      <c r="W74">
        <v>0.88380510000000001</v>
      </c>
      <c r="X74">
        <v>0.4657578</v>
      </c>
      <c r="Y74">
        <v>-4.0544900000000002E-2</v>
      </c>
      <c r="Z74">
        <v>-0.23049239999999999</v>
      </c>
      <c r="AA74">
        <v>0.6396153</v>
      </c>
      <c r="AB74">
        <v>7.46251E-2</v>
      </c>
      <c r="AC74">
        <v>-0.54193690000000005</v>
      </c>
      <c r="AD74">
        <v>0.77268210000000004</v>
      </c>
      <c r="AE74">
        <v>2.455352</v>
      </c>
      <c r="AF74">
        <v>-0.14664730000000001</v>
      </c>
      <c r="AG74">
        <v>-0.25986880000000001</v>
      </c>
      <c r="AH74">
        <v>0.64257909999999996</v>
      </c>
      <c r="AI74">
        <v>3.1499540000000001</v>
      </c>
      <c r="AJ74">
        <v>0.73941040000000002</v>
      </c>
      <c r="AK74">
        <v>6.5439119999999997</v>
      </c>
      <c r="AL74">
        <v>4.4589879999999997</v>
      </c>
      <c r="AM74">
        <v>2.0794419999999998</v>
      </c>
      <c r="AN74">
        <v>8.0093630000000005</v>
      </c>
      <c r="AO74">
        <v>10.41736</v>
      </c>
      <c r="AP74">
        <v>8.6177699999999996E-2</v>
      </c>
      <c r="AQ74">
        <v>9.6253580000000003</v>
      </c>
      <c r="AR74">
        <v>4.9642400000000002</v>
      </c>
      <c r="AS74">
        <v>3.4657399999999998</v>
      </c>
      <c r="AT74">
        <v>10.9023</v>
      </c>
      <c r="AU74">
        <v>87.641999999999996</v>
      </c>
      <c r="AV74">
        <v>101.453</v>
      </c>
      <c r="AW74">
        <v>2.4998300000000002</v>
      </c>
      <c r="AX74" s="17">
        <v>7800000000</v>
      </c>
      <c r="AY74">
        <v>3.4339900000000001</v>
      </c>
      <c r="AZ74">
        <v>0.67</v>
      </c>
      <c r="BA74">
        <v>1.9712989999999999</v>
      </c>
      <c r="BB74">
        <v>1.9712993999999999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0.22314400000000001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1.60041E-2</v>
      </c>
      <c r="CG74">
        <v>0.60107650000000001</v>
      </c>
      <c r="CH74">
        <v>0.249109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1.1656230000000001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0.36129289999999997</v>
      </c>
      <c r="DI74">
        <v>1.358676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0.4027213</v>
      </c>
      <c r="DW74">
        <v>0.78096719999999997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13.849919999999999</v>
      </c>
      <c r="EW74">
        <v>7.1298100000000003E-2</v>
      </c>
      <c r="EX74">
        <v>7.13139E-2</v>
      </c>
      <c r="EY74">
        <v>7.1161000000000002E-2</v>
      </c>
      <c r="EZ74">
        <v>7.1363399999999994E-2</v>
      </c>
      <c r="FA74">
        <v>7.1391899999999994E-2</v>
      </c>
      <c r="FB74">
        <v>7.1515899999999993E-2</v>
      </c>
      <c r="FC74">
        <v>7.1776999999999994E-2</v>
      </c>
      <c r="FD74">
        <v>7.1423399999999998E-2</v>
      </c>
      <c r="FE74">
        <v>7.1412299999999998E-2</v>
      </c>
      <c r="FF74">
        <v>7.1981900000000001E-2</v>
      </c>
      <c r="FG74">
        <v>7.1786000000000003E-2</v>
      </c>
      <c r="FH74">
        <v>7.1117200000000005E-2</v>
      </c>
      <c r="FI74">
        <v>7.09428E-2</v>
      </c>
      <c r="FJ74">
        <v>7.1515099999999998E-2</v>
      </c>
      <c r="FK74">
        <v>0.40597369999999999</v>
      </c>
      <c r="FL74">
        <v>0.16481470000000001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0.61387709999999995</v>
      </c>
      <c r="FZ74">
        <v>0.35384379999999999</v>
      </c>
      <c r="GA74">
        <v>1.435181</v>
      </c>
      <c r="GB74">
        <v>0.4657578</v>
      </c>
      <c r="GC74">
        <v>-0.23049239999999999</v>
      </c>
      <c r="GD74">
        <v>-0.54193690000000005</v>
      </c>
      <c r="GE74">
        <v>-0.25986880000000001</v>
      </c>
      <c r="GF74">
        <v>0.77268210000000004</v>
      </c>
      <c r="GG74">
        <v>2.455352</v>
      </c>
      <c r="GH74">
        <v>0.91465510000000005</v>
      </c>
      <c r="GI74">
        <v>0.83659399999999995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0.27200239999999998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0.612819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118.8597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31</v>
      </c>
      <c r="OD74">
        <v>54300.2</v>
      </c>
      <c r="OE74">
        <v>1.25</v>
      </c>
      <c r="OF74">
        <v>143.19999999999999</v>
      </c>
      <c r="OG74">
        <v>32</v>
      </c>
      <c r="OH74">
        <v>87.641999999999996</v>
      </c>
    </row>
    <row r="75" spans="1:398">
      <c r="A75">
        <v>7</v>
      </c>
      <c r="B75" t="s">
        <v>40</v>
      </c>
      <c r="C75" t="s">
        <v>39</v>
      </c>
      <c r="D75">
        <v>2017</v>
      </c>
      <c r="E75">
        <v>22.867000000000001</v>
      </c>
      <c r="F75">
        <v>2.0831</v>
      </c>
      <c r="G75">
        <v>736</v>
      </c>
      <c r="H75">
        <v>47.6</v>
      </c>
      <c r="I75">
        <v>85.8</v>
      </c>
      <c r="J75">
        <v>7.9</v>
      </c>
      <c r="K75">
        <v>2274.4</v>
      </c>
      <c r="L75">
        <v>1</v>
      </c>
      <c r="M75">
        <v>1.7</v>
      </c>
      <c r="N75">
        <v>34814</v>
      </c>
      <c r="O75">
        <v>6.34</v>
      </c>
      <c r="P75">
        <v>1.07</v>
      </c>
      <c r="Q75">
        <v>14518.4</v>
      </c>
      <c r="R75">
        <v>36</v>
      </c>
      <c r="S75">
        <v>0.40566099999999999</v>
      </c>
      <c r="T75">
        <v>0.55701789999999995</v>
      </c>
      <c r="U75">
        <v>0.34271059999999998</v>
      </c>
      <c r="V75">
        <v>1.746472</v>
      </c>
      <c r="W75">
        <v>0.83874400000000005</v>
      </c>
      <c r="X75">
        <v>0.38241829999999999</v>
      </c>
      <c r="Y75">
        <v>-5.6557999999999997E-2</v>
      </c>
      <c r="Z75">
        <v>-0.32635120000000001</v>
      </c>
      <c r="AA75">
        <v>0.91774979999999995</v>
      </c>
      <c r="AB75">
        <v>-5.7301400000000002E-2</v>
      </c>
      <c r="AC75">
        <v>-0.53461440000000005</v>
      </c>
      <c r="AD75">
        <v>0.67467390000000005</v>
      </c>
      <c r="AE75">
        <v>2.2492380000000001</v>
      </c>
      <c r="AF75">
        <v>-0.1150405</v>
      </c>
      <c r="AG75">
        <v>-0.30361870000000002</v>
      </c>
      <c r="AH75">
        <v>0.6589178</v>
      </c>
      <c r="AI75">
        <v>3.1296949999999999</v>
      </c>
      <c r="AJ75">
        <v>0.73385719999999999</v>
      </c>
      <c r="AK75">
        <v>6.6012300000000002</v>
      </c>
      <c r="AL75">
        <v>4.4520189999999999</v>
      </c>
      <c r="AM75">
        <v>2.0668630000000001</v>
      </c>
      <c r="AN75">
        <v>7.7294720000000003</v>
      </c>
      <c r="AO75">
        <v>10.45778</v>
      </c>
      <c r="AP75">
        <v>6.7658700000000002E-2</v>
      </c>
      <c r="AQ75">
        <v>9.5831689999999998</v>
      </c>
      <c r="AR75">
        <v>4.9706700000000001</v>
      </c>
      <c r="AS75">
        <v>3.5553499999999998</v>
      </c>
      <c r="AT75">
        <v>10.926</v>
      </c>
      <c r="AU75">
        <v>87.757000000000005</v>
      </c>
      <c r="AV75">
        <v>104.21599999999999</v>
      </c>
      <c r="AW75">
        <v>1.0878000000000001</v>
      </c>
      <c r="AX75" s="17">
        <v>3600000000</v>
      </c>
      <c r="AY75">
        <v>3.4563199999999998</v>
      </c>
      <c r="AZ75">
        <v>0.69</v>
      </c>
      <c r="BA75">
        <v>1.8468789999999999</v>
      </c>
      <c r="BB75">
        <v>1.8468788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9.5310000000000006E-2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1.55064E-2</v>
      </c>
      <c r="CG75">
        <v>0.60029750000000004</v>
      </c>
      <c r="CH75">
        <v>0.24512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1.17479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0.36035709999999999</v>
      </c>
      <c r="DI75">
        <v>1.3801319999999999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0.4142053</v>
      </c>
      <c r="DW75">
        <v>0.81060520000000003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13.853440000000001</v>
      </c>
      <c r="EW75">
        <v>7.1305099999999996E-2</v>
      </c>
      <c r="EX75">
        <v>7.1311399999999997E-2</v>
      </c>
      <c r="EY75">
        <v>7.1092199999999994E-2</v>
      </c>
      <c r="EZ75">
        <v>7.1365200000000004E-2</v>
      </c>
      <c r="FA75">
        <v>7.1393300000000007E-2</v>
      </c>
      <c r="FB75">
        <v>7.15118E-2</v>
      </c>
      <c r="FC75">
        <v>7.1845999999999993E-2</v>
      </c>
      <c r="FD75">
        <v>7.1342600000000006E-2</v>
      </c>
      <c r="FE75">
        <v>7.1448800000000007E-2</v>
      </c>
      <c r="FF75">
        <v>7.1956300000000001E-2</v>
      </c>
      <c r="FG75">
        <v>7.17975E-2</v>
      </c>
      <c r="FH75">
        <v>7.1145100000000003E-2</v>
      </c>
      <c r="FI75">
        <v>7.0993200000000006E-2</v>
      </c>
      <c r="FJ75">
        <v>7.1491600000000002E-2</v>
      </c>
      <c r="FK75">
        <v>0.40475820000000001</v>
      </c>
      <c r="FL75">
        <v>0.16382920000000001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0.55701789999999995</v>
      </c>
      <c r="FZ75">
        <v>0.34271059999999998</v>
      </c>
      <c r="GA75">
        <v>1.746472</v>
      </c>
      <c r="GB75">
        <v>0.38241829999999999</v>
      </c>
      <c r="GC75">
        <v>-0.32635120000000001</v>
      </c>
      <c r="GD75">
        <v>-0.53461440000000005</v>
      </c>
      <c r="GE75">
        <v>-0.30361870000000002</v>
      </c>
      <c r="GF75">
        <v>0.67467390000000005</v>
      </c>
      <c r="GG75">
        <v>2.2492380000000001</v>
      </c>
      <c r="GH75">
        <v>0.93284330000000004</v>
      </c>
      <c r="GI75">
        <v>0.87019670000000005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0.27928310000000001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0.64366190000000001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119.3766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31.7</v>
      </c>
      <c r="OD75">
        <v>55601</v>
      </c>
      <c r="OE75">
        <v>1.1000000000000001</v>
      </c>
      <c r="OF75">
        <v>144.124</v>
      </c>
      <c r="OG75">
        <v>35</v>
      </c>
      <c r="OH75">
        <v>87.757000000000005</v>
      </c>
    </row>
    <row r="76" spans="1:398">
      <c r="A76">
        <v>7</v>
      </c>
      <c r="B76" t="s">
        <v>40</v>
      </c>
      <c r="C76" t="s">
        <v>39</v>
      </c>
      <c r="D76">
        <v>2018</v>
      </c>
      <c r="E76">
        <v>23.184000000000001</v>
      </c>
      <c r="F76">
        <v>2.1135999999999999</v>
      </c>
      <c r="G76">
        <v>740</v>
      </c>
      <c r="H76">
        <v>49.9</v>
      </c>
      <c r="I76">
        <v>80.7</v>
      </c>
      <c r="J76">
        <v>8.1</v>
      </c>
      <c r="K76">
        <v>2672</v>
      </c>
      <c r="L76">
        <v>0.9</v>
      </c>
      <c r="M76">
        <v>1.8</v>
      </c>
      <c r="N76">
        <v>36639</v>
      </c>
      <c r="O76">
        <v>5.63</v>
      </c>
      <c r="P76">
        <v>1.08</v>
      </c>
      <c r="Q76">
        <v>12752.8</v>
      </c>
      <c r="R76">
        <v>38.1</v>
      </c>
      <c r="S76">
        <v>0.396509</v>
      </c>
      <c r="T76">
        <v>0.59553149999999999</v>
      </c>
      <c r="U76">
        <v>0.37198300000000001</v>
      </c>
      <c r="V76">
        <v>1.7768409999999999</v>
      </c>
      <c r="W76">
        <v>0.98680190000000001</v>
      </c>
      <c r="X76">
        <v>-0.32596989999999998</v>
      </c>
      <c r="Y76">
        <v>-2.4531799999999999E-2</v>
      </c>
      <c r="Z76">
        <v>-0.27446789999999999</v>
      </c>
      <c r="AA76">
        <v>0.6396153</v>
      </c>
      <c r="AB76">
        <v>7.46251E-2</v>
      </c>
      <c r="AC76">
        <v>-0.52492369999999999</v>
      </c>
      <c r="AD76">
        <v>0.72367800000000004</v>
      </c>
      <c r="AE76">
        <v>1.667565</v>
      </c>
      <c r="AF76">
        <v>-4.4165000000000003E-3</v>
      </c>
      <c r="AG76">
        <v>-0.34059780000000001</v>
      </c>
      <c r="AH76">
        <v>0.74342359999999996</v>
      </c>
      <c r="AI76">
        <v>3.143462</v>
      </c>
      <c r="AJ76">
        <v>0.74839259999999996</v>
      </c>
      <c r="AK76">
        <v>6.6066500000000001</v>
      </c>
      <c r="AL76">
        <v>4.3907379999999998</v>
      </c>
      <c r="AM76">
        <v>2.0918640000000002</v>
      </c>
      <c r="AN76">
        <v>7.8905830000000003</v>
      </c>
      <c r="AO76">
        <v>10.50887</v>
      </c>
      <c r="AP76">
        <v>7.6961100000000005E-2</v>
      </c>
      <c r="AQ76">
        <v>9.4535070000000001</v>
      </c>
      <c r="AR76">
        <v>4.9756400000000003</v>
      </c>
      <c r="AS76">
        <v>3.5438499999999999</v>
      </c>
      <c r="AT76">
        <v>10.939399999999999</v>
      </c>
      <c r="AU76">
        <v>87.873999999999995</v>
      </c>
      <c r="AV76">
        <v>108.81399999999999</v>
      </c>
      <c r="AW76">
        <v>2.4666999999999999</v>
      </c>
      <c r="AX76" s="17">
        <v>8800000000</v>
      </c>
      <c r="AY76">
        <v>3.4468100000000002</v>
      </c>
      <c r="AZ76">
        <v>0.67</v>
      </c>
      <c r="BA76">
        <v>1.7281089999999999</v>
      </c>
      <c r="BB76">
        <v>1.7281095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-3.0459E-2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1.6063999999999998E-2</v>
      </c>
      <c r="CG76">
        <v>0.59577020000000003</v>
      </c>
      <c r="CH76">
        <v>0.24385100000000001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1.2644789999999999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0.35494209999999998</v>
      </c>
      <c r="DI76">
        <v>1.5989059999999999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0.39916600000000002</v>
      </c>
      <c r="DW76">
        <v>0.84720079999999998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13.856350000000001</v>
      </c>
      <c r="EW76">
        <v>7.1292300000000003E-2</v>
      </c>
      <c r="EX76">
        <v>7.1296499999999999E-2</v>
      </c>
      <c r="EY76">
        <v>7.1088899999999997E-2</v>
      </c>
      <c r="EZ76">
        <v>7.13279E-2</v>
      </c>
      <c r="FA76">
        <v>7.14756E-2</v>
      </c>
      <c r="FB76">
        <v>7.1487800000000004E-2</v>
      </c>
      <c r="FC76">
        <v>7.1785699999999994E-2</v>
      </c>
      <c r="FD76">
        <v>7.1408100000000002E-2</v>
      </c>
      <c r="FE76">
        <v>7.1395899999999998E-2</v>
      </c>
      <c r="FF76">
        <v>7.1931499999999995E-2</v>
      </c>
      <c r="FG76">
        <v>7.1807899999999994E-2</v>
      </c>
      <c r="FH76">
        <v>7.1132299999999996E-2</v>
      </c>
      <c r="FI76">
        <v>7.1127099999999999E-2</v>
      </c>
      <c r="FJ76">
        <v>7.1442599999999995E-2</v>
      </c>
      <c r="FK76">
        <v>0.39573770000000003</v>
      </c>
      <c r="FL76">
        <v>0.15660830000000001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0.59553149999999999</v>
      </c>
      <c r="FZ76">
        <v>0.37198300000000001</v>
      </c>
      <c r="GA76">
        <v>1.7768409999999999</v>
      </c>
      <c r="GB76">
        <v>-0.32596989999999998</v>
      </c>
      <c r="GC76">
        <v>-0.27446789999999999</v>
      </c>
      <c r="GD76">
        <v>-0.52492369999999999</v>
      </c>
      <c r="GE76">
        <v>-0.34059780000000001</v>
      </c>
      <c r="GF76">
        <v>0.72367800000000004</v>
      </c>
      <c r="GG76">
        <v>1.667565</v>
      </c>
      <c r="GH76">
        <v>1.039623</v>
      </c>
      <c r="GI76">
        <v>1.0808169999999999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0.2651443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0.69654769999999999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119.6711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31.4</v>
      </c>
      <c r="OD76">
        <v>56355.1</v>
      </c>
      <c r="OE76">
        <v>0.97</v>
      </c>
      <c r="OF76">
        <v>144.84100000000001</v>
      </c>
      <c r="OG76">
        <v>34.6</v>
      </c>
      <c r="OH76">
        <v>87.873999999999995</v>
      </c>
    </row>
    <row r="77" spans="1:398">
      <c r="A77">
        <v>7</v>
      </c>
      <c r="B77" t="s">
        <v>40</v>
      </c>
      <c r="C77" t="s">
        <v>39</v>
      </c>
      <c r="D77">
        <v>2019</v>
      </c>
      <c r="E77">
        <v>24.236999999999998</v>
      </c>
      <c r="F77">
        <v>2.1276000000000002</v>
      </c>
      <c r="G77">
        <v>790</v>
      </c>
      <c r="H77">
        <v>51.5</v>
      </c>
      <c r="I77">
        <v>83.7</v>
      </c>
      <c r="J77">
        <v>7.6</v>
      </c>
      <c r="K77">
        <v>2876</v>
      </c>
      <c r="L77">
        <v>0.8</v>
      </c>
      <c r="M77">
        <v>1.7</v>
      </c>
      <c r="N77">
        <v>36394</v>
      </c>
      <c r="O77">
        <v>8.4</v>
      </c>
      <c r="P77">
        <v>1.0900000000000001</v>
      </c>
      <c r="Q77">
        <v>10987.3</v>
      </c>
      <c r="R77">
        <v>37.1</v>
      </c>
      <c r="S77">
        <v>0.39557199999999998</v>
      </c>
      <c r="T77">
        <v>0.72346509999999997</v>
      </c>
      <c r="U77">
        <v>0.38541940000000002</v>
      </c>
      <c r="V77">
        <v>2.1564649999999999</v>
      </c>
      <c r="W77">
        <v>1.089798</v>
      </c>
      <c r="X77">
        <v>9.0728500000000004E-2</v>
      </c>
      <c r="Y77">
        <v>-0.1045973</v>
      </c>
      <c r="Z77">
        <v>-0.2478477</v>
      </c>
      <c r="AA77">
        <v>0.361481</v>
      </c>
      <c r="AB77">
        <v>-5.7301400000000002E-2</v>
      </c>
      <c r="AC77">
        <v>-0.52622469999999999</v>
      </c>
      <c r="AD77">
        <v>0.77268210000000004</v>
      </c>
      <c r="AE77">
        <v>1.0858920000000001</v>
      </c>
      <c r="AF77">
        <v>-5.7094699999999998E-2</v>
      </c>
      <c r="AG77">
        <v>-0.19632720000000001</v>
      </c>
      <c r="AH77">
        <v>0.65666199999999997</v>
      </c>
      <c r="AI77">
        <v>3.1878799999999998</v>
      </c>
      <c r="AJ77">
        <v>0.75499459999999996</v>
      </c>
      <c r="AK77">
        <v>6.6720329999999999</v>
      </c>
      <c r="AL77">
        <v>4.4272390000000001</v>
      </c>
      <c r="AM77">
        <v>2.0281479999999998</v>
      </c>
      <c r="AN77">
        <v>7.964156</v>
      </c>
      <c r="AO77">
        <v>10.50216</v>
      </c>
      <c r="AP77">
        <v>8.6177699999999996E-2</v>
      </c>
      <c r="AQ77">
        <v>9.304494</v>
      </c>
      <c r="AR77">
        <v>4.9792199999999998</v>
      </c>
      <c r="AS77">
        <v>3.6163099999999999</v>
      </c>
      <c r="AT77">
        <v>10.9528</v>
      </c>
      <c r="AU77">
        <v>87.994</v>
      </c>
      <c r="AV77">
        <v>111.89100000000001</v>
      </c>
      <c r="AW77">
        <v>-1.10067</v>
      </c>
      <c r="AX77" s="17">
        <v>-3800000000</v>
      </c>
      <c r="AY77">
        <v>3.4781599999999999</v>
      </c>
      <c r="AZ77">
        <v>0.69</v>
      </c>
      <c r="BA77">
        <v>2.1282320000000001</v>
      </c>
      <c r="BB77">
        <v>2.1282318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0.36464299999999999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1.6353300000000001E-2</v>
      </c>
      <c r="CG77">
        <v>0.59562320000000002</v>
      </c>
      <c r="CH77">
        <v>0.24269499999999999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1.206294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0.354767</v>
      </c>
      <c r="DI77">
        <v>1.4551449999999999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0.41098000000000001</v>
      </c>
      <c r="DW77">
        <v>0.83234269999999999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13.85805</v>
      </c>
      <c r="EW77">
        <v>7.1265700000000001E-2</v>
      </c>
      <c r="EX77">
        <v>7.1293800000000004E-2</v>
      </c>
      <c r="EY77">
        <v>7.1021399999999998E-2</v>
      </c>
      <c r="EZ77">
        <v>7.1307700000000002E-2</v>
      </c>
      <c r="FA77">
        <v>7.1421299999999993E-2</v>
      </c>
      <c r="FB77">
        <v>7.1523199999999995E-2</v>
      </c>
      <c r="FC77">
        <v>7.1755600000000003E-2</v>
      </c>
      <c r="FD77">
        <v>7.1480100000000005E-2</v>
      </c>
      <c r="FE77">
        <v>7.1440500000000004E-2</v>
      </c>
      <c r="FF77">
        <v>7.1924699999999994E-2</v>
      </c>
      <c r="FG77">
        <v>7.1711300000000006E-2</v>
      </c>
      <c r="FH77">
        <v>7.1125900000000006E-2</v>
      </c>
      <c r="FI77">
        <v>7.1268600000000001E-2</v>
      </c>
      <c r="FJ77">
        <v>7.1460200000000001E-2</v>
      </c>
      <c r="FK77">
        <v>0.39482050000000002</v>
      </c>
      <c r="FL77">
        <v>0.1558832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0.72346509999999997</v>
      </c>
      <c r="FZ77">
        <v>0.38541940000000002</v>
      </c>
      <c r="GA77">
        <v>2.1564649999999999</v>
      </c>
      <c r="GB77">
        <v>9.0728500000000004E-2</v>
      </c>
      <c r="GC77">
        <v>-0.2478477</v>
      </c>
      <c r="GD77">
        <v>-0.52622469999999999</v>
      </c>
      <c r="GE77">
        <v>-0.19632720000000001</v>
      </c>
      <c r="GF77">
        <v>0.77268210000000004</v>
      </c>
      <c r="GG77">
        <v>1.0858920000000001</v>
      </c>
      <c r="GH77">
        <v>0.95378879999999999</v>
      </c>
      <c r="GI77">
        <v>0.90971310000000005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0.2724261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0.65811430000000004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119.96429999999999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32.4</v>
      </c>
      <c r="OD77">
        <v>57114.6</v>
      </c>
      <c r="OE77">
        <v>1.44</v>
      </c>
      <c r="OF77">
        <v>145.36099999999999</v>
      </c>
      <c r="OG77">
        <v>37.200000000000003</v>
      </c>
      <c r="OH77">
        <v>87.994</v>
      </c>
    </row>
    <row r="78" spans="1:398">
      <c r="A78">
        <v>7</v>
      </c>
      <c r="B78" t="s">
        <v>40</v>
      </c>
      <c r="C78" t="s">
        <v>39</v>
      </c>
      <c r="D78">
        <v>2020</v>
      </c>
      <c r="E78">
        <v>22.957000000000001</v>
      </c>
      <c r="F78">
        <v>2.1474000000000002</v>
      </c>
      <c r="G78">
        <v>830</v>
      </c>
      <c r="H78">
        <v>45</v>
      </c>
      <c r="I78">
        <v>84.1</v>
      </c>
      <c r="J78">
        <v>7.6</v>
      </c>
      <c r="K78">
        <v>2435.6999999999998</v>
      </c>
      <c r="L78">
        <v>0.9</v>
      </c>
      <c r="M78">
        <v>1.9</v>
      </c>
      <c r="N78">
        <v>35758</v>
      </c>
      <c r="O78">
        <v>2.83</v>
      </c>
      <c r="P78">
        <v>1.06</v>
      </c>
      <c r="Q78">
        <v>9221.75</v>
      </c>
      <c r="R78">
        <v>37</v>
      </c>
      <c r="S78">
        <v>0.38241399999999998</v>
      </c>
      <c r="T78">
        <v>0.56795240000000002</v>
      </c>
      <c r="U78">
        <v>0.40442240000000002</v>
      </c>
      <c r="V78">
        <v>2.4601630000000001</v>
      </c>
      <c r="W78">
        <v>0.67137460000000004</v>
      </c>
      <c r="X78">
        <v>0.14628849999999999</v>
      </c>
      <c r="Y78">
        <v>-0.1045973</v>
      </c>
      <c r="Z78">
        <v>-0.30530289999999999</v>
      </c>
      <c r="AA78">
        <v>0.6396153</v>
      </c>
      <c r="AB78">
        <v>0.2065517</v>
      </c>
      <c r="AC78">
        <v>-0.52960180000000001</v>
      </c>
      <c r="AD78">
        <v>0.62566920000000004</v>
      </c>
      <c r="AE78">
        <v>0.50421910000000003</v>
      </c>
      <c r="AF78">
        <v>-6.2362399999999998E-2</v>
      </c>
      <c r="AG78">
        <v>-0.4864309</v>
      </c>
      <c r="AH78">
        <v>0.43337229999999999</v>
      </c>
      <c r="AI78">
        <v>3.133623</v>
      </c>
      <c r="AJ78">
        <v>0.76425779999999999</v>
      </c>
      <c r="AK78">
        <v>6.7214260000000001</v>
      </c>
      <c r="AL78">
        <v>4.4320060000000003</v>
      </c>
      <c r="AM78">
        <v>2.0281479999999998</v>
      </c>
      <c r="AN78">
        <v>7.7979890000000003</v>
      </c>
      <c r="AO78">
        <v>10.484529999999999</v>
      </c>
      <c r="AP78">
        <v>5.8268899999999998E-2</v>
      </c>
      <c r="AQ78">
        <v>9.1293190000000006</v>
      </c>
      <c r="AR78">
        <v>4.9821299999999997</v>
      </c>
      <c r="AS78">
        <v>3.6762999999999999</v>
      </c>
      <c r="AT78">
        <v>10.931900000000001</v>
      </c>
      <c r="AU78">
        <v>88.116</v>
      </c>
      <c r="AV78">
        <v>104.43300000000001</v>
      </c>
      <c r="AW78">
        <v>0.363875</v>
      </c>
      <c r="AX78" s="17">
        <v>1300000000</v>
      </c>
      <c r="AY78">
        <v>3.4965099999999998</v>
      </c>
      <c r="AZ78">
        <v>0.68</v>
      </c>
      <c r="BA78">
        <v>1.0402769999999999</v>
      </c>
      <c r="BB78">
        <v>1.0402766000000001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-0.71335000000000004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1.39144E-2</v>
      </c>
      <c r="CG78">
        <v>0.58249519999999999</v>
      </c>
      <c r="CH78">
        <v>0.22966500000000001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0.87648870000000001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0.33930070000000001</v>
      </c>
      <c r="DI78">
        <v>0.76823249999999998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0.39609670000000002</v>
      </c>
      <c r="DW78">
        <v>0.5960124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13.86408</v>
      </c>
      <c r="EW78">
        <v>7.12811E-2</v>
      </c>
      <c r="EX78">
        <v>7.1266599999999999E-2</v>
      </c>
      <c r="EY78">
        <v>7.0952000000000001E-2</v>
      </c>
      <c r="EZ78">
        <v>7.1375300000000003E-2</v>
      </c>
      <c r="FA78">
        <v>7.1391099999999999E-2</v>
      </c>
      <c r="FB78">
        <v>7.1497599999999994E-2</v>
      </c>
      <c r="FC78">
        <v>7.1776599999999996E-2</v>
      </c>
      <c r="FD78">
        <v>7.1383299999999997E-2</v>
      </c>
      <c r="FE78">
        <v>7.1328600000000006E-2</v>
      </c>
      <c r="FF78">
        <v>7.1897600000000006E-2</v>
      </c>
      <c r="FG78">
        <v>7.1868899999999999E-2</v>
      </c>
      <c r="FH78">
        <v>7.1151599999999995E-2</v>
      </c>
      <c r="FI78">
        <v>7.1391899999999994E-2</v>
      </c>
      <c r="FJ78">
        <v>7.1437700000000007E-2</v>
      </c>
      <c r="FK78">
        <v>0.38162400000000002</v>
      </c>
      <c r="FL78">
        <v>0.14563680000000001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0.56795240000000002</v>
      </c>
      <c r="FZ78">
        <v>0.40442240000000002</v>
      </c>
      <c r="GA78">
        <v>2.4601630000000001</v>
      </c>
      <c r="GB78">
        <v>0.14628849999999999</v>
      </c>
      <c r="GC78">
        <v>-0.30530289999999999</v>
      </c>
      <c r="GD78">
        <v>-0.52960180000000001</v>
      </c>
      <c r="GE78">
        <v>-0.4864309</v>
      </c>
      <c r="GF78">
        <v>0.62566920000000004</v>
      </c>
      <c r="GG78">
        <v>0.50421910000000003</v>
      </c>
      <c r="GH78">
        <v>0.63029440000000003</v>
      </c>
      <c r="GI78">
        <v>0.39727109999999999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0.25950430000000002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0.42860019999999999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119.5073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33</v>
      </c>
      <c r="OD78">
        <v>55934.6</v>
      </c>
      <c r="OE78">
        <v>0.49</v>
      </c>
      <c r="OF78">
        <v>145.785</v>
      </c>
      <c r="OG78">
        <v>39.5</v>
      </c>
      <c r="OH78">
        <v>88.116</v>
      </c>
    </row>
    <row r="79" spans="1:398">
      <c r="A79">
        <v>8</v>
      </c>
      <c r="B79" t="s">
        <v>38</v>
      </c>
      <c r="C79" t="s">
        <v>37</v>
      </c>
      <c r="D79">
        <v>2010</v>
      </c>
      <c r="E79">
        <v>23.652999999999999</v>
      </c>
      <c r="F79">
        <v>0.54020000000000001</v>
      </c>
      <c r="G79">
        <v>844</v>
      </c>
      <c r="H79">
        <v>18</v>
      </c>
      <c r="I79">
        <v>82.7</v>
      </c>
      <c r="J79">
        <v>9</v>
      </c>
      <c r="K79">
        <v>18.2</v>
      </c>
      <c r="L79">
        <v>1.7</v>
      </c>
      <c r="M79">
        <v>2</v>
      </c>
      <c r="N79">
        <v>9288</v>
      </c>
      <c r="O79">
        <v>0.25</v>
      </c>
      <c r="P79">
        <v>1.1100000000000001</v>
      </c>
      <c r="Q79">
        <v>14918.1</v>
      </c>
      <c r="R79">
        <v>21.5</v>
      </c>
      <c r="S79">
        <v>0.372365</v>
      </c>
      <c r="T79">
        <v>0.65251239999999999</v>
      </c>
      <c r="U79">
        <v>-1.138088</v>
      </c>
      <c r="V79">
        <v>2.5664579999999999</v>
      </c>
      <c r="W79">
        <v>-1.066694</v>
      </c>
      <c r="X79">
        <v>-4.8170900000000003E-2</v>
      </c>
      <c r="Y79">
        <v>0.119586</v>
      </c>
      <c r="Z79">
        <v>-0.62076529999999996</v>
      </c>
      <c r="AA79">
        <v>2.86469</v>
      </c>
      <c r="AB79">
        <v>0.33847840000000001</v>
      </c>
      <c r="AC79">
        <v>-0.6701568</v>
      </c>
      <c r="AD79">
        <v>0.87069039999999998</v>
      </c>
      <c r="AE79">
        <v>2.3809450000000001</v>
      </c>
      <c r="AF79">
        <v>-0.87887329999999997</v>
      </c>
      <c r="AG79">
        <v>-0.62080559999999996</v>
      </c>
      <c r="AH79">
        <v>-0.41141030000000001</v>
      </c>
      <c r="AI79">
        <v>3.1634899999999999</v>
      </c>
      <c r="AJ79">
        <v>-0.61581580000000002</v>
      </c>
      <c r="AK79">
        <v>6.7381529999999996</v>
      </c>
      <c r="AL79">
        <v>4.4152199999999997</v>
      </c>
      <c r="AM79">
        <v>2.197225</v>
      </c>
      <c r="AN79">
        <v>2.9014220000000002</v>
      </c>
      <c r="AO79">
        <v>9.1364780000000003</v>
      </c>
      <c r="AP79">
        <v>0.10435999999999999</v>
      </c>
      <c r="AQ79">
        <v>9.6103319999999997</v>
      </c>
      <c r="AR79">
        <v>3.44713</v>
      </c>
      <c r="AS79">
        <v>3.2307999999999999</v>
      </c>
      <c r="AT79">
        <v>9.5927299999999995</v>
      </c>
      <c r="AU79">
        <v>68.093999999999994</v>
      </c>
      <c r="AV79">
        <v>143.672</v>
      </c>
      <c r="AW79">
        <v>13.276999999999999</v>
      </c>
      <c r="AX79" s="17">
        <v>2600000000</v>
      </c>
      <c r="AY79">
        <v>3.4812400000000001</v>
      </c>
      <c r="AZ79">
        <v>0.31</v>
      </c>
      <c r="BA79">
        <v>-1.3862939999999999</v>
      </c>
      <c r="BB79">
        <v>-1.3862943999999999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-1.66073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4.7066E-3</v>
      </c>
      <c r="CG79">
        <v>0.50817970000000001</v>
      </c>
      <c r="CH79">
        <v>0.20250399999999999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-1.244596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0.25824659999999999</v>
      </c>
      <c r="DI79">
        <v>1.5490200000000001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0.1575357</v>
      </c>
      <c r="DW79">
        <v>-0.38582480000000002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13.8782</v>
      </c>
      <c r="EW79">
        <v>7.1200100000000002E-2</v>
      </c>
      <c r="EX79">
        <v>7.1887800000000002E-2</v>
      </c>
      <c r="EY79">
        <v>7.0881399999999997E-2</v>
      </c>
      <c r="EZ79">
        <v>7.1736300000000003E-2</v>
      </c>
      <c r="FA79">
        <v>7.1349599999999999E-2</v>
      </c>
      <c r="FB79">
        <v>7.1328199999999994E-2</v>
      </c>
      <c r="FC79">
        <v>7.2050400000000001E-2</v>
      </c>
      <c r="FD79">
        <v>7.0830900000000002E-2</v>
      </c>
      <c r="FE79">
        <v>7.12232E-2</v>
      </c>
      <c r="FF79">
        <v>7.1990299999999993E-2</v>
      </c>
      <c r="FG79">
        <v>7.1895899999999999E-2</v>
      </c>
      <c r="FH79">
        <v>7.1026699999999998E-2</v>
      </c>
      <c r="FI79">
        <v>7.0904499999999995E-2</v>
      </c>
      <c r="FJ79">
        <v>7.1694800000000003E-2</v>
      </c>
      <c r="FK79">
        <v>0.3705444</v>
      </c>
      <c r="FL79">
        <v>0.13730310000000001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0.65251239999999999</v>
      </c>
      <c r="FZ79">
        <v>-1.138088</v>
      </c>
      <c r="GA79">
        <v>2.5664579999999999</v>
      </c>
      <c r="GB79">
        <v>-4.8170900000000003E-2</v>
      </c>
      <c r="GC79">
        <v>-0.62076529999999996</v>
      </c>
      <c r="GD79">
        <v>-0.6701568</v>
      </c>
      <c r="GE79">
        <v>-0.62080559999999996</v>
      </c>
      <c r="GF79">
        <v>0.87069039999999998</v>
      </c>
      <c r="GG79">
        <v>2.3809450000000001</v>
      </c>
      <c r="GH79">
        <v>-0.40945350000000003</v>
      </c>
      <c r="GI79">
        <v>0.1676522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0.11486879999999999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-0.1269306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92.02055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32.5</v>
      </c>
      <c r="OD79">
        <v>14657.9</v>
      </c>
      <c r="OE79">
        <v>0.19</v>
      </c>
      <c r="OF79">
        <v>31.4101</v>
      </c>
      <c r="OG79">
        <v>25.3</v>
      </c>
      <c r="OH79">
        <v>68.093999999999994</v>
      </c>
    </row>
    <row r="80" spans="1:398">
      <c r="A80">
        <v>8</v>
      </c>
      <c r="B80" t="s">
        <v>38</v>
      </c>
      <c r="C80" t="s">
        <v>37</v>
      </c>
      <c r="D80">
        <v>2011</v>
      </c>
      <c r="E80">
        <v>26.241</v>
      </c>
      <c r="F80">
        <v>0.53749999999999998</v>
      </c>
      <c r="G80">
        <v>814</v>
      </c>
      <c r="H80">
        <v>23.3</v>
      </c>
      <c r="I80">
        <v>69.5</v>
      </c>
      <c r="J80">
        <v>14.5</v>
      </c>
      <c r="K80">
        <v>24.1</v>
      </c>
      <c r="L80">
        <v>1.4</v>
      </c>
      <c r="M80">
        <v>2</v>
      </c>
      <c r="N80">
        <v>9860</v>
      </c>
      <c r="O80">
        <v>0.25</v>
      </c>
      <c r="P80">
        <v>1.1200000000000001</v>
      </c>
      <c r="Q80">
        <v>16336.7</v>
      </c>
      <c r="R80">
        <v>21.8</v>
      </c>
      <c r="S80">
        <v>0.37662299999999999</v>
      </c>
      <c r="T80">
        <v>0.96693980000000002</v>
      </c>
      <c r="U80">
        <v>-1.140679</v>
      </c>
      <c r="V80">
        <v>2.3386840000000002</v>
      </c>
      <c r="W80">
        <v>-0.72551719999999997</v>
      </c>
      <c r="X80">
        <v>-1.8816440000000001</v>
      </c>
      <c r="Y80">
        <v>1.0003059999999999</v>
      </c>
      <c r="Z80">
        <v>-0.61999539999999997</v>
      </c>
      <c r="AA80">
        <v>2.030287</v>
      </c>
      <c r="AB80">
        <v>0.33847840000000001</v>
      </c>
      <c r="AC80">
        <v>-0.66711960000000003</v>
      </c>
      <c r="AD80">
        <v>0.91969449999999997</v>
      </c>
      <c r="AE80">
        <v>2.8483130000000001</v>
      </c>
      <c r="AF80">
        <v>-0.86306989999999995</v>
      </c>
      <c r="AG80">
        <v>-0.62080559999999996</v>
      </c>
      <c r="AH80">
        <v>6.7455399999999999E-2</v>
      </c>
      <c r="AI80">
        <v>3.2673230000000002</v>
      </c>
      <c r="AJ80">
        <v>-0.62082649999999995</v>
      </c>
      <c r="AK80">
        <v>6.7019609999999998</v>
      </c>
      <c r="AL80">
        <v>4.2413270000000001</v>
      </c>
      <c r="AM80">
        <v>2.6741489999999999</v>
      </c>
      <c r="AN80">
        <v>3.1822119999999998</v>
      </c>
      <c r="AO80">
        <v>9.1962410000000006</v>
      </c>
      <c r="AP80">
        <v>0.1133287</v>
      </c>
      <c r="AQ80">
        <v>9.7011699999999994</v>
      </c>
      <c r="AR80">
        <v>3.4440900000000001</v>
      </c>
      <c r="AS80">
        <v>3.2268400000000002</v>
      </c>
      <c r="AT80">
        <v>9.6690900000000006</v>
      </c>
      <c r="AU80">
        <v>67.965000000000003</v>
      </c>
      <c r="AV80">
        <v>166.74600000000001</v>
      </c>
      <c r="AW80">
        <v>4.8023999999999996</v>
      </c>
      <c r="AX80" s="17">
        <v>1100000000</v>
      </c>
      <c r="AY80">
        <v>3.5263599999999999</v>
      </c>
      <c r="AZ80">
        <v>0.31</v>
      </c>
      <c r="BA80">
        <v>-1.3862939999999999</v>
      </c>
      <c r="BB80">
        <v>-1.3862943999999999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-1.66073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6.4592E-3</v>
      </c>
      <c r="CG80">
        <v>0.51161100000000004</v>
      </c>
      <c r="CH80">
        <v>0.218778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-0.75201850000000003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0.26174579999999997</v>
      </c>
      <c r="DI80">
        <v>0.56553169999999997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0.1585994</v>
      </c>
      <c r="DW80">
        <v>-0.23312569999999999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13.87735</v>
      </c>
      <c r="EW80">
        <v>7.1147299999999997E-2</v>
      </c>
      <c r="EX80">
        <v>7.1894E-2</v>
      </c>
      <c r="EY80">
        <v>7.0948499999999998E-2</v>
      </c>
      <c r="EZ80">
        <v>7.1647699999999995E-2</v>
      </c>
      <c r="FA80">
        <v>7.1599700000000002E-2</v>
      </c>
      <c r="FB80">
        <v>7.0990700000000004E-2</v>
      </c>
      <c r="FC80">
        <v>7.2053300000000001E-2</v>
      </c>
      <c r="FD80">
        <v>7.1024400000000001E-2</v>
      </c>
      <c r="FE80">
        <v>7.1237400000000006E-2</v>
      </c>
      <c r="FF80">
        <v>7.1990499999999999E-2</v>
      </c>
      <c r="FG80">
        <v>7.1900599999999995E-2</v>
      </c>
      <c r="FH80">
        <v>7.1034E-2</v>
      </c>
      <c r="FI80">
        <v>7.0838100000000001E-2</v>
      </c>
      <c r="FJ80">
        <v>7.1693699999999999E-2</v>
      </c>
      <c r="FK80">
        <v>0.37485459999999998</v>
      </c>
      <c r="FL80">
        <v>0.1405159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0.96693980000000002</v>
      </c>
      <c r="FZ80">
        <v>-1.140679</v>
      </c>
      <c r="GA80">
        <v>2.3386840000000002</v>
      </c>
      <c r="GB80">
        <v>-1.8816440000000001</v>
      </c>
      <c r="GC80">
        <v>-0.61999539999999997</v>
      </c>
      <c r="GD80">
        <v>-0.66711960000000003</v>
      </c>
      <c r="GE80">
        <v>-0.62080559999999996</v>
      </c>
      <c r="GF80">
        <v>0.91969449999999997</v>
      </c>
      <c r="GG80">
        <v>2.8483130000000001</v>
      </c>
      <c r="GH80">
        <v>0.28094649999999999</v>
      </c>
      <c r="GI80">
        <v>7.8931000000000001E-2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0.1162049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8.7093400000000001E-2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93.491249999999994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34</v>
      </c>
      <c r="OD80">
        <v>15820.9</v>
      </c>
      <c r="OE80">
        <v>0</v>
      </c>
      <c r="OF80">
        <v>31.314900000000002</v>
      </c>
      <c r="OG80">
        <v>25.2</v>
      </c>
      <c r="OH80">
        <v>67.965000000000003</v>
      </c>
    </row>
    <row r="81" spans="1:398">
      <c r="A81">
        <v>8</v>
      </c>
      <c r="B81" t="s">
        <v>38</v>
      </c>
      <c r="C81" t="s">
        <v>37</v>
      </c>
      <c r="D81">
        <v>2012</v>
      </c>
      <c r="E81">
        <v>27.187999999999999</v>
      </c>
      <c r="F81">
        <v>0.5464</v>
      </c>
      <c r="G81">
        <v>769</v>
      </c>
      <c r="H81">
        <v>19.100000000000001</v>
      </c>
      <c r="I81">
        <v>80.400000000000006</v>
      </c>
      <c r="J81">
        <v>19.2</v>
      </c>
      <c r="K81">
        <v>93.6</v>
      </c>
      <c r="L81">
        <v>1.1000000000000001</v>
      </c>
      <c r="M81">
        <v>2</v>
      </c>
      <c r="N81">
        <v>10687</v>
      </c>
      <c r="O81">
        <v>0.25</v>
      </c>
      <c r="P81">
        <v>1.1499999999999999</v>
      </c>
      <c r="Q81">
        <v>15694.7</v>
      </c>
      <c r="R81">
        <v>20.7</v>
      </c>
      <c r="S81">
        <v>0.37864500000000001</v>
      </c>
      <c r="T81">
        <v>1.081995</v>
      </c>
      <c r="U81">
        <v>-1.1321369999999999</v>
      </c>
      <c r="V81">
        <v>1.997023</v>
      </c>
      <c r="W81">
        <v>-0.99588330000000003</v>
      </c>
      <c r="X81">
        <v>-0.3676391</v>
      </c>
      <c r="Y81">
        <v>1.7529220000000001</v>
      </c>
      <c r="Z81">
        <v>-0.61092619999999997</v>
      </c>
      <c r="AA81">
        <v>1.1958839999999999</v>
      </c>
      <c r="AB81">
        <v>0.33847840000000001</v>
      </c>
      <c r="AC81">
        <v>-0.66272819999999999</v>
      </c>
      <c r="AD81">
        <v>1.0667070000000001</v>
      </c>
      <c r="AE81">
        <v>2.636787</v>
      </c>
      <c r="AF81">
        <v>-0.92101569999999999</v>
      </c>
      <c r="AG81">
        <v>-0.62080559999999996</v>
      </c>
      <c r="AH81">
        <v>-0.1152285</v>
      </c>
      <c r="AI81">
        <v>3.3027760000000002</v>
      </c>
      <c r="AJ81">
        <v>-0.60440400000000005</v>
      </c>
      <c r="AK81">
        <v>6.6450909999999999</v>
      </c>
      <c r="AL81">
        <v>4.3870139999999997</v>
      </c>
      <c r="AM81">
        <v>2.9549099999999999</v>
      </c>
      <c r="AN81">
        <v>4.5390309999999996</v>
      </c>
      <c r="AO81">
        <v>9.276783</v>
      </c>
      <c r="AP81">
        <v>0.13976189999999999</v>
      </c>
      <c r="AQ81">
        <v>9.6610770000000006</v>
      </c>
      <c r="AR81">
        <v>3.4405100000000002</v>
      </c>
      <c r="AS81">
        <v>3.21888</v>
      </c>
      <c r="AT81">
        <v>9.7087299999999992</v>
      </c>
      <c r="AU81">
        <v>67.974000000000004</v>
      </c>
      <c r="AV81">
        <v>169.15600000000001</v>
      </c>
      <c r="AW81">
        <v>7.6916599999999997</v>
      </c>
      <c r="AX81" s="17">
        <v>1800000000</v>
      </c>
      <c r="AY81">
        <v>3.5695299999999999</v>
      </c>
      <c r="AZ81">
        <v>0.3</v>
      </c>
      <c r="BA81">
        <v>-1.3862939999999999</v>
      </c>
      <c r="BB81">
        <v>-1.3862943999999999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-1.66073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5.0209E-3</v>
      </c>
      <c r="CG81">
        <v>0.52659990000000001</v>
      </c>
      <c r="CH81">
        <v>0.22287199999999999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-0.73290829999999996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0.27730749999999998</v>
      </c>
      <c r="DI81">
        <v>0.53715460000000004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0.15798000000000001</v>
      </c>
      <c r="DW81">
        <v>-0.2198725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13.87683</v>
      </c>
      <c r="EW81">
        <v>7.1138199999999999E-2</v>
      </c>
      <c r="EX81">
        <v>7.1891899999999995E-2</v>
      </c>
      <c r="EY81">
        <v>7.1033200000000005E-2</v>
      </c>
      <c r="EZ81">
        <v>7.1726100000000001E-2</v>
      </c>
      <c r="FA81">
        <v>7.1406300000000006E-2</v>
      </c>
      <c r="FB81">
        <v>7.0758399999999999E-2</v>
      </c>
      <c r="FC81">
        <v>7.2040699999999999E-2</v>
      </c>
      <c r="FD81">
        <v>7.1222099999999997E-2</v>
      </c>
      <c r="FE81">
        <v>7.1249699999999999E-2</v>
      </c>
      <c r="FF81">
        <v>7.1987300000000004E-2</v>
      </c>
      <c r="FG81">
        <v>7.1903599999999998E-2</v>
      </c>
      <c r="FH81">
        <v>7.10147E-2</v>
      </c>
      <c r="FI81">
        <v>7.0903900000000006E-2</v>
      </c>
      <c r="FJ81">
        <v>7.1723899999999993E-2</v>
      </c>
      <c r="FK81">
        <v>0.37693300000000002</v>
      </c>
      <c r="FL81">
        <v>0.1420785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1.081995</v>
      </c>
      <c r="FZ81">
        <v>-1.1321369999999999</v>
      </c>
      <c r="GA81">
        <v>1.997023</v>
      </c>
      <c r="GB81">
        <v>-0.3676391</v>
      </c>
      <c r="GC81">
        <v>-0.61092619999999997</v>
      </c>
      <c r="GD81">
        <v>-0.66272819999999999</v>
      </c>
      <c r="GE81">
        <v>-0.62080559999999996</v>
      </c>
      <c r="GF81">
        <v>1.0667070000000001</v>
      </c>
      <c r="GG81">
        <v>2.636787</v>
      </c>
      <c r="GH81">
        <v>3.1229300000000002E-2</v>
      </c>
      <c r="GI81">
        <v>9.7530000000000002E-4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0.1130799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9.3688E-3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94.259450000000001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35.5</v>
      </c>
      <c r="OD81">
        <v>16460.7</v>
      </c>
      <c r="OE81">
        <v>0.19</v>
      </c>
      <c r="OF81">
        <v>31.202999999999999</v>
      </c>
      <c r="OG81">
        <v>25</v>
      </c>
      <c r="OH81">
        <v>67.974000000000004</v>
      </c>
    </row>
    <row r="82" spans="1:398">
      <c r="A82">
        <v>8</v>
      </c>
      <c r="B82" t="s">
        <v>38</v>
      </c>
      <c r="C82" t="s">
        <v>37</v>
      </c>
      <c r="D82">
        <v>2013</v>
      </c>
      <c r="E82">
        <v>26.623999999999999</v>
      </c>
      <c r="F82">
        <v>0.52439999999999998</v>
      </c>
      <c r="G82">
        <v>802</v>
      </c>
      <c r="H82">
        <v>17.600000000000001</v>
      </c>
      <c r="I82">
        <v>66</v>
      </c>
      <c r="J82">
        <v>14.7</v>
      </c>
      <c r="K82">
        <v>444.3</v>
      </c>
      <c r="L82">
        <v>0.8</v>
      </c>
      <c r="M82">
        <v>2</v>
      </c>
      <c r="N82">
        <v>11229</v>
      </c>
      <c r="O82">
        <v>1.625</v>
      </c>
      <c r="P82">
        <v>1.1399999999999999</v>
      </c>
      <c r="Q82">
        <v>13195.2</v>
      </c>
      <c r="R82">
        <v>19.3</v>
      </c>
      <c r="S82">
        <v>0.32976299999999997</v>
      </c>
      <c r="T82">
        <v>1.0134719999999999</v>
      </c>
      <c r="U82">
        <v>-1.1532519999999999</v>
      </c>
      <c r="V82">
        <v>2.2475740000000002</v>
      </c>
      <c r="W82">
        <v>-1.0924430000000001</v>
      </c>
      <c r="X82">
        <v>-2.3677920000000001</v>
      </c>
      <c r="Y82">
        <v>1.032332</v>
      </c>
      <c r="Z82">
        <v>-0.56516299999999997</v>
      </c>
      <c r="AA82">
        <v>0.361481</v>
      </c>
      <c r="AB82">
        <v>0.33847840000000001</v>
      </c>
      <c r="AC82">
        <v>-0.65985020000000005</v>
      </c>
      <c r="AD82">
        <v>1.017703</v>
      </c>
      <c r="AE82">
        <v>1.813326</v>
      </c>
      <c r="AF82">
        <v>-0.99476520000000002</v>
      </c>
      <c r="AG82">
        <v>-0.54919110000000004</v>
      </c>
      <c r="AH82">
        <v>-0.5012335</v>
      </c>
      <c r="AI82">
        <v>3.2818130000000001</v>
      </c>
      <c r="AJ82">
        <v>-0.64550050000000003</v>
      </c>
      <c r="AK82">
        <v>6.6871090000000004</v>
      </c>
      <c r="AL82">
        <v>4.1896550000000001</v>
      </c>
      <c r="AM82">
        <v>2.6878470000000001</v>
      </c>
      <c r="AN82">
        <v>6.0964999999999998</v>
      </c>
      <c r="AO82">
        <v>9.3262549999999997</v>
      </c>
      <c r="AP82">
        <v>0.13102820000000001</v>
      </c>
      <c r="AQ82">
        <v>9.4876120000000004</v>
      </c>
      <c r="AR82">
        <v>3.4117999999999999</v>
      </c>
      <c r="AS82">
        <v>3.1986699999999999</v>
      </c>
      <c r="AT82">
        <v>9.7296999999999993</v>
      </c>
      <c r="AU82">
        <v>68.122</v>
      </c>
      <c r="AV82">
        <v>164.602</v>
      </c>
      <c r="AW82">
        <v>4.3139399999999997</v>
      </c>
      <c r="AX82" s="17">
        <v>1100000000</v>
      </c>
      <c r="AY82">
        <v>3.5553499999999998</v>
      </c>
      <c r="AZ82">
        <v>0.28999999999999998</v>
      </c>
      <c r="BA82">
        <v>0.48550779999999999</v>
      </c>
      <c r="BB82">
        <v>0.48550781999999998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-0.41827799999999998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4.4984999999999999E-3</v>
      </c>
      <c r="CG82">
        <v>0.49412070000000002</v>
      </c>
      <c r="CH82">
        <v>0.195351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-0.66988020000000004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0.24415529999999999</v>
      </c>
      <c r="DI82">
        <v>0.44873950000000001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0.14329500000000001</v>
      </c>
      <c r="DW82">
        <v>-0.1942653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13.889530000000001</v>
      </c>
      <c r="EW82">
        <v>7.1099599999999999E-2</v>
      </c>
      <c r="EX82">
        <v>7.1839200000000006E-2</v>
      </c>
      <c r="EY82">
        <v>7.0938100000000004E-2</v>
      </c>
      <c r="EZ82">
        <v>7.1689299999999997E-2</v>
      </c>
      <c r="FA82">
        <v>7.1613399999999994E-2</v>
      </c>
      <c r="FB82">
        <v>7.0956699999999998E-2</v>
      </c>
      <c r="FC82">
        <v>7.1911799999999998E-2</v>
      </c>
      <c r="FD82">
        <v>7.1363700000000002E-2</v>
      </c>
      <c r="FE82">
        <v>7.1193999999999993E-2</v>
      </c>
      <c r="FF82">
        <v>7.1917700000000001E-2</v>
      </c>
      <c r="FG82">
        <v>7.1784000000000001E-2</v>
      </c>
      <c r="FH82">
        <v>7.0978399999999997E-2</v>
      </c>
      <c r="FI82">
        <v>7.1020899999999998E-2</v>
      </c>
      <c r="FJ82">
        <v>7.1693300000000001E-2</v>
      </c>
      <c r="FK82">
        <v>0.32838539999999999</v>
      </c>
      <c r="FL82">
        <v>0.107837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1.0134719999999999</v>
      </c>
      <c r="FZ82">
        <v>-1.1532519999999999</v>
      </c>
      <c r="GA82">
        <v>2.2475740000000002</v>
      </c>
      <c r="GB82">
        <v>-2.3677920000000001</v>
      </c>
      <c r="GC82">
        <v>-0.56516299999999997</v>
      </c>
      <c r="GD82">
        <v>-0.65985020000000005</v>
      </c>
      <c r="GE82">
        <v>-0.54919110000000004</v>
      </c>
      <c r="GF82">
        <v>1.017703</v>
      </c>
      <c r="GG82">
        <v>1.813326</v>
      </c>
      <c r="GH82">
        <v>-0.46549000000000001</v>
      </c>
      <c r="GI82">
        <v>0.21668090000000001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9.5231800000000005E-2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-0.1349921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94.667050000000003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35</v>
      </c>
      <c r="OD82">
        <v>16809.5</v>
      </c>
      <c r="OE82">
        <v>0</v>
      </c>
      <c r="OF82">
        <v>30.319700000000001</v>
      </c>
      <c r="OG82">
        <v>24.5</v>
      </c>
      <c r="OH82">
        <v>68.122</v>
      </c>
    </row>
    <row r="83" spans="1:398">
      <c r="A83">
        <v>8</v>
      </c>
      <c r="B83" t="s">
        <v>38</v>
      </c>
      <c r="C83" t="s">
        <v>37</v>
      </c>
      <c r="D83">
        <v>2014</v>
      </c>
      <c r="E83">
        <v>24.298999999999999</v>
      </c>
      <c r="F83">
        <v>0.56769999999999998</v>
      </c>
      <c r="G83">
        <v>453</v>
      </c>
      <c r="H83">
        <v>31.1</v>
      </c>
      <c r="I83">
        <v>85.1</v>
      </c>
      <c r="J83">
        <v>11.3</v>
      </c>
      <c r="K83">
        <v>452.9</v>
      </c>
      <c r="L83">
        <v>0.6</v>
      </c>
      <c r="M83">
        <v>2</v>
      </c>
      <c r="N83">
        <v>11944</v>
      </c>
      <c r="O83">
        <v>3</v>
      </c>
      <c r="P83">
        <v>1.17</v>
      </c>
      <c r="Q83">
        <v>14436.2</v>
      </c>
      <c r="R83">
        <v>20.2</v>
      </c>
      <c r="S83">
        <v>0.31401600000000002</v>
      </c>
      <c r="T83">
        <v>0.73099769999999997</v>
      </c>
      <c r="U83">
        <v>-1.1116950000000001</v>
      </c>
      <c r="V83">
        <v>-0.4021962</v>
      </c>
      <c r="W83">
        <v>-0.22340860000000001</v>
      </c>
      <c r="X83">
        <v>0.285188</v>
      </c>
      <c r="Y83">
        <v>0.48788720000000002</v>
      </c>
      <c r="Z83">
        <v>-0.56404080000000001</v>
      </c>
      <c r="AA83">
        <v>-0.19478770000000001</v>
      </c>
      <c r="AB83">
        <v>0.33847840000000001</v>
      </c>
      <c r="AC83">
        <v>-0.65605349999999996</v>
      </c>
      <c r="AD83">
        <v>1.1647149999999999</v>
      </c>
      <c r="AE83">
        <v>2.222172</v>
      </c>
      <c r="AF83">
        <v>-0.94735480000000005</v>
      </c>
      <c r="AG83">
        <v>-0.47757670000000002</v>
      </c>
      <c r="AH83">
        <v>-0.93273649999999997</v>
      </c>
      <c r="AI83">
        <v>3.1904349999999999</v>
      </c>
      <c r="AJ83">
        <v>-0.5661621</v>
      </c>
      <c r="AK83">
        <v>6.1158919999999997</v>
      </c>
      <c r="AL83">
        <v>4.4438269999999997</v>
      </c>
      <c r="AM83">
        <v>2.4248029999999998</v>
      </c>
      <c r="AN83">
        <v>6.1156709999999999</v>
      </c>
      <c r="AO83">
        <v>9.3879839999999994</v>
      </c>
      <c r="AP83">
        <v>0.1570037</v>
      </c>
      <c r="AQ83">
        <v>9.5774950000000008</v>
      </c>
      <c r="AR83">
        <v>3.40917</v>
      </c>
      <c r="AS83">
        <v>3.2307999999999999</v>
      </c>
      <c r="AT83">
        <v>9.7650100000000002</v>
      </c>
      <c r="AU83">
        <v>68.269000000000005</v>
      </c>
      <c r="AV83">
        <v>157.95400000000001</v>
      </c>
      <c r="AW83">
        <v>6.5851199999999999</v>
      </c>
      <c r="AX83" s="17">
        <v>1800000000</v>
      </c>
      <c r="AY83">
        <v>3.5638800000000002</v>
      </c>
      <c r="AZ83">
        <v>0.28000000000000003</v>
      </c>
      <c r="BA83">
        <v>1.0986119999999999</v>
      </c>
      <c r="BB83">
        <v>1.0986123000000001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0.82417499999999999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8.9168000000000008E-3</v>
      </c>
      <c r="CG83">
        <v>0.48830630000000003</v>
      </c>
      <c r="CH83">
        <v>0.17544100000000001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-0.86404190000000003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0.23844309999999999</v>
      </c>
      <c r="DI83">
        <v>0.74656829999999996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0.13672580000000001</v>
      </c>
      <c r="DW83">
        <v>-0.2419317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13.89306</v>
      </c>
      <c r="EW83">
        <v>7.1151400000000004E-2</v>
      </c>
      <c r="EX83">
        <v>7.1796299999999993E-2</v>
      </c>
      <c r="EY83">
        <v>7.1486800000000003E-2</v>
      </c>
      <c r="EZ83">
        <v>7.1446300000000004E-2</v>
      </c>
      <c r="FA83">
        <v>7.1254200000000004E-2</v>
      </c>
      <c r="FB83">
        <v>7.1151800000000001E-2</v>
      </c>
      <c r="FC83">
        <v>7.1892200000000003E-2</v>
      </c>
      <c r="FD83">
        <v>7.1495600000000006E-2</v>
      </c>
      <c r="FE83">
        <v>7.1184999999999998E-2</v>
      </c>
      <c r="FF83">
        <v>7.18945E-2</v>
      </c>
      <c r="FG83">
        <v>7.1715600000000004E-2</v>
      </c>
      <c r="FH83">
        <v>7.0939699999999994E-2</v>
      </c>
      <c r="FI83">
        <v>7.0936100000000002E-2</v>
      </c>
      <c r="FJ83">
        <v>7.1654499999999996E-2</v>
      </c>
      <c r="FK83">
        <v>0.31299630000000001</v>
      </c>
      <c r="FL83">
        <v>9.7966700000000004E-2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0.73099769999999997</v>
      </c>
      <c r="FZ83">
        <v>-1.1116950000000001</v>
      </c>
      <c r="GA83">
        <v>-0.4021962</v>
      </c>
      <c r="GB83">
        <v>0.285188</v>
      </c>
      <c r="GC83">
        <v>-0.56404080000000001</v>
      </c>
      <c r="GD83">
        <v>-0.65605349999999996</v>
      </c>
      <c r="GE83">
        <v>-0.47757670000000002</v>
      </c>
      <c r="GF83">
        <v>1.1647149999999999</v>
      </c>
      <c r="GG83">
        <v>2.222172</v>
      </c>
      <c r="GH83">
        <v>-1.1608430000000001</v>
      </c>
      <c r="GI83">
        <v>1.347556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8.7638999999999995E-2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-0.32503599999999999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95.35548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35.299999999999997</v>
      </c>
      <c r="OD83">
        <v>17413.7</v>
      </c>
      <c r="OE83">
        <v>2.2799999999999998</v>
      </c>
      <c r="OF83">
        <v>30.240300000000001</v>
      </c>
      <c r="OG83">
        <v>25.3</v>
      </c>
      <c r="OH83">
        <v>68.269000000000005</v>
      </c>
    </row>
    <row r="84" spans="1:398">
      <c r="A84">
        <v>8</v>
      </c>
      <c r="B84" t="s">
        <v>38</v>
      </c>
      <c r="C84" t="s">
        <v>37</v>
      </c>
      <c r="D84">
        <v>2015</v>
      </c>
      <c r="E84">
        <v>25.446999999999999</v>
      </c>
      <c r="F84">
        <v>0.58350000000000002</v>
      </c>
      <c r="G84">
        <v>366</v>
      </c>
      <c r="H84">
        <v>28.3</v>
      </c>
      <c r="I84">
        <v>86.7</v>
      </c>
      <c r="J84">
        <v>11.4</v>
      </c>
      <c r="K84">
        <v>374.7</v>
      </c>
      <c r="L84">
        <v>0.6</v>
      </c>
      <c r="M84">
        <v>1.9</v>
      </c>
      <c r="N84">
        <v>12174</v>
      </c>
      <c r="O84">
        <v>2</v>
      </c>
      <c r="P84">
        <v>1.19</v>
      </c>
      <c r="Q84">
        <v>15279.9</v>
      </c>
      <c r="R84">
        <v>19.7</v>
      </c>
      <c r="S84">
        <v>0.307807</v>
      </c>
      <c r="T84">
        <v>0.87047339999999995</v>
      </c>
      <c r="U84">
        <v>-1.0965309999999999</v>
      </c>
      <c r="V84">
        <v>-1.0627409999999999</v>
      </c>
      <c r="W84">
        <v>-0.40365279999999998</v>
      </c>
      <c r="X84">
        <v>0.50742699999999996</v>
      </c>
      <c r="Y84">
        <v>0.50390020000000002</v>
      </c>
      <c r="Z84">
        <v>-0.57424520000000001</v>
      </c>
      <c r="AA84">
        <v>-0.19478770000000001</v>
      </c>
      <c r="AB84">
        <v>0.2065517</v>
      </c>
      <c r="AC84">
        <v>-0.65483219999999998</v>
      </c>
      <c r="AD84">
        <v>1.262724</v>
      </c>
      <c r="AE84">
        <v>2.5001389999999999</v>
      </c>
      <c r="AF84">
        <v>-0.97369380000000005</v>
      </c>
      <c r="AG84">
        <v>-0.52965989999999996</v>
      </c>
      <c r="AH84">
        <v>-1.070417</v>
      </c>
      <c r="AI84">
        <v>3.2365979999999999</v>
      </c>
      <c r="AJ84">
        <v>-0.53871080000000005</v>
      </c>
      <c r="AK84">
        <v>5.9026329999999998</v>
      </c>
      <c r="AL84">
        <v>4.4624540000000001</v>
      </c>
      <c r="AM84">
        <v>2.4336129999999998</v>
      </c>
      <c r="AN84">
        <v>5.926126</v>
      </c>
      <c r="AO84">
        <v>9.4070579999999993</v>
      </c>
      <c r="AP84">
        <v>0.17395340000000001</v>
      </c>
      <c r="AQ84">
        <v>9.6342940000000006</v>
      </c>
      <c r="AR84">
        <v>3.4098299999999999</v>
      </c>
      <c r="AS84">
        <v>3.3393199999999998</v>
      </c>
      <c r="AT84">
        <v>9.7825699999999998</v>
      </c>
      <c r="AU84">
        <v>68.415999999999997</v>
      </c>
      <c r="AV84">
        <v>148.50700000000001</v>
      </c>
      <c r="AW84">
        <v>-3.0691099999999998</v>
      </c>
      <c r="AX84" s="17">
        <v>-720000000</v>
      </c>
      <c r="AY84">
        <v>3.5890599999999999</v>
      </c>
      <c r="AZ84">
        <v>0.28999999999999998</v>
      </c>
      <c r="BA84">
        <v>0.69314719999999996</v>
      </c>
      <c r="BB84">
        <v>0.69314717999999997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0.27486899999999997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7.9287000000000003E-3</v>
      </c>
      <c r="CG84">
        <v>0.47662579999999999</v>
      </c>
      <c r="CH84">
        <v>0.17106299999999999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-1.0672299999999999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0.22717209999999999</v>
      </c>
      <c r="DI84">
        <v>1.1389800000000001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0.1382215</v>
      </c>
      <c r="DW84">
        <v>-0.30949670000000001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13.896570000000001</v>
      </c>
      <c r="EW84">
        <v>7.1114499999999997E-2</v>
      </c>
      <c r="EX84">
        <v>7.1769700000000006E-2</v>
      </c>
      <c r="EY84">
        <v>7.1645200000000006E-2</v>
      </c>
      <c r="EZ84">
        <v>7.1475499999999997E-2</v>
      </c>
      <c r="FA84">
        <v>7.1218199999999995E-2</v>
      </c>
      <c r="FB84">
        <v>7.1137599999999995E-2</v>
      </c>
      <c r="FC84">
        <v>7.1887099999999995E-2</v>
      </c>
      <c r="FD84">
        <v>7.1480500000000002E-2</v>
      </c>
      <c r="FE84">
        <v>7.1215700000000007E-2</v>
      </c>
      <c r="FF84">
        <v>7.1874800000000003E-2</v>
      </c>
      <c r="FG84">
        <v>7.1734699999999998E-2</v>
      </c>
      <c r="FH84">
        <v>7.0914500000000005E-2</v>
      </c>
      <c r="FI84">
        <v>7.0882100000000003E-2</v>
      </c>
      <c r="FJ84">
        <v>7.1649699999999997E-2</v>
      </c>
      <c r="FK84">
        <v>0.30666260000000001</v>
      </c>
      <c r="FL84">
        <v>9.4042000000000001E-2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0.87047339999999995</v>
      </c>
      <c r="FZ84">
        <v>-1.0965309999999999</v>
      </c>
      <c r="GA84">
        <v>-1.0627409999999999</v>
      </c>
      <c r="GB84">
        <v>0.50742699999999996</v>
      </c>
      <c r="GC84">
        <v>-0.57424520000000001</v>
      </c>
      <c r="GD84">
        <v>-0.65483219999999998</v>
      </c>
      <c r="GE84">
        <v>-0.52965989999999996</v>
      </c>
      <c r="GF84">
        <v>1.262724</v>
      </c>
      <c r="GG84">
        <v>2.5001389999999999</v>
      </c>
      <c r="GH84">
        <v>-1.3774519999999999</v>
      </c>
      <c r="GI84">
        <v>1.897375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8.8932200000000003E-2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-0.39946120000000002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95.698750000000004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36.200000000000003</v>
      </c>
      <c r="OD84">
        <v>17722.2</v>
      </c>
      <c r="OE84">
        <v>0</v>
      </c>
      <c r="OF84">
        <v>30.260100000000001</v>
      </c>
      <c r="OG84">
        <v>28.2</v>
      </c>
      <c r="OH84">
        <v>68.415999999999997</v>
      </c>
    </row>
    <row r="85" spans="1:398">
      <c r="A85">
        <v>8</v>
      </c>
      <c r="B85" t="s">
        <v>38</v>
      </c>
      <c r="C85" t="s">
        <v>37</v>
      </c>
      <c r="D85">
        <v>2016</v>
      </c>
      <c r="E85">
        <v>24.55</v>
      </c>
      <c r="F85">
        <v>0.62239999999999995</v>
      </c>
      <c r="G85">
        <v>401</v>
      </c>
      <c r="H85">
        <v>27.9</v>
      </c>
      <c r="I85">
        <v>86.7</v>
      </c>
      <c r="J85">
        <v>11.9</v>
      </c>
      <c r="K85">
        <v>1027.3</v>
      </c>
      <c r="L85">
        <v>0.6</v>
      </c>
      <c r="M85">
        <v>1.9</v>
      </c>
      <c r="N85">
        <v>11644</v>
      </c>
      <c r="O85">
        <v>1</v>
      </c>
      <c r="P85">
        <v>1.2</v>
      </c>
      <c r="Q85">
        <v>14529.2</v>
      </c>
      <c r="R85">
        <v>22.3</v>
      </c>
      <c r="S85">
        <v>0.31193900000000002</v>
      </c>
      <c r="T85">
        <v>0.76149279999999997</v>
      </c>
      <c r="U85">
        <v>-1.059196</v>
      </c>
      <c r="V85">
        <v>-0.7970043</v>
      </c>
      <c r="W85">
        <v>-0.4294019</v>
      </c>
      <c r="X85">
        <v>0.50742699999999996</v>
      </c>
      <c r="Y85">
        <v>0.58396570000000003</v>
      </c>
      <c r="Z85">
        <v>-0.48908659999999998</v>
      </c>
      <c r="AA85">
        <v>-0.19478770000000001</v>
      </c>
      <c r="AB85">
        <v>0.2065517</v>
      </c>
      <c r="AC85">
        <v>-0.65764650000000002</v>
      </c>
      <c r="AD85">
        <v>1.311728</v>
      </c>
      <c r="AE85">
        <v>2.252821</v>
      </c>
      <c r="AF85">
        <v>-0.8367308</v>
      </c>
      <c r="AG85">
        <v>-0.58174320000000002</v>
      </c>
      <c r="AH85">
        <v>-0.947156</v>
      </c>
      <c r="AI85">
        <v>3.2007119999999998</v>
      </c>
      <c r="AJ85">
        <v>-0.47417229999999999</v>
      </c>
      <c r="AK85">
        <v>5.9939609999999997</v>
      </c>
      <c r="AL85">
        <v>4.4624540000000001</v>
      </c>
      <c r="AM85">
        <v>2.4765380000000001</v>
      </c>
      <c r="AN85">
        <v>6.9346899999999998</v>
      </c>
      <c r="AO85">
        <v>9.362546</v>
      </c>
      <c r="AP85">
        <v>0.1823216</v>
      </c>
      <c r="AQ85">
        <v>9.5839180000000006</v>
      </c>
      <c r="AR85">
        <v>3.41012</v>
      </c>
      <c r="AS85">
        <v>3.30322</v>
      </c>
      <c r="AT85">
        <v>9.8127399999999998</v>
      </c>
      <c r="AU85">
        <v>68.563000000000002</v>
      </c>
      <c r="AV85">
        <v>147.74600000000001</v>
      </c>
      <c r="AW85">
        <v>3.7692299999999999</v>
      </c>
      <c r="AX85" s="17">
        <v>930000000</v>
      </c>
      <c r="AY85">
        <v>3.5610499999999998</v>
      </c>
      <c r="AZ85">
        <v>0.28000000000000003</v>
      </c>
      <c r="BA85">
        <v>0</v>
      </c>
      <c r="BB85">
        <v>0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-0.27443699999999999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7.7372999999999999E-3</v>
      </c>
      <c r="CG85">
        <v>0.48688599999999999</v>
      </c>
      <c r="CH85">
        <v>0.17689299999999999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-0.92103449999999998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0.23705789999999999</v>
      </c>
      <c r="DI85">
        <v>0.84830459999999996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0.13632810000000001</v>
      </c>
      <c r="DW85">
        <v>-0.2578897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13.89518</v>
      </c>
      <c r="EW85">
        <v>7.1153999999999995E-2</v>
      </c>
      <c r="EX85">
        <v>7.1755899999999997E-2</v>
      </c>
      <c r="EY85">
        <v>7.1581099999999995E-2</v>
      </c>
      <c r="EZ85">
        <v>7.1491899999999997E-2</v>
      </c>
      <c r="FA85">
        <v>7.1233000000000005E-2</v>
      </c>
      <c r="FB85">
        <v>7.1124699999999999E-2</v>
      </c>
      <c r="FC85">
        <v>7.1795499999999998E-2</v>
      </c>
      <c r="FD85">
        <v>7.1490600000000001E-2</v>
      </c>
      <c r="FE85">
        <v>7.1230600000000005E-2</v>
      </c>
      <c r="FF85">
        <v>7.1885699999999997E-2</v>
      </c>
      <c r="FG85">
        <v>7.1780399999999994E-2</v>
      </c>
      <c r="FH85">
        <v>7.0926500000000003E-2</v>
      </c>
      <c r="FI85">
        <v>7.0952600000000005E-2</v>
      </c>
      <c r="FJ85">
        <v>7.1597499999999994E-2</v>
      </c>
      <c r="FK85">
        <v>0.3109209</v>
      </c>
      <c r="FL85">
        <v>9.6671800000000002E-2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0.76149279999999997</v>
      </c>
      <c r="FZ85">
        <v>-1.059196</v>
      </c>
      <c r="GA85">
        <v>-0.7970043</v>
      </c>
      <c r="GB85">
        <v>0.50742699999999996</v>
      </c>
      <c r="GC85">
        <v>-0.48908659999999998</v>
      </c>
      <c r="GD85">
        <v>-0.65764650000000002</v>
      </c>
      <c r="GE85">
        <v>-0.58174320000000002</v>
      </c>
      <c r="GF85">
        <v>1.311728</v>
      </c>
      <c r="GG85">
        <v>2.252821</v>
      </c>
      <c r="GH85">
        <v>-1.229171</v>
      </c>
      <c r="GI85">
        <v>1.510861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8.7057800000000005E-2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-0.34416780000000002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96.289910000000006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35.200000000000003</v>
      </c>
      <c r="OD85">
        <v>18265</v>
      </c>
      <c r="OE85">
        <v>0.76</v>
      </c>
      <c r="OF85">
        <v>30.268899999999999</v>
      </c>
      <c r="OG85">
        <v>27.2</v>
      </c>
      <c r="OH85">
        <v>68.563000000000002</v>
      </c>
    </row>
    <row r="86" spans="1:398">
      <c r="A86">
        <v>8</v>
      </c>
      <c r="B86" t="s">
        <v>38</v>
      </c>
      <c r="C86" t="s">
        <v>37</v>
      </c>
      <c r="D86">
        <v>2017</v>
      </c>
      <c r="E86">
        <v>28.867000000000001</v>
      </c>
      <c r="F86">
        <v>0.55489999999999995</v>
      </c>
      <c r="G86">
        <v>414</v>
      </c>
      <c r="H86">
        <v>28.2</v>
      </c>
      <c r="I86">
        <v>85.7</v>
      </c>
      <c r="J86">
        <v>12.5</v>
      </c>
      <c r="K86">
        <v>947.8</v>
      </c>
      <c r="L86">
        <v>0.7</v>
      </c>
      <c r="M86">
        <v>2</v>
      </c>
      <c r="N86">
        <v>12372</v>
      </c>
      <c r="O86">
        <v>0</v>
      </c>
      <c r="P86">
        <v>1.2</v>
      </c>
      <c r="Q86">
        <v>10611.7</v>
      </c>
      <c r="R86">
        <v>20.9</v>
      </c>
      <c r="S86">
        <v>0.301369</v>
      </c>
      <c r="T86">
        <v>1.285984</v>
      </c>
      <c r="U86">
        <v>-1.1239790000000001</v>
      </c>
      <c r="V86">
        <v>-0.69830230000000004</v>
      </c>
      <c r="W86">
        <v>-0.41008990000000001</v>
      </c>
      <c r="X86">
        <v>0.36852750000000001</v>
      </c>
      <c r="Y86">
        <v>0.68004419999999999</v>
      </c>
      <c r="Z86">
        <v>-0.49946069999999998</v>
      </c>
      <c r="AA86">
        <v>8.3346600000000007E-2</v>
      </c>
      <c r="AB86">
        <v>0.33847840000000001</v>
      </c>
      <c r="AC86">
        <v>-0.6537809</v>
      </c>
      <c r="AD86">
        <v>1.311728</v>
      </c>
      <c r="AE86">
        <v>0.96214259999999996</v>
      </c>
      <c r="AF86">
        <v>-0.91048010000000001</v>
      </c>
      <c r="AG86">
        <v>-0.63382640000000001</v>
      </c>
      <c r="AH86">
        <v>-1.0530280000000001</v>
      </c>
      <c r="AI86">
        <v>3.3626990000000001</v>
      </c>
      <c r="AJ86">
        <v>-0.58896740000000003</v>
      </c>
      <c r="AK86">
        <v>6.0258659999999997</v>
      </c>
      <c r="AL86">
        <v>4.4508530000000004</v>
      </c>
      <c r="AM86">
        <v>2.5257290000000001</v>
      </c>
      <c r="AN86">
        <v>6.8541439999999998</v>
      </c>
      <c r="AO86">
        <v>9.4231909999999992</v>
      </c>
      <c r="AP86">
        <v>0.1823216</v>
      </c>
      <c r="AQ86">
        <v>9.2697099999999999</v>
      </c>
      <c r="AR86">
        <v>3.4280300000000001</v>
      </c>
      <c r="AS86">
        <v>3.31419</v>
      </c>
      <c r="AT86">
        <v>9.8663500000000006</v>
      </c>
      <c r="AU86">
        <v>68.716999999999999</v>
      </c>
      <c r="AV86">
        <v>144.636</v>
      </c>
      <c r="AW86">
        <v>6.3189299999999999</v>
      </c>
      <c r="AX86" s="17">
        <v>1700000000</v>
      </c>
      <c r="AY86">
        <v>3.58352</v>
      </c>
      <c r="AZ86">
        <v>0.27</v>
      </c>
      <c r="BB86">
        <v>-0.69314717999999997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-0.823743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7.7739000000000003E-3</v>
      </c>
      <c r="CG86">
        <v>0.48199789999999998</v>
      </c>
      <c r="CH86">
        <v>0.16950599999999999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-1.108061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0.2323219</v>
      </c>
      <c r="DI86">
        <v>1.2277990000000001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0.13013939999999999</v>
      </c>
      <c r="DW86">
        <v>-0.29917640000000001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13.897740000000001</v>
      </c>
      <c r="EW86">
        <v>7.1047399999999997E-2</v>
      </c>
      <c r="EX86">
        <v>7.17806E-2</v>
      </c>
      <c r="EY86">
        <v>7.1544099999999999E-2</v>
      </c>
      <c r="EZ86">
        <v>7.1476999999999999E-2</v>
      </c>
      <c r="FA86">
        <v>7.1242899999999998E-2</v>
      </c>
      <c r="FB86">
        <v>7.1087300000000006E-2</v>
      </c>
      <c r="FC86">
        <v>7.1793800000000005E-2</v>
      </c>
      <c r="FD86">
        <v>7.1407600000000002E-2</v>
      </c>
      <c r="FE86">
        <v>7.1185999999999999E-2</v>
      </c>
      <c r="FF86">
        <v>7.1867500000000001E-2</v>
      </c>
      <c r="FG86">
        <v>7.1807399999999993E-2</v>
      </c>
      <c r="FH86">
        <v>7.0929699999999998E-2</v>
      </c>
      <c r="FI86">
        <v>7.1210700000000002E-2</v>
      </c>
      <c r="FJ86">
        <v>7.1618000000000001E-2</v>
      </c>
      <c r="FK86">
        <v>0.30049199999999998</v>
      </c>
      <c r="FL86">
        <v>9.0295399999999998E-2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1.285984</v>
      </c>
      <c r="FZ86">
        <v>-1.1239790000000001</v>
      </c>
      <c r="GA86">
        <v>-0.69830230000000004</v>
      </c>
      <c r="GB86">
        <v>0.36852750000000001</v>
      </c>
      <c r="GC86">
        <v>-0.49946069999999998</v>
      </c>
      <c r="GD86">
        <v>-0.6537809</v>
      </c>
      <c r="GE86">
        <v>-0.63382640000000001</v>
      </c>
      <c r="GF86">
        <v>1.311728</v>
      </c>
      <c r="GG86">
        <v>0.96214259999999996</v>
      </c>
      <c r="GH86">
        <v>-1.347445</v>
      </c>
      <c r="GI86">
        <v>1.8156080000000001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8.1132800000000005E-2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-0.36381010000000003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97.344790000000003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36</v>
      </c>
      <c r="OD86">
        <v>19270.8</v>
      </c>
      <c r="OE86">
        <v>0</v>
      </c>
      <c r="OF86">
        <v>30.815999999999999</v>
      </c>
      <c r="OG86">
        <v>27.5</v>
      </c>
      <c r="OH86">
        <v>68.716999999999999</v>
      </c>
    </row>
    <row r="87" spans="1:398">
      <c r="A87">
        <v>8</v>
      </c>
      <c r="B87" t="s">
        <v>38</v>
      </c>
      <c r="C87" t="s">
        <v>37</v>
      </c>
      <c r="D87">
        <v>2018</v>
      </c>
      <c r="E87">
        <v>30.579000000000001</v>
      </c>
      <c r="F87">
        <v>0.55489999999999995</v>
      </c>
      <c r="G87">
        <v>445</v>
      </c>
      <c r="H87">
        <v>28</v>
      </c>
      <c r="I87">
        <v>85.7</v>
      </c>
      <c r="J87">
        <v>13.8</v>
      </c>
      <c r="K87">
        <v>818.2</v>
      </c>
      <c r="L87">
        <v>0.8</v>
      </c>
      <c r="M87">
        <v>2.1</v>
      </c>
      <c r="N87">
        <v>13829</v>
      </c>
      <c r="O87">
        <v>-1</v>
      </c>
      <c r="P87">
        <v>1.19</v>
      </c>
      <c r="Q87">
        <v>7940.99</v>
      </c>
      <c r="R87">
        <v>23.4</v>
      </c>
      <c r="S87">
        <v>0.30198399999999997</v>
      </c>
      <c r="T87">
        <v>1.4939830000000001</v>
      </c>
      <c r="U87">
        <v>-1.1239790000000001</v>
      </c>
      <c r="V87">
        <v>-0.46293590000000001</v>
      </c>
      <c r="W87">
        <v>-0.42296460000000002</v>
      </c>
      <c r="X87">
        <v>0.36852750000000001</v>
      </c>
      <c r="Y87">
        <v>0.88821450000000002</v>
      </c>
      <c r="Z87">
        <v>-0.51637230000000001</v>
      </c>
      <c r="AA87">
        <v>0.361481</v>
      </c>
      <c r="AB87">
        <v>0.47040490000000001</v>
      </c>
      <c r="AC87">
        <v>-0.64604430000000002</v>
      </c>
      <c r="AD87">
        <v>1.262724</v>
      </c>
      <c r="AE87">
        <v>8.2262600000000005E-2</v>
      </c>
      <c r="AF87">
        <v>-0.7787849</v>
      </c>
      <c r="AG87">
        <v>-0.68590960000000001</v>
      </c>
      <c r="AH87">
        <v>-0.96577120000000005</v>
      </c>
      <c r="AI87">
        <v>3.4203139999999999</v>
      </c>
      <c r="AJ87">
        <v>-0.58896740000000003</v>
      </c>
      <c r="AK87">
        <v>6.0980740000000004</v>
      </c>
      <c r="AL87">
        <v>4.4508530000000004</v>
      </c>
      <c r="AM87">
        <v>2.6246689999999999</v>
      </c>
      <c r="AN87">
        <v>6.7071069999999997</v>
      </c>
      <c r="AO87">
        <v>9.5345230000000001</v>
      </c>
      <c r="AP87">
        <v>0.17395340000000001</v>
      </c>
      <c r="AQ87">
        <v>8.9797940000000001</v>
      </c>
      <c r="AR87">
        <v>3.4315099999999998</v>
      </c>
      <c r="AS87">
        <v>3.3534099999999998</v>
      </c>
      <c r="AT87">
        <v>9.8991900000000008</v>
      </c>
      <c r="AU87">
        <v>68.88</v>
      </c>
      <c r="AV87">
        <v>143.48500000000001</v>
      </c>
      <c r="AW87">
        <v>4.0801600000000002</v>
      </c>
      <c r="AX87" s="17">
        <v>1300000000</v>
      </c>
      <c r="AY87">
        <v>3.58629</v>
      </c>
      <c r="AZ87">
        <v>0.28000000000000003</v>
      </c>
      <c r="BB87">
        <v>-1.3862943999999999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-1.3730500000000001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7.6503999999999999E-3</v>
      </c>
      <c r="CG87">
        <v>0.48477360000000003</v>
      </c>
      <c r="CH87">
        <v>0.17077200000000001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-1.0932090000000001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0.2350054</v>
      </c>
      <c r="DI87">
        <v>1.195106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0.13573660000000001</v>
      </c>
      <c r="DW87">
        <v>-0.3060986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13.89777</v>
      </c>
      <c r="EW87">
        <v>7.1020299999999995E-2</v>
      </c>
      <c r="EX87">
        <v>7.1780700000000003E-2</v>
      </c>
      <c r="EY87">
        <v>7.1486999999999995E-2</v>
      </c>
      <c r="EZ87">
        <v>7.1482799999999999E-2</v>
      </c>
      <c r="FA87">
        <v>7.1249800000000002E-2</v>
      </c>
      <c r="FB87">
        <v>7.1026199999999998E-2</v>
      </c>
      <c r="FC87">
        <v>7.1812500000000001E-2</v>
      </c>
      <c r="FD87">
        <v>7.13424E-2</v>
      </c>
      <c r="FE87">
        <v>7.1156399999999995E-2</v>
      </c>
      <c r="FF87">
        <v>7.1857500000000005E-2</v>
      </c>
      <c r="FG87">
        <v>7.1849999999999997E-2</v>
      </c>
      <c r="FH87">
        <v>7.09563E-2</v>
      </c>
      <c r="FI87">
        <v>7.1415300000000001E-2</v>
      </c>
      <c r="FJ87">
        <v>7.1562799999999996E-2</v>
      </c>
      <c r="FK87">
        <v>0.3011337</v>
      </c>
      <c r="FL87">
        <v>9.0681499999999998E-2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1.4939830000000001</v>
      </c>
      <c r="FZ87">
        <v>-1.1239790000000001</v>
      </c>
      <c r="GA87">
        <v>-0.46293590000000001</v>
      </c>
      <c r="GB87">
        <v>0.36852750000000001</v>
      </c>
      <c r="GC87">
        <v>-0.51637230000000001</v>
      </c>
      <c r="GD87">
        <v>-0.64604430000000002</v>
      </c>
      <c r="GE87">
        <v>-0.68590960000000001</v>
      </c>
      <c r="GF87">
        <v>1.262724</v>
      </c>
      <c r="GG87">
        <v>8.2262600000000005E-2</v>
      </c>
      <c r="GH87">
        <v>-1.2459789999999999</v>
      </c>
      <c r="GI87">
        <v>1.5524640000000001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8.4317400000000001E-2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-0.34887420000000002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97.994029999999995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36.1</v>
      </c>
      <c r="OD87">
        <v>19914.3</v>
      </c>
      <c r="OE87">
        <v>0</v>
      </c>
      <c r="OF87">
        <v>30.923400000000001</v>
      </c>
      <c r="OG87">
        <v>28.6</v>
      </c>
      <c r="OH87">
        <v>68.88</v>
      </c>
    </row>
    <row r="88" spans="1:398">
      <c r="A88">
        <v>8</v>
      </c>
      <c r="B88" t="s">
        <v>38</v>
      </c>
      <c r="C88" t="s">
        <v>37</v>
      </c>
      <c r="D88">
        <v>2019</v>
      </c>
      <c r="E88">
        <v>28.675999999999998</v>
      </c>
      <c r="F88">
        <v>0.64059999999999995</v>
      </c>
      <c r="G88">
        <v>433</v>
      </c>
      <c r="H88">
        <v>30.8</v>
      </c>
      <c r="I88">
        <v>80.599999999999994</v>
      </c>
      <c r="J88">
        <v>15.3</v>
      </c>
      <c r="K88">
        <v>462.9</v>
      </c>
      <c r="L88">
        <v>0.7</v>
      </c>
      <c r="M88">
        <v>2</v>
      </c>
      <c r="N88">
        <v>13343</v>
      </c>
      <c r="O88">
        <v>-2</v>
      </c>
      <c r="P88">
        <v>1.22</v>
      </c>
      <c r="Q88">
        <v>5270.32</v>
      </c>
      <c r="R88">
        <v>24.4</v>
      </c>
      <c r="S88">
        <v>0.28465600000000002</v>
      </c>
      <c r="T88">
        <v>1.2627790000000001</v>
      </c>
      <c r="U88">
        <v>-1.0417289999999999</v>
      </c>
      <c r="V88">
        <v>-0.55404549999999997</v>
      </c>
      <c r="W88">
        <v>-0.24272050000000001</v>
      </c>
      <c r="X88">
        <v>-0.33985959999999998</v>
      </c>
      <c r="Y88">
        <v>1.1284110000000001</v>
      </c>
      <c r="Z88">
        <v>-0.56273589999999996</v>
      </c>
      <c r="AA88">
        <v>8.3346600000000007E-2</v>
      </c>
      <c r="AB88">
        <v>0.33847840000000001</v>
      </c>
      <c r="AC88">
        <v>-0.64862489999999995</v>
      </c>
      <c r="AD88">
        <v>1.4097360000000001</v>
      </c>
      <c r="AE88">
        <v>-0.79761740000000003</v>
      </c>
      <c r="AF88">
        <v>-0.72610680000000005</v>
      </c>
      <c r="AG88">
        <v>-0.73799289999999995</v>
      </c>
      <c r="AH88">
        <v>-0.80702280000000004</v>
      </c>
      <c r="AI88">
        <v>3.356061</v>
      </c>
      <c r="AJ88">
        <v>-0.44535000000000002</v>
      </c>
      <c r="AK88">
        <v>6.0707380000000004</v>
      </c>
      <c r="AL88">
        <v>4.3894989999999998</v>
      </c>
      <c r="AM88">
        <v>2.7278530000000001</v>
      </c>
      <c r="AN88">
        <v>6.1375109999999999</v>
      </c>
      <c r="AO88">
        <v>9.4987469999999998</v>
      </c>
      <c r="AP88">
        <v>0.1988509</v>
      </c>
      <c r="AQ88">
        <v>8.5698460000000001</v>
      </c>
      <c r="AR88">
        <v>3.4352299999999998</v>
      </c>
      <c r="AS88">
        <v>3.4436200000000001</v>
      </c>
      <c r="AT88">
        <v>9.9320699999999995</v>
      </c>
      <c r="AU88">
        <v>69.051000000000002</v>
      </c>
      <c r="AV88">
        <v>140.352</v>
      </c>
      <c r="AW88">
        <v>9.7681900000000006</v>
      </c>
      <c r="AX88" s="17">
        <v>3100000000</v>
      </c>
      <c r="AY88">
        <v>3.6136200000000001</v>
      </c>
      <c r="AZ88">
        <v>0.26</v>
      </c>
      <c r="BB88">
        <v>-2.0794415000000002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-1.9223600000000001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8.4743000000000006E-3</v>
      </c>
      <c r="CG88">
        <v>0.46258579999999999</v>
      </c>
      <c r="CH88">
        <v>0.164329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-1.060532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0.2139856</v>
      </c>
      <c r="DI88">
        <v>1.124728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0.1202723</v>
      </c>
      <c r="DW88">
        <v>-0.27573829999999999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13.903779999999999</v>
      </c>
      <c r="EW88">
        <v>7.10451E-2</v>
      </c>
      <c r="EX88">
        <v>7.1703100000000006E-2</v>
      </c>
      <c r="EY88">
        <v>7.1481299999999998E-2</v>
      </c>
      <c r="EZ88">
        <v>7.1412199999999995E-2</v>
      </c>
      <c r="FA88">
        <v>7.1305800000000003E-2</v>
      </c>
      <c r="FB88">
        <v>7.0929400000000004E-2</v>
      </c>
      <c r="FC88">
        <v>7.1835800000000005E-2</v>
      </c>
      <c r="FD88">
        <v>7.1385000000000004E-2</v>
      </c>
      <c r="FE88">
        <v>7.1171999999999999E-2</v>
      </c>
      <c r="FF88">
        <v>7.1829799999999999E-2</v>
      </c>
      <c r="FG88">
        <v>7.1865600000000002E-2</v>
      </c>
      <c r="FH88">
        <v>7.0907600000000001E-2</v>
      </c>
      <c r="FI88">
        <v>7.1615200000000004E-2</v>
      </c>
      <c r="FJ88">
        <v>7.1512099999999995E-2</v>
      </c>
      <c r="FK88">
        <v>0.28376770000000001</v>
      </c>
      <c r="FL88">
        <v>8.0524100000000001E-2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1.2627790000000001</v>
      </c>
      <c r="FZ88">
        <v>-1.0417289999999999</v>
      </c>
      <c r="GA88">
        <v>-0.55404549999999997</v>
      </c>
      <c r="GB88">
        <v>-0.33985959999999998</v>
      </c>
      <c r="GC88">
        <v>-0.56273589999999996</v>
      </c>
      <c r="GD88">
        <v>-0.64862489999999995</v>
      </c>
      <c r="GE88">
        <v>-0.73799289999999995</v>
      </c>
      <c r="GF88">
        <v>1.4097360000000001</v>
      </c>
      <c r="GG88">
        <v>-0.79761740000000003</v>
      </c>
      <c r="GH88">
        <v>-1.020826</v>
      </c>
      <c r="GI88">
        <v>1.042087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7.3779600000000001E-2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-0.26541490000000001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98.646010000000004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37.1</v>
      </c>
      <c r="OD88">
        <v>20579.900000000001</v>
      </c>
      <c r="OE88">
        <v>0</v>
      </c>
      <c r="OF88">
        <v>31.038499999999999</v>
      </c>
      <c r="OG88">
        <v>31.3</v>
      </c>
      <c r="OH88">
        <v>69.051000000000002</v>
      </c>
    </row>
    <row r="89" spans="1:398">
      <c r="A89">
        <v>8</v>
      </c>
      <c r="B89" t="s">
        <v>38</v>
      </c>
      <c r="C89" t="s">
        <v>37</v>
      </c>
      <c r="D89">
        <v>2020</v>
      </c>
      <c r="E89">
        <v>28.366</v>
      </c>
      <c r="F89">
        <v>0.66400000000000003</v>
      </c>
      <c r="G89">
        <v>398</v>
      </c>
      <c r="H89">
        <v>28.9</v>
      </c>
      <c r="I89">
        <v>81.599999999999994</v>
      </c>
      <c r="J89">
        <v>16.399999999999999</v>
      </c>
      <c r="K89">
        <v>1789.7</v>
      </c>
      <c r="L89">
        <v>0.7</v>
      </c>
      <c r="M89">
        <v>2.1</v>
      </c>
      <c r="N89">
        <v>13810</v>
      </c>
      <c r="O89">
        <v>-3</v>
      </c>
      <c r="P89">
        <v>1.19</v>
      </c>
      <c r="Q89">
        <v>2599.64</v>
      </c>
      <c r="R89">
        <v>26.7</v>
      </c>
      <c r="S89">
        <v>0.27082600000000001</v>
      </c>
      <c r="T89">
        <v>1.225115</v>
      </c>
      <c r="U89">
        <v>-1.019271</v>
      </c>
      <c r="V89">
        <v>-0.8197818</v>
      </c>
      <c r="W89">
        <v>-0.36502899999999999</v>
      </c>
      <c r="X89">
        <v>-0.20096020000000001</v>
      </c>
      <c r="Y89">
        <v>1.3045549999999999</v>
      </c>
      <c r="Z89">
        <v>-0.38960020000000001</v>
      </c>
      <c r="AA89">
        <v>8.3346600000000007E-2</v>
      </c>
      <c r="AB89">
        <v>0.47040490000000001</v>
      </c>
      <c r="AC89">
        <v>-0.64614519999999998</v>
      </c>
      <c r="AD89">
        <v>1.262724</v>
      </c>
      <c r="AE89">
        <v>-1.677497</v>
      </c>
      <c r="AF89">
        <v>-0.60494700000000001</v>
      </c>
      <c r="AG89">
        <v>-0.79007609999999995</v>
      </c>
      <c r="AH89">
        <v>-0.82735749999999997</v>
      </c>
      <c r="AI89">
        <v>3.3451909999999998</v>
      </c>
      <c r="AJ89">
        <v>-0.40947319999999998</v>
      </c>
      <c r="AK89">
        <v>5.9864519999999999</v>
      </c>
      <c r="AL89">
        <v>4.4018290000000002</v>
      </c>
      <c r="AM89">
        <v>2.7972809999999999</v>
      </c>
      <c r="AN89">
        <v>7.4898030000000002</v>
      </c>
      <c r="AO89">
        <v>9.5331480000000006</v>
      </c>
      <c r="AP89">
        <v>0.17395340000000001</v>
      </c>
      <c r="AQ89">
        <v>7.8631289999999998</v>
      </c>
      <c r="AR89">
        <v>3.4372099999999999</v>
      </c>
      <c r="AS89">
        <v>3.6988300000000001</v>
      </c>
      <c r="AT89">
        <v>9.9008299999999991</v>
      </c>
      <c r="AU89">
        <v>69.228999999999999</v>
      </c>
      <c r="AV89">
        <v>137.393</v>
      </c>
      <c r="AW89">
        <v>12.014799999999999</v>
      </c>
      <c r="AX89" s="17">
        <v>3800000000</v>
      </c>
      <c r="AY89">
        <v>3.6269999999999998</v>
      </c>
      <c r="AZ89">
        <v>0.28000000000000003</v>
      </c>
      <c r="BB89">
        <v>-2.7725887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-2.47166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7.8098000000000004E-3</v>
      </c>
      <c r="CG89">
        <v>0.43921399999999999</v>
      </c>
      <c r="CH89">
        <v>0.16451099999999999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-1.1121730000000001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0.192909</v>
      </c>
      <c r="DI89">
        <v>1.236928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0.1229799</v>
      </c>
      <c r="DW89">
        <v>-0.31140839999999997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13.90673</v>
      </c>
      <c r="EW89">
        <v>7.1048100000000003E-2</v>
      </c>
      <c r="EX89">
        <v>7.1676100000000006E-2</v>
      </c>
      <c r="EY89">
        <v>7.1535899999999999E-2</v>
      </c>
      <c r="EZ89">
        <v>7.1429000000000006E-2</v>
      </c>
      <c r="FA89">
        <v>7.1279899999999993E-2</v>
      </c>
      <c r="FB89">
        <v>7.0874000000000006E-2</v>
      </c>
      <c r="FC89">
        <v>7.1637599999999996E-2</v>
      </c>
      <c r="FD89">
        <v>7.1373699999999998E-2</v>
      </c>
      <c r="FE89">
        <v>7.1127800000000005E-2</v>
      </c>
      <c r="FF89">
        <v>7.18115E-2</v>
      </c>
      <c r="FG89">
        <v>7.1907600000000002E-2</v>
      </c>
      <c r="FH89">
        <v>7.0940299999999998E-2</v>
      </c>
      <c r="FI89">
        <v>7.1907600000000002E-2</v>
      </c>
      <c r="FJ89">
        <v>7.1450700000000006E-2</v>
      </c>
      <c r="FK89">
        <v>0.26987070000000002</v>
      </c>
      <c r="FL89">
        <v>7.2830199999999998E-2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1.225115</v>
      </c>
      <c r="FZ89">
        <v>-1.019271</v>
      </c>
      <c r="GA89">
        <v>-0.8197818</v>
      </c>
      <c r="GB89">
        <v>-0.20096020000000001</v>
      </c>
      <c r="GC89">
        <v>-0.38960020000000001</v>
      </c>
      <c r="GD89">
        <v>-0.64614519999999998</v>
      </c>
      <c r="GE89">
        <v>-0.79007609999999995</v>
      </c>
      <c r="GF89">
        <v>1.262724</v>
      </c>
      <c r="GG89">
        <v>-1.677497</v>
      </c>
      <c r="GH89">
        <v>-1.0790420000000001</v>
      </c>
      <c r="GI89">
        <v>1.164331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7.55638E-2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-0.3021317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98.026420000000002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37.6</v>
      </c>
      <c r="OD89">
        <v>19946.900000000001</v>
      </c>
      <c r="OE89">
        <v>0</v>
      </c>
      <c r="OF89">
        <v>31.099900000000002</v>
      </c>
      <c r="OG89">
        <v>40.4</v>
      </c>
      <c r="OH89">
        <v>69.228999999999999</v>
      </c>
    </row>
    <row r="90" spans="1:398">
      <c r="A90">
        <v>9</v>
      </c>
      <c r="B90" t="s">
        <v>36</v>
      </c>
      <c r="C90" t="s">
        <v>35</v>
      </c>
      <c r="D90">
        <v>2010</v>
      </c>
      <c r="E90">
        <v>18.785</v>
      </c>
      <c r="F90">
        <v>1.1411</v>
      </c>
      <c r="G90">
        <v>390</v>
      </c>
      <c r="H90">
        <v>17.100000000000001</v>
      </c>
      <c r="I90">
        <v>98</v>
      </c>
      <c r="J90">
        <v>2.5</v>
      </c>
      <c r="K90">
        <v>19.3</v>
      </c>
      <c r="L90">
        <v>0.1</v>
      </c>
      <c r="M90">
        <v>1.1000000000000001</v>
      </c>
      <c r="N90">
        <v>75071</v>
      </c>
      <c r="O90">
        <v>1.29</v>
      </c>
      <c r="P90">
        <v>0.92</v>
      </c>
      <c r="Q90">
        <v>9565.65</v>
      </c>
      <c r="R90">
        <v>23.2</v>
      </c>
      <c r="S90">
        <v>0.216338</v>
      </c>
      <c r="T90">
        <v>6.1077699999999999E-2</v>
      </c>
      <c r="U90">
        <v>-0.56137389999999998</v>
      </c>
      <c r="V90">
        <v>-0.88052149999999996</v>
      </c>
      <c r="W90">
        <v>-1.1246290000000001</v>
      </c>
      <c r="X90">
        <v>2.0769920000000002</v>
      </c>
      <c r="Y90">
        <v>-0.92126509999999995</v>
      </c>
      <c r="Z90">
        <v>-0.62062170000000005</v>
      </c>
      <c r="AA90">
        <v>-1.585459</v>
      </c>
      <c r="AB90">
        <v>-0.84886099999999998</v>
      </c>
      <c r="AC90">
        <v>-0.32085069999999999</v>
      </c>
      <c r="AD90">
        <v>-6.0388900000000002E-2</v>
      </c>
      <c r="AE90">
        <v>0.61752039999999997</v>
      </c>
      <c r="AF90">
        <v>-0.78932040000000003</v>
      </c>
      <c r="AG90">
        <v>-0.566639</v>
      </c>
      <c r="AH90">
        <v>-2.395181</v>
      </c>
      <c r="AI90">
        <v>2.9330590000000001</v>
      </c>
      <c r="AJ90">
        <v>0.13199279999999999</v>
      </c>
      <c r="AK90">
        <v>5.9661470000000003</v>
      </c>
      <c r="AL90">
        <v>4.5849679999999999</v>
      </c>
      <c r="AM90">
        <v>0.91629079999999996</v>
      </c>
      <c r="AN90">
        <v>2.960105</v>
      </c>
      <c r="AO90">
        <v>11.226190000000001</v>
      </c>
      <c r="AP90">
        <v>-8.33816E-2</v>
      </c>
      <c r="AQ90">
        <v>9.165934</v>
      </c>
      <c r="AR90">
        <v>4.4575800000000001</v>
      </c>
      <c r="AS90">
        <v>2.4336099999999998</v>
      </c>
      <c r="AT90">
        <v>9.9780200000000008</v>
      </c>
      <c r="AU90">
        <v>76.292000000000002</v>
      </c>
      <c r="AV90">
        <v>50.922499999999999</v>
      </c>
      <c r="AW90">
        <v>0.179789</v>
      </c>
      <c r="AX90" s="17">
        <v>530000000</v>
      </c>
      <c r="AY90">
        <v>3.4011999999999998</v>
      </c>
      <c r="AZ90">
        <v>0.63</v>
      </c>
      <c r="BA90">
        <v>0.25464219999999999</v>
      </c>
      <c r="BB90">
        <v>0.25464218999999999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-2.12026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4.0771999999999996E-3</v>
      </c>
      <c r="CG90">
        <v>0.40303600000000001</v>
      </c>
      <c r="CH90">
        <v>0.11446199999999999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-2.405951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0.162438</v>
      </c>
      <c r="DI90">
        <v>5.7885980000000004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0.25391269999999999</v>
      </c>
      <c r="DW90">
        <v>-1.515749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13.92525</v>
      </c>
      <c r="EW90">
        <v>7.1191699999999997E-2</v>
      </c>
      <c r="EX90">
        <v>7.1358599999999994E-2</v>
      </c>
      <c r="EY90">
        <v>7.1458300000000002E-2</v>
      </c>
      <c r="EZ90">
        <v>7.1529099999999998E-2</v>
      </c>
      <c r="FA90">
        <v>7.0951799999999995E-2</v>
      </c>
      <c r="FB90">
        <v>7.1667599999999998E-2</v>
      </c>
      <c r="FC90">
        <v>7.1806800000000004E-2</v>
      </c>
      <c r="FD90">
        <v>7.1812000000000001E-2</v>
      </c>
      <c r="FE90">
        <v>7.1453799999999998E-2</v>
      </c>
      <c r="FF90">
        <v>7.1388300000000002E-2</v>
      </c>
      <c r="FG90">
        <v>7.1615300000000007E-2</v>
      </c>
      <c r="FH90">
        <v>7.11759E-2</v>
      </c>
      <c r="FI90">
        <v>7.1158799999999994E-2</v>
      </c>
      <c r="FJ90">
        <v>7.1432200000000001E-2</v>
      </c>
      <c r="FK90">
        <v>0.2157287</v>
      </c>
      <c r="FL90">
        <v>4.6538900000000001E-2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6.1077699999999999E-2</v>
      </c>
      <c r="FZ90">
        <v>-0.56137389999999998</v>
      </c>
      <c r="GA90">
        <v>-0.88052149999999996</v>
      </c>
      <c r="GB90">
        <v>2.0769920000000002</v>
      </c>
      <c r="GC90">
        <v>-0.62062170000000005</v>
      </c>
      <c r="GD90">
        <v>-0.32085069999999999</v>
      </c>
      <c r="GE90">
        <v>-0.566639</v>
      </c>
      <c r="GF90">
        <v>-6.0388900000000002E-2</v>
      </c>
      <c r="GG90">
        <v>0.61752039999999997</v>
      </c>
      <c r="GH90">
        <v>-3.299242</v>
      </c>
      <c r="GI90">
        <v>10.885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0.1359091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-2.078522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99.560950000000005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30</v>
      </c>
      <c r="OD90">
        <v>21547.7</v>
      </c>
      <c r="OE90">
        <v>0.12</v>
      </c>
      <c r="OF90">
        <v>86.278800000000004</v>
      </c>
      <c r="OG90">
        <v>11.4</v>
      </c>
      <c r="OH90">
        <v>76.292000000000002</v>
      </c>
    </row>
    <row r="91" spans="1:398">
      <c r="A91">
        <v>9</v>
      </c>
      <c r="B91" t="s">
        <v>36</v>
      </c>
      <c r="C91" t="s">
        <v>35</v>
      </c>
      <c r="D91">
        <v>2011</v>
      </c>
      <c r="E91">
        <v>16.914000000000001</v>
      </c>
      <c r="F91">
        <v>1.1249</v>
      </c>
      <c r="G91">
        <v>405</v>
      </c>
      <c r="H91">
        <v>17.8</v>
      </c>
      <c r="I91">
        <v>90.9</v>
      </c>
      <c r="J91">
        <v>2</v>
      </c>
      <c r="K91">
        <v>37.200000000000003</v>
      </c>
      <c r="L91">
        <v>0.1</v>
      </c>
      <c r="M91">
        <v>0.9</v>
      </c>
      <c r="N91">
        <v>70588</v>
      </c>
      <c r="O91">
        <v>1.2175</v>
      </c>
      <c r="P91">
        <v>0.91</v>
      </c>
      <c r="Q91">
        <v>8901.4599999999991</v>
      </c>
      <c r="R91">
        <v>24.2</v>
      </c>
      <c r="S91">
        <v>0.20152</v>
      </c>
      <c r="T91">
        <v>-0.16623830000000001</v>
      </c>
      <c r="U91">
        <v>-0.57692189999999999</v>
      </c>
      <c r="V91">
        <v>-0.7666345</v>
      </c>
      <c r="W91">
        <v>-1.0795680000000001</v>
      </c>
      <c r="X91">
        <v>1.090805</v>
      </c>
      <c r="Y91">
        <v>-1.0013300000000001</v>
      </c>
      <c r="Z91">
        <v>-0.61828590000000005</v>
      </c>
      <c r="AA91">
        <v>-1.585459</v>
      </c>
      <c r="AB91">
        <v>-1.112714</v>
      </c>
      <c r="AC91">
        <v>-0.3446553</v>
      </c>
      <c r="AD91">
        <v>-0.109393</v>
      </c>
      <c r="AE91">
        <v>0.39869710000000003</v>
      </c>
      <c r="AF91">
        <v>-0.73664229999999997</v>
      </c>
      <c r="AG91">
        <v>-0.57041509999999995</v>
      </c>
      <c r="AH91">
        <v>-2.299156</v>
      </c>
      <c r="AI91">
        <v>2.8281420000000002</v>
      </c>
      <c r="AJ91">
        <v>0.1176941</v>
      </c>
      <c r="AK91">
        <v>6.0038869999999998</v>
      </c>
      <c r="AL91">
        <v>4.50976</v>
      </c>
      <c r="AM91">
        <v>0.69314719999999996</v>
      </c>
      <c r="AN91">
        <v>3.6163090000000002</v>
      </c>
      <c r="AO91">
        <v>11.164619999999999</v>
      </c>
      <c r="AP91">
        <v>-9.4310599999999994E-2</v>
      </c>
      <c r="AQ91">
        <v>9.0939700000000006</v>
      </c>
      <c r="AR91">
        <v>4.4561099999999998</v>
      </c>
      <c r="AS91">
        <v>2.4336099999999998</v>
      </c>
      <c r="AT91">
        <v>9.8755100000000002</v>
      </c>
      <c r="AU91">
        <v>76.649000000000001</v>
      </c>
      <c r="AV91">
        <v>56.292999999999999</v>
      </c>
      <c r="AW91">
        <v>0.38562299999999999</v>
      </c>
      <c r="AX91" s="17">
        <v>1100000000</v>
      </c>
      <c r="AY91">
        <v>3.4499900000000001</v>
      </c>
      <c r="AZ91">
        <v>0.63</v>
      </c>
      <c r="BA91">
        <v>0.19679949999999999</v>
      </c>
      <c r="BB91">
        <v>0.19679954999999999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-2.19218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4.2782999999999996E-3</v>
      </c>
      <c r="CG91">
        <v>0.39188010000000001</v>
      </c>
      <c r="CH91">
        <v>0.10842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-2.2540719999999999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0.15357000000000001</v>
      </c>
      <c r="DI91">
        <v>5.0808419999999996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0.24688450000000001</v>
      </c>
      <c r="DW91">
        <v>-1.4200660000000001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13.93022</v>
      </c>
      <c r="EW91">
        <v>7.1219400000000002E-2</v>
      </c>
      <c r="EX91">
        <v>7.1342600000000006E-2</v>
      </c>
      <c r="EY91">
        <v>7.1404899999999993E-2</v>
      </c>
      <c r="EZ91">
        <v>7.1492200000000006E-2</v>
      </c>
      <c r="FA91">
        <v>7.1035299999999996E-2</v>
      </c>
      <c r="FB91">
        <v>7.1690799999999999E-2</v>
      </c>
      <c r="FC91">
        <v>7.1776900000000005E-2</v>
      </c>
      <c r="FD91">
        <v>7.17864E-2</v>
      </c>
      <c r="FE91">
        <v>7.1529800000000004E-2</v>
      </c>
      <c r="FF91">
        <v>7.1385699999999996E-2</v>
      </c>
      <c r="FG91">
        <v>7.1592900000000001E-2</v>
      </c>
      <c r="FH91">
        <v>7.1168800000000004E-2</v>
      </c>
      <c r="FI91">
        <v>7.1187299999999995E-2</v>
      </c>
      <c r="FJ91">
        <v>7.1387000000000006E-2</v>
      </c>
      <c r="FK91">
        <v>0.20101630000000001</v>
      </c>
      <c r="FL91">
        <v>4.0407499999999999E-2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-0.16623830000000001</v>
      </c>
      <c r="FZ91">
        <v>-0.57692189999999999</v>
      </c>
      <c r="GA91">
        <v>-0.7666345</v>
      </c>
      <c r="GB91">
        <v>1.090805</v>
      </c>
      <c r="GC91">
        <v>-0.61828590000000005</v>
      </c>
      <c r="GD91">
        <v>-0.3446553</v>
      </c>
      <c r="GE91">
        <v>-0.57041509999999995</v>
      </c>
      <c r="GF91">
        <v>-0.109393</v>
      </c>
      <c r="GG91">
        <v>0.39869710000000003</v>
      </c>
      <c r="GH91">
        <v>-3.1683789999999998</v>
      </c>
      <c r="GI91">
        <v>10.03862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0.12664030000000001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-1.9960789999999999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97.525790000000001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31.5</v>
      </c>
      <c r="OD91">
        <v>19448.3</v>
      </c>
      <c r="OE91">
        <v>0</v>
      </c>
      <c r="OF91">
        <v>86.151300000000006</v>
      </c>
      <c r="OG91">
        <v>11.4</v>
      </c>
      <c r="OH91">
        <v>76.649000000000001</v>
      </c>
    </row>
    <row r="92" spans="1:398">
      <c r="A92">
        <v>9</v>
      </c>
      <c r="B92" t="s">
        <v>36</v>
      </c>
      <c r="C92" t="s">
        <v>35</v>
      </c>
      <c r="D92">
        <v>2012</v>
      </c>
      <c r="E92">
        <v>15.516999999999999</v>
      </c>
      <c r="F92">
        <v>1.1342000000000001</v>
      </c>
      <c r="G92">
        <v>369</v>
      </c>
      <c r="H92">
        <v>17</v>
      </c>
      <c r="I92">
        <v>90.2</v>
      </c>
      <c r="J92">
        <v>1.8</v>
      </c>
      <c r="K92">
        <v>71.400000000000006</v>
      </c>
      <c r="L92">
        <v>0.1</v>
      </c>
      <c r="M92">
        <v>0.7</v>
      </c>
      <c r="N92">
        <v>60948</v>
      </c>
      <c r="O92">
        <v>1.145</v>
      </c>
      <c r="P92">
        <v>0.87</v>
      </c>
      <c r="Q92">
        <v>8711.75</v>
      </c>
      <c r="R92">
        <v>25</v>
      </c>
      <c r="S92">
        <v>0.18658</v>
      </c>
      <c r="T92">
        <v>-0.33596589999999998</v>
      </c>
      <c r="U92">
        <v>-0.56799619999999995</v>
      </c>
      <c r="V92">
        <v>-1.039963</v>
      </c>
      <c r="W92">
        <v>-1.1310659999999999</v>
      </c>
      <c r="X92">
        <v>0.99357519999999999</v>
      </c>
      <c r="Y92">
        <v>-1.0333570000000001</v>
      </c>
      <c r="Z92">
        <v>-0.61382309999999995</v>
      </c>
      <c r="AA92">
        <v>-1.585459</v>
      </c>
      <c r="AB92">
        <v>-1.3765670000000001</v>
      </c>
      <c r="AC92">
        <v>-0.39584350000000001</v>
      </c>
      <c r="AD92">
        <v>-0.30540980000000001</v>
      </c>
      <c r="AE92">
        <v>0.33619719999999997</v>
      </c>
      <c r="AF92">
        <v>-0.69449989999999995</v>
      </c>
      <c r="AG92">
        <v>-0.57419109999999995</v>
      </c>
      <c r="AH92">
        <v>-2.36653</v>
      </c>
      <c r="AI92">
        <v>2.7419359999999999</v>
      </c>
      <c r="AJ92">
        <v>0.1259275</v>
      </c>
      <c r="AK92">
        <v>5.9107969999999996</v>
      </c>
      <c r="AL92">
        <v>4.5020290000000003</v>
      </c>
      <c r="AM92">
        <v>0.58778660000000005</v>
      </c>
      <c r="AN92">
        <v>4.2682979999999997</v>
      </c>
      <c r="AO92">
        <v>11.01778</v>
      </c>
      <c r="AP92">
        <v>-0.1392621</v>
      </c>
      <c r="AQ92">
        <v>9.0724289999999996</v>
      </c>
      <c r="AR92">
        <v>4.4507000000000003</v>
      </c>
      <c r="AS92">
        <v>2.6532399999999998</v>
      </c>
      <c r="AT92">
        <v>9.7939299999999996</v>
      </c>
      <c r="AU92">
        <v>77.004000000000005</v>
      </c>
      <c r="AV92">
        <v>62.394300000000001</v>
      </c>
      <c r="AW92">
        <v>0.69589800000000002</v>
      </c>
      <c r="AX92" s="17">
        <v>1700000000</v>
      </c>
      <c r="AY92">
        <v>3.4965099999999998</v>
      </c>
      <c r="AZ92">
        <v>0.54</v>
      </c>
      <c r="BA92">
        <v>0.13540460000000001</v>
      </c>
      <c r="BB92">
        <v>0.13540462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-2.2641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4.0122999999999999E-3</v>
      </c>
      <c r="CG92">
        <v>0.37722939999999999</v>
      </c>
      <c r="CH92">
        <v>9.9738999999999994E-2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-2.251849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0.14230200000000001</v>
      </c>
      <c r="DI92">
        <v>5.0708260000000003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0.20370389999999999</v>
      </c>
      <c r="DW92">
        <v>-1.2159990000000001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13.935560000000001</v>
      </c>
      <c r="EW92">
        <v>7.1233000000000005E-2</v>
      </c>
      <c r="EX92">
        <v>7.13139E-2</v>
      </c>
      <c r="EY92">
        <v>7.1450799999999995E-2</v>
      </c>
      <c r="EZ92">
        <v>7.1479799999999996E-2</v>
      </c>
      <c r="FA92">
        <v>7.1025900000000003E-2</v>
      </c>
      <c r="FB92">
        <v>7.1684200000000003E-2</v>
      </c>
      <c r="FC92">
        <v>7.1741899999999997E-2</v>
      </c>
      <c r="FD92">
        <v>7.17589E-2</v>
      </c>
      <c r="FE92">
        <v>7.1615100000000001E-2</v>
      </c>
      <c r="FF92">
        <v>7.1405700000000003E-2</v>
      </c>
      <c r="FG92">
        <v>7.1568599999999996E-2</v>
      </c>
      <c r="FH92">
        <v>7.1198600000000001E-2</v>
      </c>
      <c r="FI92">
        <v>7.1178699999999998E-2</v>
      </c>
      <c r="FJ92">
        <v>7.1344900000000003E-2</v>
      </c>
      <c r="FK92">
        <v>0.18609880000000001</v>
      </c>
      <c r="FL92">
        <v>3.4632799999999998E-2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-0.33596589999999998</v>
      </c>
      <c r="FZ92">
        <v>-0.56799619999999995</v>
      </c>
      <c r="GA92">
        <v>-1.039963</v>
      </c>
      <c r="GB92">
        <v>0.99357519999999999</v>
      </c>
      <c r="GC92">
        <v>-0.61382309999999995</v>
      </c>
      <c r="GD92">
        <v>-0.39584350000000001</v>
      </c>
      <c r="GE92">
        <v>-0.57419109999999995</v>
      </c>
      <c r="GF92">
        <v>-0.30540980000000001</v>
      </c>
      <c r="GG92">
        <v>0.33619719999999997</v>
      </c>
      <c r="GH92">
        <v>-3.2871730000000001</v>
      </c>
      <c r="GI92">
        <v>10.8055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0.1004934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-1.7750729999999999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95.92116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33</v>
      </c>
      <c r="OD92">
        <v>17924.7</v>
      </c>
      <c r="OE92">
        <v>0</v>
      </c>
      <c r="OF92">
        <v>85.686700000000002</v>
      </c>
      <c r="OG92">
        <v>14.2</v>
      </c>
      <c r="OH92">
        <v>77.004000000000005</v>
      </c>
    </row>
    <row r="93" spans="1:398">
      <c r="A93">
        <v>9</v>
      </c>
      <c r="B93" t="s">
        <v>36</v>
      </c>
      <c r="C93" t="s">
        <v>35</v>
      </c>
      <c r="D93">
        <v>2013</v>
      </c>
      <c r="E93">
        <v>14.483000000000001</v>
      </c>
      <c r="F93">
        <v>1.1910000000000001</v>
      </c>
      <c r="G93">
        <v>383</v>
      </c>
      <c r="H93">
        <v>15.8</v>
      </c>
      <c r="I93">
        <v>91</v>
      </c>
      <c r="J93">
        <v>1.7</v>
      </c>
      <c r="K93">
        <v>64.5</v>
      </c>
      <c r="L93">
        <v>0.1</v>
      </c>
      <c r="M93">
        <v>0.5</v>
      </c>
      <c r="N93">
        <v>56493</v>
      </c>
      <c r="O93">
        <v>1.0725</v>
      </c>
      <c r="P93">
        <v>0.89</v>
      </c>
      <c r="Q93">
        <v>8431.9</v>
      </c>
      <c r="R93">
        <v>26.2</v>
      </c>
      <c r="S93">
        <v>0.18539</v>
      </c>
      <c r="T93">
        <v>-0.46159119999999998</v>
      </c>
      <c r="U93">
        <v>-0.51348240000000001</v>
      </c>
      <c r="V93">
        <v>-0.93366870000000002</v>
      </c>
      <c r="W93">
        <v>-1.2083140000000001</v>
      </c>
      <c r="X93">
        <v>1.104695</v>
      </c>
      <c r="Y93">
        <v>-1.0493699999999999</v>
      </c>
      <c r="Z93">
        <v>-0.61472349999999998</v>
      </c>
      <c r="AA93">
        <v>-1.585459</v>
      </c>
      <c r="AB93">
        <v>-1.6404209999999999</v>
      </c>
      <c r="AC93">
        <v>-0.41949940000000002</v>
      </c>
      <c r="AD93">
        <v>-0.20740159999999999</v>
      </c>
      <c r="AE93">
        <v>0.2439964</v>
      </c>
      <c r="AF93">
        <v>-0.63128600000000001</v>
      </c>
      <c r="AG93">
        <v>-0.57796709999999996</v>
      </c>
      <c r="AH93">
        <v>-2.3400259999999999</v>
      </c>
      <c r="AI93">
        <v>2.6729759999999998</v>
      </c>
      <c r="AJ93">
        <v>0.17479330000000001</v>
      </c>
      <c r="AK93">
        <v>5.948035</v>
      </c>
      <c r="AL93">
        <v>4.510859</v>
      </c>
      <c r="AM93">
        <v>0.53062830000000005</v>
      </c>
      <c r="AN93">
        <v>4.1666650000000001</v>
      </c>
      <c r="AO93">
        <v>10.94187</v>
      </c>
      <c r="AP93">
        <v>-0.11653380000000001</v>
      </c>
      <c r="AQ93">
        <v>9.0397770000000008</v>
      </c>
      <c r="AR93">
        <v>4.4434500000000003</v>
      </c>
      <c r="AS93">
        <v>2.8094000000000001</v>
      </c>
      <c r="AT93">
        <v>9.7782</v>
      </c>
      <c r="AU93">
        <v>77.355000000000004</v>
      </c>
      <c r="AV93">
        <v>62.954700000000003</v>
      </c>
      <c r="AW93">
        <v>1.2450600000000001</v>
      </c>
      <c r="AX93" s="17">
        <v>2900000000</v>
      </c>
      <c r="AY93">
        <v>3.4965099999999998</v>
      </c>
      <c r="AZ93">
        <v>0.59</v>
      </c>
      <c r="BA93">
        <v>6.9992399999999996E-2</v>
      </c>
      <c r="BB93">
        <v>6.9992360000000003E-2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-2.33602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3.6259E-3</v>
      </c>
      <c r="CG93">
        <v>0.37455670000000002</v>
      </c>
      <c r="CH93">
        <v>9.8521999999999998E-2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-2.2278039999999999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0.14029269999999999</v>
      </c>
      <c r="DI93">
        <v>4.9631119999999997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0.2209885</v>
      </c>
      <c r="DW93">
        <v>-1.314405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13.937849999999999</v>
      </c>
      <c r="EW93">
        <v>7.1252399999999994E-2</v>
      </c>
      <c r="EX93">
        <v>7.1280999999999997E-2</v>
      </c>
      <c r="EY93">
        <v>7.1412000000000003E-2</v>
      </c>
      <c r="EZ93">
        <v>7.1490300000000007E-2</v>
      </c>
      <c r="FA93">
        <v>7.1010500000000004E-2</v>
      </c>
      <c r="FB93">
        <v>7.1683300000000005E-2</v>
      </c>
      <c r="FC93">
        <v>7.1731600000000006E-2</v>
      </c>
      <c r="FD93">
        <v>7.1747099999999994E-2</v>
      </c>
      <c r="FE93">
        <v>7.1747099999999994E-2</v>
      </c>
      <c r="FF93">
        <v>7.1416900000000005E-2</v>
      </c>
      <c r="FG93">
        <v>7.1559999999999999E-2</v>
      </c>
      <c r="FH93">
        <v>7.1165099999999995E-2</v>
      </c>
      <c r="FI93">
        <v>7.1192099999999994E-2</v>
      </c>
      <c r="FJ93">
        <v>7.1310600000000002E-2</v>
      </c>
      <c r="FK93">
        <v>0.184865</v>
      </c>
      <c r="FL93">
        <v>3.41751E-2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-0.46159119999999998</v>
      </c>
      <c r="FZ93">
        <v>-0.51348240000000001</v>
      </c>
      <c r="GA93">
        <v>-0.93366870000000002</v>
      </c>
      <c r="GB93">
        <v>1.104695</v>
      </c>
      <c r="GC93">
        <v>-0.61472349999999998</v>
      </c>
      <c r="GD93">
        <v>-0.41949940000000002</v>
      </c>
      <c r="GE93">
        <v>-0.57796709999999996</v>
      </c>
      <c r="GF93">
        <v>-0.20740159999999999</v>
      </c>
      <c r="GG93">
        <v>0.2439964</v>
      </c>
      <c r="GH93">
        <v>-3.266966</v>
      </c>
      <c r="GI93">
        <v>10.67306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0.1090704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-1.9275100000000001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95.613240000000005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33</v>
      </c>
      <c r="OD93">
        <v>17644.900000000001</v>
      </c>
      <c r="OE93">
        <v>0</v>
      </c>
      <c r="OF93">
        <v>85.067599999999999</v>
      </c>
      <c r="OG93">
        <v>16.600000000000001</v>
      </c>
      <c r="OH93">
        <v>77.355000000000004</v>
      </c>
    </row>
    <row r="94" spans="1:398">
      <c r="A94">
        <v>9</v>
      </c>
      <c r="B94" t="s">
        <v>36</v>
      </c>
      <c r="C94" t="s">
        <v>35</v>
      </c>
      <c r="D94">
        <v>2014</v>
      </c>
      <c r="E94">
        <v>15.148</v>
      </c>
      <c r="F94">
        <v>1.163</v>
      </c>
      <c r="G94">
        <v>395</v>
      </c>
      <c r="H94">
        <v>15.4</v>
      </c>
      <c r="I94">
        <v>84</v>
      </c>
      <c r="J94">
        <v>1.3</v>
      </c>
      <c r="K94">
        <v>68</v>
      </c>
      <c r="L94">
        <v>0.2</v>
      </c>
      <c r="M94">
        <v>0.6</v>
      </c>
      <c r="N94">
        <v>64608</v>
      </c>
      <c r="O94">
        <v>1</v>
      </c>
      <c r="P94">
        <v>0.91</v>
      </c>
      <c r="Q94">
        <v>8276.6299999999992</v>
      </c>
      <c r="R94">
        <v>26.3</v>
      </c>
      <c r="S94">
        <v>0.18521599999999999</v>
      </c>
      <c r="T94">
        <v>-0.38079740000000001</v>
      </c>
      <c r="U94">
        <v>-0.54035540000000004</v>
      </c>
      <c r="V94">
        <v>-0.84255919999999995</v>
      </c>
      <c r="W94">
        <v>-1.2340629999999999</v>
      </c>
      <c r="X94">
        <v>0.13239880000000001</v>
      </c>
      <c r="Y94">
        <v>-1.1134219999999999</v>
      </c>
      <c r="Z94">
        <v>-0.6142668</v>
      </c>
      <c r="AA94">
        <v>-1.3073250000000001</v>
      </c>
      <c r="AB94">
        <v>-1.508494</v>
      </c>
      <c r="AC94">
        <v>-0.37640899999999999</v>
      </c>
      <c r="AD94">
        <v>-0.109393</v>
      </c>
      <c r="AE94">
        <v>0.19284270000000001</v>
      </c>
      <c r="AF94">
        <v>-0.62601830000000003</v>
      </c>
      <c r="AG94">
        <v>-0.58174320000000002</v>
      </c>
      <c r="AH94">
        <v>-2.1949730000000001</v>
      </c>
      <c r="AI94">
        <v>2.7178689999999999</v>
      </c>
      <c r="AJ94">
        <v>0.1510029</v>
      </c>
      <c r="AK94">
        <v>5.9788860000000001</v>
      </c>
      <c r="AL94">
        <v>4.4308170000000002</v>
      </c>
      <c r="AM94">
        <v>0.26236419999999999</v>
      </c>
      <c r="AN94">
        <v>4.2195080000000003</v>
      </c>
      <c r="AO94">
        <v>11.076090000000001</v>
      </c>
      <c r="AP94">
        <v>-9.4310599999999994E-2</v>
      </c>
      <c r="AQ94">
        <v>9.0211919999999992</v>
      </c>
      <c r="AR94">
        <v>4.4367900000000002</v>
      </c>
      <c r="AS94">
        <v>2.7972800000000002</v>
      </c>
      <c r="AT94">
        <v>9.7927499999999998</v>
      </c>
      <c r="AU94">
        <v>77.701999999999998</v>
      </c>
      <c r="AV94">
        <v>66.433599999999998</v>
      </c>
      <c r="AW94">
        <v>1.1531400000000001</v>
      </c>
      <c r="AX94" s="17">
        <v>2700000000</v>
      </c>
      <c r="AY94">
        <v>3.4719699999999998</v>
      </c>
      <c r="AZ94">
        <v>0.62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-2.40795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3.4897000000000001E-3</v>
      </c>
      <c r="CG94">
        <v>0.37695309999999999</v>
      </c>
      <c r="CH94">
        <v>0.102132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-2.10425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0.14209359999999999</v>
      </c>
      <c r="DI94">
        <v>4.4278680000000001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0.2337109</v>
      </c>
      <c r="DW94">
        <v>-1.304635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13.936439999999999</v>
      </c>
      <c r="EW94">
        <v>7.1245100000000006E-2</v>
      </c>
      <c r="EX94">
        <v>7.1302500000000005E-2</v>
      </c>
      <c r="EY94">
        <v>7.1397000000000002E-2</v>
      </c>
      <c r="EZ94">
        <v>7.15055E-2</v>
      </c>
      <c r="FA94">
        <v>7.1124900000000005E-2</v>
      </c>
      <c r="FB94">
        <v>7.1738700000000002E-2</v>
      </c>
      <c r="FC94">
        <v>7.1738099999999999E-2</v>
      </c>
      <c r="FD94">
        <v>7.1631899999999998E-2</v>
      </c>
      <c r="FE94">
        <v>7.1674600000000005E-2</v>
      </c>
      <c r="FF94">
        <v>7.13868E-2</v>
      </c>
      <c r="FG94">
        <v>7.1570400000000006E-2</v>
      </c>
      <c r="FH94">
        <v>7.1151400000000004E-2</v>
      </c>
      <c r="FI94">
        <v>7.1214799999999995E-2</v>
      </c>
      <c r="FJ94">
        <v>7.1318199999999998E-2</v>
      </c>
      <c r="FK94">
        <v>0.1847946</v>
      </c>
      <c r="FL94">
        <v>3.4149100000000002E-2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-0.38079740000000001</v>
      </c>
      <c r="FZ94">
        <v>-0.54035540000000004</v>
      </c>
      <c r="GA94">
        <v>-0.84255919999999995</v>
      </c>
      <c r="GB94">
        <v>0.13239880000000001</v>
      </c>
      <c r="GC94">
        <v>-0.6142668</v>
      </c>
      <c r="GD94">
        <v>-0.37640899999999999</v>
      </c>
      <c r="GE94">
        <v>-0.58174320000000002</v>
      </c>
      <c r="GF94">
        <v>-0.109393</v>
      </c>
      <c r="GG94">
        <v>0.19284270000000001</v>
      </c>
      <c r="GH94">
        <v>-3.0538319999999999</v>
      </c>
      <c r="GI94">
        <v>9.3258910000000004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0.1145727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-1.8933759999999999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95.897980000000004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32.200000000000003</v>
      </c>
      <c r="OD94">
        <v>17903.5</v>
      </c>
      <c r="OE94">
        <v>0.09</v>
      </c>
      <c r="OF94">
        <v>84.502799999999993</v>
      </c>
      <c r="OG94">
        <v>16.399999999999999</v>
      </c>
      <c r="OH94">
        <v>77.701999999999998</v>
      </c>
    </row>
    <row r="95" spans="1:398">
      <c r="A95">
        <v>9</v>
      </c>
      <c r="B95" t="s">
        <v>36</v>
      </c>
      <c r="C95" t="s">
        <v>35</v>
      </c>
      <c r="D95">
        <v>2015</v>
      </c>
      <c r="E95">
        <v>14.628</v>
      </c>
      <c r="F95">
        <v>1.2181999999999999</v>
      </c>
      <c r="G95">
        <v>373</v>
      </c>
      <c r="H95">
        <v>15.8</v>
      </c>
      <c r="I95">
        <v>89.6</v>
      </c>
      <c r="J95">
        <v>1.8</v>
      </c>
      <c r="K95">
        <v>15.8</v>
      </c>
      <c r="L95">
        <v>0.3</v>
      </c>
      <c r="M95">
        <v>0.6</v>
      </c>
      <c r="N95">
        <v>55509</v>
      </c>
      <c r="O95">
        <v>3.5</v>
      </c>
      <c r="P95">
        <v>0.94</v>
      </c>
      <c r="Q95">
        <v>8837.6200000000008</v>
      </c>
      <c r="R95">
        <v>29.5</v>
      </c>
      <c r="S95">
        <v>0.20246</v>
      </c>
      <c r="T95">
        <v>-0.44397439999999999</v>
      </c>
      <c r="U95">
        <v>-0.48737720000000001</v>
      </c>
      <c r="V95">
        <v>-1.009593</v>
      </c>
      <c r="W95">
        <v>-1.2083140000000001</v>
      </c>
      <c r="X95">
        <v>0.91023569999999998</v>
      </c>
      <c r="Y95">
        <v>-1.0333570000000001</v>
      </c>
      <c r="Z95">
        <v>-0.62107840000000003</v>
      </c>
      <c r="AA95">
        <v>-1.029191</v>
      </c>
      <c r="AB95">
        <v>-1.508494</v>
      </c>
      <c r="AC95">
        <v>-0.4247245</v>
      </c>
      <c r="AD95">
        <v>3.7619399999999997E-2</v>
      </c>
      <c r="AE95">
        <v>0.37766499999999997</v>
      </c>
      <c r="AF95">
        <v>-0.45744829999999997</v>
      </c>
      <c r="AG95">
        <v>-0.45153510000000002</v>
      </c>
      <c r="AH95">
        <v>-2.0247419999999998</v>
      </c>
      <c r="AI95">
        <v>2.682938</v>
      </c>
      <c r="AJ95">
        <v>0.1973743</v>
      </c>
      <c r="AK95">
        <v>5.9215780000000002</v>
      </c>
      <c r="AL95">
        <v>4.495355</v>
      </c>
      <c r="AM95">
        <v>0.58778660000000005</v>
      </c>
      <c r="AN95">
        <v>2.7600099999999999</v>
      </c>
      <c r="AO95">
        <v>10.924300000000001</v>
      </c>
      <c r="AP95">
        <v>-6.1875399999999997E-2</v>
      </c>
      <c r="AQ95">
        <v>9.0867730000000009</v>
      </c>
      <c r="AR95">
        <v>4.4302000000000001</v>
      </c>
      <c r="AS95">
        <v>2.8622000000000001</v>
      </c>
      <c r="AT95">
        <v>9.7970500000000005</v>
      </c>
      <c r="AU95">
        <v>78.046000000000006</v>
      </c>
      <c r="AV95">
        <v>65.271799999999999</v>
      </c>
      <c r="AW95">
        <v>0.65218500000000001</v>
      </c>
      <c r="AX95" s="17">
        <v>1300000000</v>
      </c>
      <c r="AY95">
        <v>3.5085600000000001</v>
      </c>
      <c r="AZ95">
        <v>0.55000000000000004</v>
      </c>
      <c r="BA95">
        <v>1.2527630000000001</v>
      </c>
      <c r="BB95">
        <v>1.2527629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-1.1394299999999999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3.6002E-3</v>
      </c>
      <c r="CG95">
        <v>0.38618370000000002</v>
      </c>
      <c r="CH95">
        <v>0.111485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-1.9144730000000001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0.14913779999999999</v>
      </c>
      <c r="DI95">
        <v>3.6652070000000001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0.21240100000000001</v>
      </c>
      <c r="DW95">
        <v>-1.0529599999999999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13.931480000000001</v>
      </c>
      <c r="EW95">
        <v>7.1287600000000007E-2</v>
      </c>
      <c r="EX95">
        <v>7.1307999999999996E-2</v>
      </c>
      <c r="EY95">
        <v>7.1467299999999997E-2</v>
      </c>
      <c r="EZ95">
        <v>7.1524500000000005E-2</v>
      </c>
      <c r="FA95">
        <v>7.1076100000000003E-2</v>
      </c>
      <c r="FB95">
        <v>7.17053E-2</v>
      </c>
      <c r="FC95">
        <v>7.1775500000000006E-2</v>
      </c>
      <c r="FD95">
        <v>7.1561600000000003E-2</v>
      </c>
      <c r="FE95">
        <v>7.1700200000000006E-2</v>
      </c>
      <c r="FF95">
        <v>7.1457099999999996E-2</v>
      </c>
      <c r="FG95">
        <v>7.1505899999999997E-2</v>
      </c>
      <c r="FH95">
        <v>7.1144600000000002E-2</v>
      </c>
      <c r="FI95">
        <v>7.1203299999999997E-2</v>
      </c>
      <c r="FJ95">
        <v>7.1283100000000002E-2</v>
      </c>
      <c r="FK95">
        <v>0.20199529999999999</v>
      </c>
      <c r="FL95">
        <v>4.0802100000000001E-2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-0.44397439999999999</v>
      </c>
      <c r="FZ95">
        <v>-0.48737720000000001</v>
      </c>
      <c r="GA95">
        <v>-1.009593</v>
      </c>
      <c r="GB95">
        <v>0.91023569999999998</v>
      </c>
      <c r="GC95">
        <v>-0.62107840000000003</v>
      </c>
      <c r="GD95">
        <v>-0.4247245</v>
      </c>
      <c r="GE95">
        <v>-0.45153510000000002</v>
      </c>
      <c r="GF95">
        <v>3.7619399999999997E-2</v>
      </c>
      <c r="GG95">
        <v>0.37766499999999997</v>
      </c>
      <c r="GH95">
        <v>-2.8639579999999998</v>
      </c>
      <c r="GI95">
        <v>8.2022539999999999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0.1110974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-1.575177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95.98227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33.4</v>
      </c>
      <c r="OD95">
        <v>17980.7</v>
      </c>
      <c r="OE95">
        <v>0.32</v>
      </c>
      <c r="OF95">
        <v>83.947900000000004</v>
      </c>
      <c r="OG95">
        <v>17.5</v>
      </c>
      <c r="OH95">
        <v>78.046000000000006</v>
      </c>
    </row>
    <row r="96" spans="1:398">
      <c r="A96">
        <v>9</v>
      </c>
      <c r="B96" t="s">
        <v>36</v>
      </c>
      <c r="C96" t="s">
        <v>35</v>
      </c>
      <c r="D96">
        <v>2016</v>
      </c>
      <c r="E96">
        <v>13.941000000000001</v>
      </c>
      <c r="F96">
        <v>1.2839</v>
      </c>
      <c r="G96">
        <v>412</v>
      </c>
      <c r="H96">
        <v>17.2</v>
      </c>
      <c r="I96">
        <v>85.4</v>
      </c>
      <c r="J96">
        <v>2.1</v>
      </c>
      <c r="K96">
        <v>52.2</v>
      </c>
      <c r="L96">
        <v>0.3</v>
      </c>
      <c r="M96">
        <v>0.6</v>
      </c>
      <c r="N96">
        <v>66723</v>
      </c>
      <c r="O96">
        <v>1</v>
      </c>
      <c r="P96">
        <v>0.99</v>
      </c>
      <c r="Q96">
        <v>8811.1299999999992</v>
      </c>
      <c r="R96">
        <v>32.5</v>
      </c>
      <c r="S96">
        <v>0.211506</v>
      </c>
      <c r="T96">
        <v>-0.5274411</v>
      </c>
      <c r="U96">
        <v>-0.42432160000000002</v>
      </c>
      <c r="V96">
        <v>-0.71348730000000005</v>
      </c>
      <c r="W96">
        <v>-1.1181920000000001</v>
      </c>
      <c r="X96">
        <v>0.32685829999999999</v>
      </c>
      <c r="Y96">
        <v>-0.98531749999999996</v>
      </c>
      <c r="Z96">
        <v>-0.61632849999999995</v>
      </c>
      <c r="AA96">
        <v>-1.029191</v>
      </c>
      <c r="AB96">
        <v>-1.508494</v>
      </c>
      <c r="AC96">
        <v>-0.36517840000000001</v>
      </c>
      <c r="AD96">
        <v>0.28264030000000001</v>
      </c>
      <c r="AE96">
        <v>0.36893920000000002</v>
      </c>
      <c r="AF96">
        <v>-0.29941390000000001</v>
      </c>
      <c r="AG96">
        <v>-0.58174320000000002</v>
      </c>
      <c r="AH96">
        <v>-1.770823</v>
      </c>
      <c r="AI96">
        <v>2.6348340000000001</v>
      </c>
      <c r="AJ96">
        <v>0.24990229999999999</v>
      </c>
      <c r="AK96">
        <v>6.0210229999999996</v>
      </c>
      <c r="AL96">
        <v>4.4473459999999996</v>
      </c>
      <c r="AM96">
        <v>0.74193730000000002</v>
      </c>
      <c r="AN96">
        <v>3.955082</v>
      </c>
      <c r="AO96">
        <v>11.1083</v>
      </c>
      <c r="AP96">
        <v>-1.00503E-2</v>
      </c>
      <c r="AQ96">
        <v>9.0837719999999997</v>
      </c>
      <c r="AR96">
        <v>4.4260400000000004</v>
      </c>
      <c r="AS96">
        <v>2.7972800000000002</v>
      </c>
      <c r="AT96">
        <v>9.8009000000000004</v>
      </c>
      <c r="AU96">
        <v>78.387</v>
      </c>
      <c r="AV96">
        <v>63.657699999999998</v>
      </c>
      <c r="AW96">
        <v>1.39751</v>
      </c>
      <c r="AX96" s="17">
        <v>2700000000</v>
      </c>
      <c r="AY96">
        <v>3.4750700000000001</v>
      </c>
      <c r="AZ96">
        <v>0.52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-2.40795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4.0147999999999998E-3</v>
      </c>
      <c r="CG96">
        <v>0.40084350000000002</v>
      </c>
      <c r="CH96">
        <v>0.1196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-1.671894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0.1606755</v>
      </c>
      <c r="DI96">
        <v>2.795229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0.2084386</v>
      </c>
      <c r="DW96">
        <v>-0.86938479999999996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13.92961</v>
      </c>
      <c r="EW96">
        <v>7.1318500000000007E-2</v>
      </c>
      <c r="EX96">
        <v>7.1294200000000002E-2</v>
      </c>
      <c r="EY96">
        <v>7.1402599999999997E-2</v>
      </c>
      <c r="EZ96">
        <v>7.1510199999999996E-2</v>
      </c>
      <c r="FA96">
        <v>7.1151300000000001E-2</v>
      </c>
      <c r="FB96">
        <v>7.1684200000000003E-2</v>
      </c>
      <c r="FC96">
        <v>7.1776699999999999E-2</v>
      </c>
      <c r="FD96">
        <v>7.1571800000000005E-2</v>
      </c>
      <c r="FE96">
        <v>7.1709899999999993E-2</v>
      </c>
      <c r="FF96">
        <v>7.1415099999999995E-2</v>
      </c>
      <c r="FG96">
        <v>7.1606500000000003E-2</v>
      </c>
      <c r="FH96">
        <v>7.1100200000000002E-2</v>
      </c>
      <c r="FI96">
        <v>7.1219199999999996E-2</v>
      </c>
      <c r="FJ96">
        <v>7.1239700000000003E-2</v>
      </c>
      <c r="FK96">
        <v>0.21103930000000001</v>
      </c>
      <c r="FL96">
        <v>4.4537599999999997E-2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-0.5274411</v>
      </c>
      <c r="FZ96">
        <v>-0.42432160000000002</v>
      </c>
      <c r="GA96">
        <v>-0.71348730000000005</v>
      </c>
      <c r="GB96">
        <v>0.32685829999999999</v>
      </c>
      <c r="GC96">
        <v>-0.61632849999999995</v>
      </c>
      <c r="GD96">
        <v>-0.36517840000000001</v>
      </c>
      <c r="GE96">
        <v>-0.58174320000000002</v>
      </c>
      <c r="GF96">
        <v>0.28264030000000001</v>
      </c>
      <c r="GG96">
        <v>0.36893920000000002</v>
      </c>
      <c r="GH96">
        <v>-2.5345740000000001</v>
      </c>
      <c r="GI96">
        <v>6.424067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0.1097405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-1.317979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96.057559999999995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32.299999999999997</v>
      </c>
      <c r="OD96">
        <v>18049.900000000001</v>
      </c>
      <c r="OE96">
        <v>0.09</v>
      </c>
      <c r="OF96">
        <v>83.599500000000006</v>
      </c>
      <c r="OG96">
        <v>16.399999999999999</v>
      </c>
      <c r="OH96">
        <v>78.387</v>
      </c>
    </row>
    <row r="97" spans="1:398">
      <c r="A97">
        <v>9</v>
      </c>
      <c r="B97" t="s">
        <v>36</v>
      </c>
      <c r="C97" t="s">
        <v>35</v>
      </c>
      <c r="D97">
        <v>2017</v>
      </c>
      <c r="E97">
        <v>13.236000000000001</v>
      </c>
      <c r="F97">
        <v>1.3152999999999999</v>
      </c>
      <c r="G97">
        <v>420</v>
      </c>
      <c r="H97">
        <v>18.899999999999999</v>
      </c>
      <c r="I97">
        <v>78.8</v>
      </c>
      <c r="J97">
        <v>2.5</v>
      </c>
      <c r="K97">
        <v>15.5</v>
      </c>
      <c r="L97">
        <v>0.3</v>
      </c>
      <c r="M97">
        <v>0.6</v>
      </c>
      <c r="N97">
        <v>61594</v>
      </c>
      <c r="O97">
        <v>2.25</v>
      </c>
      <c r="P97">
        <v>1</v>
      </c>
      <c r="Q97">
        <v>8258.8799999999992</v>
      </c>
      <c r="R97">
        <v>33.799999999999997</v>
      </c>
      <c r="S97">
        <v>0.20768500000000001</v>
      </c>
      <c r="T97">
        <v>-0.61309460000000005</v>
      </c>
      <c r="U97">
        <v>-0.39418550000000002</v>
      </c>
      <c r="V97">
        <v>-0.65274750000000004</v>
      </c>
      <c r="W97">
        <v>-1.008758</v>
      </c>
      <c r="X97">
        <v>-0.58987809999999996</v>
      </c>
      <c r="Y97">
        <v>-0.92126509999999995</v>
      </c>
      <c r="Z97">
        <v>-0.62111760000000005</v>
      </c>
      <c r="AA97">
        <v>-1.029191</v>
      </c>
      <c r="AB97">
        <v>-1.508494</v>
      </c>
      <c r="AC97">
        <v>-0.39241330000000002</v>
      </c>
      <c r="AD97">
        <v>0.33164440000000001</v>
      </c>
      <c r="AE97">
        <v>0.18699379999999999</v>
      </c>
      <c r="AF97">
        <v>-0.23093240000000001</v>
      </c>
      <c r="AG97">
        <v>-0.51663910000000002</v>
      </c>
      <c r="AH97">
        <v>-1.555723</v>
      </c>
      <c r="AI97">
        <v>2.5829399999999998</v>
      </c>
      <c r="AJ97">
        <v>0.2740648</v>
      </c>
      <c r="AK97">
        <v>6.0402550000000002</v>
      </c>
      <c r="AL97">
        <v>4.3669130000000003</v>
      </c>
      <c r="AM97">
        <v>0.91629079999999996</v>
      </c>
      <c r="AN97">
        <v>2.7408399999999999</v>
      </c>
      <c r="AO97">
        <v>11.028320000000001</v>
      </c>
      <c r="AP97">
        <v>0</v>
      </c>
      <c r="AQ97">
        <v>9.0190439999999992</v>
      </c>
      <c r="AR97">
        <v>4.4240599999999999</v>
      </c>
      <c r="AS97">
        <v>2.7972800000000002</v>
      </c>
      <c r="AT97">
        <v>9.8175000000000008</v>
      </c>
      <c r="AU97">
        <v>78.724000000000004</v>
      </c>
      <c r="AV97">
        <v>70.882599999999996</v>
      </c>
      <c r="AW97">
        <v>1.7162999999999999</v>
      </c>
      <c r="AX97" s="17">
        <v>3400000000</v>
      </c>
      <c r="AY97">
        <v>3.5025499999999998</v>
      </c>
      <c r="AZ97">
        <v>0.53</v>
      </c>
      <c r="BA97">
        <v>0.81093020000000005</v>
      </c>
      <c r="BB97">
        <v>0.81093019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-1.5606500000000001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4.5154000000000001E-3</v>
      </c>
      <c r="CG97">
        <v>0.39148250000000001</v>
      </c>
      <c r="CH97">
        <v>0.121402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-1.4909920000000001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0.15325849999999999</v>
      </c>
      <c r="DI97">
        <v>2.2230569999999998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0.2074857</v>
      </c>
      <c r="DW97">
        <v>-0.79022570000000003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13.930210000000001</v>
      </c>
      <c r="EW97">
        <v>7.1337100000000001E-2</v>
      </c>
      <c r="EX97">
        <v>7.1281999999999998E-2</v>
      </c>
      <c r="EY97">
        <v>7.1386500000000006E-2</v>
      </c>
      <c r="EZ97">
        <v>7.1479000000000001E-2</v>
      </c>
      <c r="FA97">
        <v>7.1249999999999994E-2</v>
      </c>
      <c r="FB97">
        <v>7.1642899999999995E-2</v>
      </c>
      <c r="FC97">
        <v>7.1782100000000001E-2</v>
      </c>
      <c r="FD97">
        <v>7.1569199999999999E-2</v>
      </c>
      <c r="FE97">
        <v>7.1706800000000001E-2</v>
      </c>
      <c r="FF97">
        <v>7.1437500000000001E-2</v>
      </c>
      <c r="FG97">
        <v>7.1557599999999999E-2</v>
      </c>
      <c r="FH97">
        <v>7.1092199999999994E-2</v>
      </c>
      <c r="FI97">
        <v>7.1260000000000004E-2</v>
      </c>
      <c r="FJ97">
        <v>7.1217100000000005E-2</v>
      </c>
      <c r="FK97">
        <v>0.20728440000000001</v>
      </c>
      <c r="FL97">
        <v>4.2966799999999999E-2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-0.61309460000000005</v>
      </c>
      <c r="FZ97">
        <v>-0.39418550000000002</v>
      </c>
      <c r="GA97">
        <v>-0.65274750000000004</v>
      </c>
      <c r="GB97">
        <v>-0.58987809999999996</v>
      </c>
      <c r="GC97">
        <v>-0.62111760000000005</v>
      </c>
      <c r="GD97">
        <v>-0.39241330000000002</v>
      </c>
      <c r="GE97">
        <v>-0.51663910000000002</v>
      </c>
      <c r="GF97">
        <v>0.33164440000000001</v>
      </c>
      <c r="GG97">
        <v>0.18699379999999999</v>
      </c>
      <c r="GH97">
        <v>-2.234861</v>
      </c>
      <c r="GI97">
        <v>4.9946029999999997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0.10986070000000001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-1.1844760000000001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96.383290000000002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33.200000000000003</v>
      </c>
      <c r="OD97">
        <v>18352.099999999999</v>
      </c>
      <c r="OE97">
        <v>0.21</v>
      </c>
      <c r="OF97">
        <v>83.434299999999993</v>
      </c>
      <c r="OG97">
        <v>16.399999999999999</v>
      </c>
      <c r="OH97">
        <v>78.724000000000004</v>
      </c>
    </row>
    <row r="98" spans="1:398">
      <c r="A98">
        <v>9</v>
      </c>
      <c r="B98" t="s">
        <v>36</v>
      </c>
      <c r="C98" t="s">
        <v>35</v>
      </c>
      <c r="D98">
        <v>2018</v>
      </c>
      <c r="E98">
        <v>12.987</v>
      </c>
      <c r="F98">
        <v>1.3757999999999999</v>
      </c>
      <c r="G98">
        <v>426</v>
      </c>
      <c r="H98">
        <v>20.100000000000001</v>
      </c>
      <c r="I98">
        <v>80.7</v>
      </c>
      <c r="J98">
        <v>3</v>
      </c>
      <c r="K98">
        <v>6.3</v>
      </c>
      <c r="L98">
        <v>0.1</v>
      </c>
      <c r="M98">
        <v>0.7</v>
      </c>
      <c r="N98">
        <v>70128</v>
      </c>
      <c r="O98">
        <v>1.2749999999999999</v>
      </c>
      <c r="P98">
        <v>0.97</v>
      </c>
      <c r="Q98">
        <v>7262.93</v>
      </c>
      <c r="R98">
        <v>35.5</v>
      </c>
      <c r="S98">
        <v>0.20169500000000001</v>
      </c>
      <c r="T98">
        <v>-0.64334670000000005</v>
      </c>
      <c r="U98">
        <v>-0.33612059999999999</v>
      </c>
      <c r="V98">
        <v>-0.60719279999999998</v>
      </c>
      <c r="W98">
        <v>-0.93151039999999996</v>
      </c>
      <c r="X98">
        <v>-0.32596989999999998</v>
      </c>
      <c r="Y98">
        <v>-0.84119960000000005</v>
      </c>
      <c r="Z98">
        <v>-0.62231809999999999</v>
      </c>
      <c r="AA98">
        <v>-1.585459</v>
      </c>
      <c r="AB98">
        <v>-1.3765670000000001</v>
      </c>
      <c r="AC98">
        <v>-0.34709790000000001</v>
      </c>
      <c r="AD98">
        <v>0.18463199999999999</v>
      </c>
      <c r="AE98">
        <v>-0.1411328</v>
      </c>
      <c r="AF98">
        <v>-0.14137959999999999</v>
      </c>
      <c r="AG98">
        <v>-0.56742020000000004</v>
      </c>
      <c r="AH98">
        <v>-1.6560049999999999</v>
      </c>
      <c r="AI98">
        <v>2.563949</v>
      </c>
      <c r="AJ98">
        <v>0.31903540000000002</v>
      </c>
      <c r="AK98">
        <v>6.0544399999999996</v>
      </c>
      <c r="AL98">
        <v>4.3907379999999998</v>
      </c>
      <c r="AM98">
        <v>1.0986119999999999</v>
      </c>
      <c r="AN98">
        <v>1.8405499999999999</v>
      </c>
      <c r="AO98">
        <v>11.15808</v>
      </c>
      <c r="AP98">
        <v>-3.0459199999999999E-2</v>
      </c>
      <c r="AQ98">
        <v>8.8905379999999994</v>
      </c>
      <c r="AR98">
        <v>4.4220300000000003</v>
      </c>
      <c r="AS98">
        <v>2.8847999999999998</v>
      </c>
      <c r="AT98">
        <v>9.8399599999999996</v>
      </c>
      <c r="AU98">
        <v>79.058000000000007</v>
      </c>
      <c r="AV98">
        <v>79.238200000000006</v>
      </c>
      <c r="AW98">
        <v>1.88723</v>
      </c>
      <c r="AX98" s="17">
        <v>4000000000</v>
      </c>
      <c r="AY98">
        <v>3.4965099999999998</v>
      </c>
      <c r="AZ98">
        <v>0.49</v>
      </c>
      <c r="BA98">
        <v>0.2429462</v>
      </c>
      <c r="BB98">
        <v>0.24294615999999999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-2.5335999999999999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4.8577999999999998E-3</v>
      </c>
      <c r="CG98">
        <v>0.3802238</v>
      </c>
      <c r="CH98">
        <v>0.11854199999999999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-1.7750859999999999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0.14457010000000001</v>
      </c>
      <c r="DI98">
        <v>3.1509320000000001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0.18630969999999999</v>
      </c>
      <c r="DW98">
        <v>-0.86979229999999996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13.93216</v>
      </c>
      <c r="EW98">
        <v>7.1336300000000005E-2</v>
      </c>
      <c r="EX98">
        <v>7.1252099999999999E-2</v>
      </c>
      <c r="EY98">
        <v>7.13675E-2</v>
      </c>
      <c r="EZ98">
        <v>7.1450100000000002E-2</v>
      </c>
      <c r="FA98">
        <v>7.1215600000000004E-2</v>
      </c>
      <c r="FB98">
        <v>7.1588200000000005E-2</v>
      </c>
      <c r="FC98">
        <v>7.1774500000000005E-2</v>
      </c>
      <c r="FD98">
        <v>7.1776400000000004E-2</v>
      </c>
      <c r="FE98">
        <v>7.1633199999999994E-2</v>
      </c>
      <c r="FF98">
        <v>7.1389900000000006E-2</v>
      </c>
      <c r="FG98">
        <v>7.1583800000000003E-2</v>
      </c>
      <c r="FH98">
        <v>7.1123400000000003E-2</v>
      </c>
      <c r="FI98">
        <v>7.1327500000000002E-2</v>
      </c>
      <c r="FJ98">
        <v>7.1181400000000006E-2</v>
      </c>
      <c r="FK98">
        <v>0.2012842</v>
      </c>
      <c r="FL98">
        <v>4.0515299999999997E-2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-0.64334670000000005</v>
      </c>
      <c r="FZ98">
        <v>-0.33612059999999999</v>
      </c>
      <c r="GA98">
        <v>-0.60719279999999998</v>
      </c>
      <c r="GB98">
        <v>-0.32596989999999998</v>
      </c>
      <c r="GC98">
        <v>-0.62231809999999999</v>
      </c>
      <c r="GD98">
        <v>-0.34709790000000001</v>
      </c>
      <c r="GE98">
        <v>-0.56742020000000004</v>
      </c>
      <c r="GF98">
        <v>0.18463199999999999</v>
      </c>
      <c r="GG98">
        <v>-0.1411328</v>
      </c>
      <c r="GH98">
        <v>-2.3915000000000002</v>
      </c>
      <c r="GI98">
        <v>5.7192749999999997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9.8629300000000003E-2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-1.171835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96.824849999999998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33</v>
      </c>
      <c r="OD98">
        <v>18769</v>
      </c>
      <c r="OE98">
        <v>0</v>
      </c>
      <c r="OF98">
        <v>83.265199999999993</v>
      </c>
      <c r="OG98">
        <v>17.899999999999999</v>
      </c>
      <c r="OH98">
        <v>79.058000000000007</v>
      </c>
    </row>
    <row r="99" spans="1:398">
      <c r="A99">
        <v>9</v>
      </c>
      <c r="B99" t="s">
        <v>36</v>
      </c>
      <c r="C99" t="s">
        <v>35</v>
      </c>
      <c r="D99">
        <v>2019</v>
      </c>
      <c r="E99">
        <v>12.8</v>
      </c>
      <c r="F99">
        <v>1.4764999999999999</v>
      </c>
      <c r="G99">
        <v>431</v>
      </c>
      <c r="H99">
        <v>21</v>
      </c>
      <c r="I99">
        <v>79</v>
      </c>
      <c r="J99">
        <v>3.3</v>
      </c>
      <c r="K99">
        <v>5.3</v>
      </c>
      <c r="L99">
        <v>0.2</v>
      </c>
      <c r="M99">
        <v>0.8</v>
      </c>
      <c r="N99">
        <v>72533</v>
      </c>
      <c r="O99">
        <v>0.3</v>
      </c>
      <c r="P99">
        <v>1.01</v>
      </c>
      <c r="Q99">
        <v>6266.97</v>
      </c>
      <c r="R99">
        <v>36.299999999999997</v>
      </c>
      <c r="S99">
        <v>0.20699600000000001</v>
      </c>
      <c r="T99">
        <v>-0.66606620000000005</v>
      </c>
      <c r="U99">
        <v>-0.23947370000000001</v>
      </c>
      <c r="V99">
        <v>-0.56923040000000003</v>
      </c>
      <c r="W99">
        <v>-0.87357490000000004</v>
      </c>
      <c r="X99">
        <v>-0.5620986</v>
      </c>
      <c r="Y99">
        <v>-0.79316030000000004</v>
      </c>
      <c r="Z99">
        <v>-0.62244860000000002</v>
      </c>
      <c r="AA99">
        <v>-1.3073250000000001</v>
      </c>
      <c r="AB99">
        <v>-1.2446410000000001</v>
      </c>
      <c r="AC99">
        <v>-0.3343274</v>
      </c>
      <c r="AD99">
        <v>0.3806486</v>
      </c>
      <c r="AE99">
        <v>-0.46925939999999999</v>
      </c>
      <c r="AF99">
        <v>-9.9237099999999995E-2</v>
      </c>
      <c r="AG99">
        <v>-0.61820140000000001</v>
      </c>
      <c r="AH99">
        <v>-1.4668270000000001</v>
      </c>
      <c r="AI99">
        <v>2.549445</v>
      </c>
      <c r="AJ99">
        <v>0.38967449999999998</v>
      </c>
      <c r="AK99">
        <v>6.0661079999999998</v>
      </c>
      <c r="AL99">
        <v>4.3694480000000002</v>
      </c>
      <c r="AM99">
        <v>1.1939219999999999</v>
      </c>
      <c r="AN99">
        <v>1.6677070000000001</v>
      </c>
      <c r="AO99">
        <v>11.191800000000001</v>
      </c>
      <c r="AP99">
        <v>9.9503000000000005E-3</v>
      </c>
      <c r="AQ99">
        <v>8.7430489999999992</v>
      </c>
      <c r="AR99">
        <v>4.4209800000000001</v>
      </c>
      <c r="AS99">
        <v>2.91777</v>
      </c>
      <c r="AT99">
        <v>9.8635300000000008</v>
      </c>
      <c r="AU99">
        <v>79.388000000000005</v>
      </c>
      <c r="AV99">
        <v>80.590100000000007</v>
      </c>
      <c r="AW99">
        <v>2.4117199999999999</v>
      </c>
      <c r="AX99" s="17">
        <v>5000000000</v>
      </c>
      <c r="AY99">
        <v>3.5175000000000001</v>
      </c>
      <c r="AZ99">
        <v>0.5</v>
      </c>
      <c r="BA99">
        <v>-1.203973</v>
      </c>
      <c r="BB99">
        <v>-1.2039728000000001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-3.5065599999999999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5.1047999999999996E-3</v>
      </c>
      <c r="CG99">
        <v>0.37969580000000003</v>
      </c>
      <c r="CH99">
        <v>0.12328699999999999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-1.823304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0.14416889999999999</v>
      </c>
      <c r="DI99">
        <v>3.3244379999999998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0.18984790000000001</v>
      </c>
      <c r="DW99">
        <v>-0.91165200000000002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13.929919999999999</v>
      </c>
      <c r="EW99">
        <v>7.1355299999999997E-2</v>
      </c>
      <c r="EX99">
        <v>7.1229600000000004E-2</v>
      </c>
      <c r="EY99">
        <v>7.1372099999999994E-2</v>
      </c>
      <c r="EZ99">
        <v>7.1448200000000003E-2</v>
      </c>
      <c r="FA99">
        <v>7.1256299999999995E-2</v>
      </c>
      <c r="FB99">
        <v>7.1574600000000002E-2</v>
      </c>
      <c r="FC99">
        <v>7.1786299999999997E-2</v>
      </c>
      <c r="FD99">
        <v>7.1666499999999994E-2</v>
      </c>
      <c r="FE99">
        <v>7.1587300000000006E-2</v>
      </c>
      <c r="FF99">
        <v>7.1392399999999995E-2</v>
      </c>
      <c r="FG99">
        <v>7.1633100000000005E-2</v>
      </c>
      <c r="FH99">
        <v>7.1095199999999997E-2</v>
      </c>
      <c r="FI99">
        <v>7.1419399999999994E-2</v>
      </c>
      <c r="FJ99">
        <v>7.1183800000000005E-2</v>
      </c>
      <c r="FK99">
        <v>0.20661579999999999</v>
      </c>
      <c r="FL99">
        <v>4.2690100000000002E-2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-0.66606620000000005</v>
      </c>
      <c r="FZ99">
        <v>-0.23947370000000001</v>
      </c>
      <c r="GA99">
        <v>-0.56923040000000003</v>
      </c>
      <c r="GB99">
        <v>-0.5620986</v>
      </c>
      <c r="GC99">
        <v>-0.62244860000000002</v>
      </c>
      <c r="GD99">
        <v>-0.3343274</v>
      </c>
      <c r="GE99">
        <v>-0.61820140000000001</v>
      </c>
      <c r="GF99">
        <v>0.3806486</v>
      </c>
      <c r="GG99">
        <v>-0.46925939999999999</v>
      </c>
      <c r="GH99">
        <v>-2.1303890000000001</v>
      </c>
      <c r="GI99">
        <v>4.5385590000000002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0.10330789999999999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-1.0651949999999999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97.289320000000004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33.700000000000003</v>
      </c>
      <c r="OD99">
        <v>19216.7</v>
      </c>
      <c r="OE99">
        <v>0.03</v>
      </c>
      <c r="OF99">
        <v>83.177499999999995</v>
      </c>
      <c r="OG99">
        <v>18.5</v>
      </c>
      <c r="OH99">
        <v>79.388000000000005</v>
      </c>
    </row>
    <row r="100" spans="1:398">
      <c r="A100">
        <v>9</v>
      </c>
      <c r="B100" t="s">
        <v>36</v>
      </c>
      <c r="C100" t="s">
        <v>35</v>
      </c>
      <c r="D100">
        <v>2020</v>
      </c>
      <c r="E100">
        <v>11.805999999999999</v>
      </c>
      <c r="F100">
        <v>1.5230999999999999</v>
      </c>
      <c r="G100">
        <v>436</v>
      </c>
      <c r="H100">
        <v>18.100000000000001</v>
      </c>
      <c r="I100">
        <v>84.6</v>
      </c>
      <c r="J100">
        <v>4.2</v>
      </c>
      <c r="K100">
        <v>18.8</v>
      </c>
      <c r="L100">
        <v>0.1</v>
      </c>
      <c r="M100">
        <v>0.6</v>
      </c>
      <c r="N100">
        <v>61139</v>
      </c>
      <c r="O100">
        <v>0.5</v>
      </c>
      <c r="P100">
        <v>0.96</v>
      </c>
      <c r="Q100">
        <v>5271.02</v>
      </c>
      <c r="R100">
        <v>39.200000000000003</v>
      </c>
      <c r="S100">
        <v>0.19816500000000001</v>
      </c>
      <c r="T100">
        <v>-0.78683159999999996</v>
      </c>
      <c r="U100">
        <v>-0.19474939999999999</v>
      </c>
      <c r="V100">
        <v>-0.53126810000000002</v>
      </c>
      <c r="W100">
        <v>-1.0602560000000001</v>
      </c>
      <c r="X100">
        <v>0.21573829999999999</v>
      </c>
      <c r="Y100">
        <v>-0.64904249999999997</v>
      </c>
      <c r="Z100">
        <v>-0.62068690000000004</v>
      </c>
      <c r="AA100">
        <v>-1.585459</v>
      </c>
      <c r="AB100">
        <v>-1.508494</v>
      </c>
      <c r="AC100">
        <v>-0.39482929999999999</v>
      </c>
      <c r="AD100">
        <v>0.13562759999999999</v>
      </c>
      <c r="AE100">
        <v>-0.79738589999999998</v>
      </c>
      <c r="AF100">
        <v>5.3529500000000001E-2</v>
      </c>
      <c r="AG100">
        <v>-0.60778480000000001</v>
      </c>
      <c r="AH100">
        <v>-1.619934</v>
      </c>
      <c r="AI100">
        <v>2.4686080000000001</v>
      </c>
      <c r="AJ100">
        <v>0.42074780000000001</v>
      </c>
      <c r="AK100">
        <v>6.077642</v>
      </c>
      <c r="AL100">
        <v>4.4379340000000003</v>
      </c>
      <c r="AM100">
        <v>1.435084</v>
      </c>
      <c r="AN100">
        <v>2.9338570000000002</v>
      </c>
      <c r="AO100">
        <v>11.020910000000001</v>
      </c>
      <c r="AP100">
        <v>-4.0821999999999997E-2</v>
      </c>
      <c r="AQ100">
        <v>8.569979</v>
      </c>
      <c r="AR100">
        <v>4.4188299999999998</v>
      </c>
      <c r="AS100">
        <v>3.0007199999999998</v>
      </c>
      <c r="AT100">
        <v>9.7692099999999993</v>
      </c>
      <c r="AU100">
        <v>79.715000000000003</v>
      </c>
      <c r="AV100">
        <v>70.293800000000005</v>
      </c>
      <c r="AW100">
        <v>1.72638</v>
      </c>
      <c r="AX100" s="17">
        <v>3300000000</v>
      </c>
      <c r="AY100">
        <v>3.5351499999999998</v>
      </c>
      <c r="AZ100">
        <v>0.49</v>
      </c>
      <c r="BA100">
        <v>-0.69314719999999996</v>
      </c>
      <c r="BB100">
        <v>-0.69314717999999997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-2.99573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4.2110000000000003E-3</v>
      </c>
      <c r="CG100">
        <v>0.37555840000000001</v>
      </c>
      <c r="CH100">
        <v>0.116615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-1.736103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0.14104410000000001</v>
      </c>
      <c r="DI100">
        <v>3.0140530000000001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0.18402360000000001</v>
      </c>
      <c r="DW100">
        <v>-0.85069039999999996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13.934100000000001</v>
      </c>
      <c r="EW100">
        <v>7.1362999999999996E-2</v>
      </c>
      <c r="EX100">
        <v>7.1195400000000006E-2</v>
      </c>
      <c r="EY100">
        <v>7.1344000000000005E-2</v>
      </c>
      <c r="EZ100">
        <v>7.1476100000000001E-2</v>
      </c>
      <c r="FA100">
        <v>7.1158399999999997E-2</v>
      </c>
      <c r="FB100">
        <v>7.1481299999999998E-2</v>
      </c>
      <c r="FC100">
        <v>7.17613E-2</v>
      </c>
      <c r="FD100">
        <v>7.1766399999999994E-2</v>
      </c>
      <c r="FE100">
        <v>7.1687200000000006E-2</v>
      </c>
      <c r="FF100">
        <v>7.1424600000000005E-2</v>
      </c>
      <c r="FG100">
        <v>7.1604100000000004E-2</v>
      </c>
      <c r="FH100">
        <v>7.1137099999999995E-2</v>
      </c>
      <c r="FI100">
        <v>7.1482599999999993E-2</v>
      </c>
      <c r="FJ100">
        <v>7.1118600000000004E-2</v>
      </c>
      <c r="FK100">
        <v>0.19771349999999999</v>
      </c>
      <c r="FL100">
        <v>3.9090600000000003E-2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-0.78683159999999996</v>
      </c>
      <c r="FZ100">
        <v>-0.19474939999999999</v>
      </c>
      <c r="GA100">
        <v>-0.53126810000000002</v>
      </c>
      <c r="GB100">
        <v>0.21573829999999999</v>
      </c>
      <c r="GC100">
        <v>-0.62068690000000004</v>
      </c>
      <c r="GD100">
        <v>-0.39482929999999999</v>
      </c>
      <c r="GE100">
        <v>-0.60778480000000001</v>
      </c>
      <c r="GF100">
        <v>0.13562759999999999</v>
      </c>
      <c r="GG100">
        <v>-0.79738589999999998</v>
      </c>
      <c r="GH100">
        <v>-2.3922659999999998</v>
      </c>
      <c r="GI100">
        <v>5.7229369999999999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9.6879599999999996E-2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-1.17221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95.437520000000006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34.299999999999997</v>
      </c>
      <c r="OD100">
        <v>17487</v>
      </c>
      <c r="OE100">
        <v>0.05</v>
      </c>
      <c r="OF100">
        <v>82.999200000000002</v>
      </c>
      <c r="OG100">
        <v>20.100000000000001</v>
      </c>
      <c r="OH100">
        <v>79.715000000000003</v>
      </c>
    </row>
    <row r="101" spans="1:398">
      <c r="A101">
        <v>10</v>
      </c>
      <c r="B101" t="s">
        <v>112</v>
      </c>
      <c r="C101" t="s">
        <v>113</v>
      </c>
      <c r="D101">
        <v>2010</v>
      </c>
      <c r="E101">
        <v>13.397</v>
      </c>
      <c r="F101">
        <v>1.833</v>
      </c>
      <c r="G101">
        <v>488</v>
      </c>
      <c r="H101">
        <v>29.2</v>
      </c>
      <c r="I101">
        <v>67.400000000000006</v>
      </c>
      <c r="J101">
        <v>1.4</v>
      </c>
      <c r="K101">
        <v>4470.3</v>
      </c>
      <c r="L101">
        <v>0.1</v>
      </c>
      <c r="M101">
        <v>1</v>
      </c>
      <c r="N101">
        <v>354615</v>
      </c>
      <c r="O101">
        <v>17.72</v>
      </c>
      <c r="P101">
        <v>0.84</v>
      </c>
      <c r="Q101">
        <v>6200.92</v>
      </c>
      <c r="R101">
        <v>32.6</v>
      </c>
      <c r="S101">
        <v>0.23974799999999999</v>
      </c>
      <c r="T101">
        <v>-0.59353400000000001</v>
      </c>
      <c r="U101">
        <v>0.102677</v>
      </c>
      <c r="V101">
        <v>-0.1364599</v>
      </c>
      <c r="W101">
        <v>-0.3457171</v>
      </c>
      <c r="X101">
        <v>-2.1733319999999998</v>
      </c>
      <c r="Y101">
        <v>-1.0974090000000001</v>
      </c>
      <c r="Z101">
        <v>-3.9805699999999999E-2</v>
      </c>
      <c r="AA101">
        <v>-1.585459</v>
      </c>
      <c r="AB101">
        <v>-0.98078790000000005</v>
      </c>
      <c r="AC101">
        <v>1.163521</v>
      </c>
      <c r="AD101">
        <v>-0.45242250000000001</v>
      </c>
      <c r="AE101">
        <v>-0.4910215</v>
      </c>
      <c r="AF101">
        <v>-0.29414620000000002</v>
      </c>
      <c r="AG101">
        <v>0.28908850000000003</v>
      </c>
      <c r="AH101">
        <v>-0.49847849999999999</v>
      </c>
      <c r="AI101">
        <v>2.5950310000000001</v>
      </c>
      <c r="AJ101">
        <v>0.60595390000000005</v>
      </c>
      <c r="AK101">
        <v>6.190315</v>
      </c>
      <c r="AL101">
        <v>4.2106450000000004</v>
      </c>
      <c r="AM101">
        <v>0.3364722</v>
      </c>
      <c r="AN101">
        <v>8.4052100000000003</v>
      </c>
      <c r="AO101">
        <v>12.778790000000001</v>
      </c>
      <c r="AP101">
        <v>-0.17435339999999999</v>
      </c>
      <c r="AQ101">
        <v>8.7324520000000003</v>
      </c>
      <c r="AR101">
        <v>4.53423</v>
      </c>
      <c r="AS101">
        <v>2.66723</v>
      </c>
      <c r="AT101">
        <v>10.1568</v>
      </c>
      <c r="AU101">
        <v>78.441999999999993</v>
      </c>
      <c r="AV101">
        <v>52.693399999999997</v>
      </c>
      <c r="AW101">
        <v>2.5636999999999999</v>
      </c>
      <c r="AX101" s="17">
        <v>37000000000</v>
      </c>
      <c r="AY101">
        <v>2.6026899999999999</v>
      </c>
      <c r="AZ101">
        <v>0.84</v>
      </c>
      <c r="BA101">
        <v>2.8746939999999999</v>
      </c>
      <c r="BB101">
        <v>2.8746939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-0.967584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7.4932000000000002E-3</v>
      </c>
      <c r="CG101">
        <v>0.43599919999999998</v>
      </c>
      <c r="CH101">
        <v>0.22978999999999999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-6.13644E-2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0.19009529999999999</v>
      </c>
      <c r="DI101">
        <v>3.7656E-3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0.36623929999999999</v>
      </c>
      <c r="DW101">
        <v>-5.1546099999999997E-2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13.90687</v>
      </c>
      <c r="EW101">
        <v>7.1462300000000006E-2</v>
      </c>
      <c r="EX101">
        <v>7.1231299999999997E-2</v>
      </c>
      <c r="EY101">
        <v>7.1396799999999996E-2</v>
      </c>
      <c r="EZ101">
        <v>7.1443800000000002E-2</v>
      </c>
      <c r="FA101">
        <v>7.1564100000000005E-2</v>
      </c>
      <c r="FB101">
        <v>7.1878499999999998E-2</v>
      </c>
      <c r="FC101">
        <v>7.1347900000000006E-2</v>
      </c>
      <c r="FD101">
        <v>7.1906899999999996E-2</v>
      </c>
      <c r="FE101">
        <v>7.1602200000000005E-2</v>
      </c>
      <c r="FF101">
        <v>7.0590200000000006E-2</v>
      </c>
      <c r="FG101">
        <v>7.1228E-2</v>
      </c>
      <c r="FH101">
        <v>7.1425900000000001E-2</v>
      </c>
      <c r="FI101">
        <v>7.1545899999999996E-2</v>
      </c>
      <c r="FJ101">
        <v>7.1376200000000001E-2</v>
      </c>
      <c r="FK101">
        <v>0.2393081</v>
      </c>
      <c r="FL101">
        <v>5.7268399999999997E-2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-0.59353400000000001</v>
      </c>
      <c r="FZ101">
        <v>0.102677</v>
      </c>
      <c r="GA101">
        <v>-0.1364599</v>
      </c>
      <c r="GB101">
        <v>-2.1733319999999998</v>
      </c>
      <c r="GC101">
        <v>-3.9805699999999999E-2</v>
      </c>
      <c r="GD101">
        <v>1.163521</v>
      </c>
      <c r="GE101">
        <v>0.28908850000000003</v>
      </c>
      <c r="GF101">
        <v>-0.45242250000000001</v>
      </c>
      <c r="GG101">
        <v>-0.4910215</v>
      </c>
      <c r="GH101">
        <v>-0.54708310000000004</v>
      </c>
      <c r="GI101">
        <v>0.29930000000000001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0.2010188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-0.45954980000000001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103.161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13.5</v>
      </c>
      <c r="OD101">
        <v>25766.3</v>
      </c>
      <c r="OE101">
        <v>0.38</v>
      </c>
      <c r="OF101">
        <v>93.151899999999998</v>
      </c>
      <c r="OG101">
        <v>14.4</v>
      </c>
      <c r="OH101">
        <v>78.441999999999993</v>
      </c>
    </row>
    <row r="102" spans="1:398">
      <c r="A102">
        <v>10</v>
      </c>
      <c r="B102" t="s">
        <v>112</v>
      </c>
      <c r="C102" t="s">
        <v>113</v>
      </c>
      <c r="D102">
        <v>2011</v>
      </c>
      <c r="E102">
        <v>12.143000000000001</v>
      </c>
      <c r="F102">
        <v>2.0602999999999998</v>
      </c>
      <c r="G102">
        <v>498</v>
      </c>
      <c r="H102">
        <v>26.7</v>
      </c>
      <c r="I102">
        <v>80.3</v>
      </c>
      <c r="J102">
        <v>9.9</v>
      </c>
      <c r="K102">
        <v>4464.8999999999996</v>
      </c>
      <c r="L102">
        <v>0.2</v>
      </c>
      <c r="M102">
        <v>1.2</v>
      </c>
      <c r="N102">
        <v>347090</v>
      </c>
      <c r="O102">
        <v>17.66</v>
      </c>
      <c r="P102">
        <v>0.83</v>
      </c>
      <c r="Q102">
        <v>5625.69</v>
      </c>
      <c r="R102">
        <v>35.4</v>
      </c>
      <c r="S102">
        <v>0.27907599999999999</v>
      </c>
      <c r="T102">
        <v>-0.74588810000000005</v>
      </c>
      <c r="U102">
        <v>0.32082840000000001</v>
      </c>
      <c r="V102">
        <v>-6.0535199999999997E-2</v>
      </c>
      <c r="W102">
        <v>-0.50664929999999997</v>
      </c>
      <c r="X102">
        <v>-0.3815289</v>
      </c>
      <c r="Y102">
        <v>0.26370379999999999</v>
      </c>
      <c r="Z102">
        <v>-4.0510299999999999E-2</v>
      </c>
      <c r="AA102">
        <v>-1.3073250000000001</v>
      </c>
      <c r="AB102">
        <v>-0.71693459999999998</v>
      </c>
      <c r="AC102">
        <v>1.123564</v>
      </c>
      <c r="AD102">
        <v>-0.50142659999999994</v>
      </c>
      <c r="AE102">
        <v>-0.68053569999999997</v>
      </c>
      <c r="AF102">
        <v>-0.14664730000000001</v>
      </c>
      <c r="AG102">
        <v>0.28596359999999998</v>
      </c>
      <c r="AH102">
        <v>3.2465300000000002E-2</v>
      </c>
      <c r="AI102">
        <v>2.496753</v>
      </c>
      <c r="AJ102">
        <v>0.72285160000000004</v>
      </c>
      <c r="AK102">
        <v>6.2106000000000003</v>
      </c>
      <c r="AL102">
        <v>4.3857699999999999</v>
      </c>
      <c r="AM102">
        <v>2.292535</v>
      </c>
      <c r="AN102">
        <v>8.4040020000000002</v>
      </c>
      <c r="AO102">
        <v>12.757339999999999</v>
      </c>
      <c r="AP102">
        <v>-0.18632960000000001</v>
      </c>
      <c r="AQ102">
        <v>8.6350990000000003</v>
      </c>
      <c r="AR102">
        <v>4.5380399999999996</v>
      </c>
      <c r="AS102">
        <v>2.6878500000000001</v>
      </c>
      <c r="AT102">
        <v>10.146800000000001</v>
      </c>
      <c r="AU102">
        <v>78.673000000000002</v>
      </c>
      <c r="AV102">
        <v>58.511800000000001</v>
      </c>
      <c r="AW102">
        <v>1.80375</v>
      </c>
      <c r="AX102" s="17">
        <v>27000000000</v>
      </c>
      <c r="AY102">
        <v>2.6026899999999999</v>
      </c>
      <c r="AZ102">
        <v>0.83</v>
      </c>
      <c r="BA102">
        <v>2.871302</v>
      </c>
      <c r="BB102">
        <v>2.8713020999999999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-0.967584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6.7016999999999997E-3</v>
      </c>
      <c r="CG102">
        <v>0.47385240000000001</v>
      </c>
      <c r="CH102">
        <v>0.26216899999999999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0.48322710000000002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0.22453609999999999</v>
      </c>
      <c r="DI102">
        <v>0.2335084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0.39329750000000002</v>
      </c>
      <c r="DW102">
        <v>0.4010785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13.893330000000001</v>
      </c>
      <c r="EW102">
        <v>7.1567699999999998E-2</v>
      </c>
      <c r="EX102">
        <v>7.1232699999999996E-2</v>
      </c>
      <c r="EY102">
        <v>7.14534E-2</v>
      </c>
      <c r="EZ102">
        <v>7.1552900000000003E-2</v>
      </c>
      <c r="FA102">
        <v>7.1435299999999993E-2</v>
      </c>
      <c r="FB102">
        <v>7.1314699999999995E-2</v>
      </c>
      <c r="FC102">
        <v>7.1422100000000002E-2</v>
      </c>
      <c r="FD102">
        <v>7.18554E-2</v>
      </c>
      <c r="FE102">
        <v>7.1578600000000006E-2</v>
      </c>
      <c r="FF102">
        <v>7.0705599999999993E-2</v>
      </c>
      <c r="FG102">
        <v>7.1305199999999999E-2</v>
      </c>
      <c r="FH102">
        <v>7.1511099999999994E-2</v>
      </c>
      <c r="FI102">
        <v>7.1664400000000003E-2</v>
      </c>
      <c r="FJ102">
        <v>7.1400900000000003E-2</v>
      </c>
      <c r="FK102">
        <v>0.27880369999999999</v>
      </c>
      <c r="FL102">
        <v>7.7731499999999995E-2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-0.74588810000000005</v>
      </c>
      <c r="FZ102">
        <v>0.32082840000000001</v>
      </c>
      <c r="GA102">
        <v>-6.0535199999999997E-2</v>
      </c>
      <c r="GB102">
        <v>-0.3815289</v>
      </c>
      <c r="GC102">
        <v>-4.0510299999999999E-2</v>
      </c>
      <c r="GD102">
        <v>1.123564</v>
      </c>
      <c r="GE102">
        <v>0.28596359999999998</v>
      </c>
      <c r="GF102">
        <v>-0.50142659999999994</v>
      </c>
      <c r="GG102">
        <v>-0.68053569999999997</v>
      </c>
      <c r="GH102">
        <v>0.16463130000000001</v>
      </c>
      <c r="GI102">
        <v>2.7103499999999999E-2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0.2314071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0.13664399999999999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102.9586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13.5</v>
      </c>
      <c r="OD102">
        <v>25510.6</v>
      </c>
      <c r="OE102">
        <v>0.38</v>
      </c>
      <c r="OF102">
        <v>93.507800000000003</v>
      </c>
      <c r="OG102">
        <v>14.7</v>
      </c>
      <c r="OH102">
        <v>78.673000000000002</v>
      </c>
    </row>
    <row r="103" spans="1:398">
      <c r="A103">
        <v>10</v>
      </c>
      <c r="B103" t="s">
        <v>112</v>
      </c>
      <c r="C103" t="s">
        <v>113</v>
      </c>
      <c r="D103">
        <v>2012</v>
      </c>
      <c r="E103">
        <v>9.2240000000000002</v>
      </c>
      <c r="F103">
        <v>2.5129000000000001</v>
      </c>
      <c r="G103">
        <v>504</v>
      </c>
      <c r="H103">
        <v>29.8</v>
      </c>
      <c r="I103">
        <v>84.5</v>
      </c>
      <c r="J103">
        <v>9.8000000000000007</v>
      </c>
      <c r="K103">
        <v>5813.4</v>
      </c>
      <c r="L103">
        <v>0.3</v>
      </c>
      <c r="M103">
        <v>1.4</v>
      </c>
      <c r="N103">
        <v>343199</v>
      </c>
      <c r="O103">
        <v>18.37</v>
      </c>
      <c r="P103">
        <v>0.79</v>
      </c>
      <c r="Q103">
        <v>5690.82</v>
      </c>
      <c r="R103">
        <v>41.5</v>
      </c>
      <c r="S103">
        <v>0.30180099999999999</v>
      </c>
      <c r="T103">
        <v>-1.10053</v>
      </c>
      <c r="U103">
        <v>0.75521119999999997</v>
      </c>
      <c r="V103">
        <v>-1.49804E-2</v>
      </c>
      <c r="W103">
        <v>-0.30709340000000002</v>
      </c>
      <c r="X103">
        <v>0.20184859999999999</v>
      </c>
      <c r="Y103">
        <v>0.24769079999999999</v>
      </c>
      <c r="Z103">
        <v>0.13545699999999999</v>
      </c>
      <c r="AA103">
        <v>-1.029191</v>
      </c>
      <c r="AB103">
        <v>-0.45308130000000002</v>
      </c>
      <c r="AC103">
        <v>1.102903</v>
      </c>
      <c r="AD103">
        <v>-0.69744309999999998</v>
      </c>
      <c r="AE103">
        <v>-0.65907689999999997</v>
      </c>
      <c r="AF103">
        <v>0.17468919999999999</v>
      </c>
      <c r="AG103">
        <v>0.32294270000000003</v>
      </c>
      <c r="AH103">
        <v>0.46414070000000002</v>
      </c>
      <c r="AI103">
        <v>2.2218089999999999</v>
      </c>
      <c r="AJ103">
        <v>0.92143750000000002</v>
      </c>
      <c r="AK103">
        <v>6.2225760000000001</v>
      </c>
      <c r="AL103">
        <v>4.4367510000000001</v>
      </c>
      <c r="AM103">
        <v>2.2823820000000001</v>
      </c>
      <c r="AN103">
        <v>8.6679209999999998</v>
      </c>
      <c r="AO103">
        <v>12.74607</v>
      </c>
      <c r="AP103">
        <v>-0.2357223</v>
      </c>
      <c r="AQ103">
        <v>8.6466100000000008</v>
      </c>
      <c r="AR103">
        <v>4.53803</v>
      </c>
      <c r="AS103">
        <v>2.7600099999999999</v>
      </c>
      <c r="AT103">
        <v>10.117100000000001</v>
      </c>
      <c r="AU103">
        <v>78.902000000000001</v>
      </c>
      <c r="AV103">
        <v>60.554000000000002</v>
      </c>
      <c r="AW103">
        <v>1.5663800000000001</v>
      </c>
      <c r="AX103" s="17">
        <v>21000000000</v>
      </c>
      <c r="AY103">
        <v>2.67415</v>
      </c>
      <c r="AZ103">
        <v>0.83</v>
      </c>
      <c r="BA103">
        <v>2.9107189999999998</v>
      </c>
      <c r="BB103">
        <v>2.9107189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-0.94160900000000003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7.5633000000000002E-3</v>
      </c>
      <c r="CG103">
        <v>0.48637799999999998</v>
      </c>
      <c r="CH103">
        <v>0.28334300000000001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0.8829475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0.23656350000000001</v>
      </c>
      <c r="DI103">
        <v>0.77959630000000002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0.40369369999999999</v>
      </c>
      <c r="DW103">
        <v>0.73284640000000001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13.88691</v>
      </c>
      <c r="EW103">
        <v>7.16836E-2</v>
      </c>
      <c r="EX103">
        <v>7.1135599999999993E-2</v>
      </c>
      <c r="EY103">
        <v>7.1480299999999997E-2</v>
      </c>
      <c r="EZ103">
        <v>7.1543099999999998E-2</v>
      </c>
      <c r="FA103">
        <v>7.1413199999999996E-2</v>
      </c>
      <c r="FB103">
        <v>7.1359400000000003E-2</v>
      </c>
      <c r="FC103">
        <v>7.1334800000000004E-2</v>
      </c>
      <c r="FD103">
        <v>7.1793499999999996E-2</v>
      </c>
      <c r="FE103">
        <v>7.1526199999999998E-2</v>
      </c>
      <c r="FF103">
        <v>7.07734E-2</v>
      </c>
      <c r="FG103">
        <v>7.1327000000000002E-2</v>
      </c>
      <c r="FH103">
        <v>7.1598400000000006E-2</v>
      </c>
      <c r="FI103">
        <v>7.1693300000000001E-2</v>
      </c>
      <c r="FJ103">
        <v>7.1338299999999993E-2</v>
      </c>
      <c r="FK103">
        <v>0.30152489999999998</v>
      </c>
      <c r="FL103">
        <v>9.0917300000000006E-2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-1.10053</v>
      </c>
      <c r="FZ103">
        <v>0.75521119999999997</v>
      </c>
      <c r="GA103">
        <v>-1.49804E-2</v>
      </c>
      <c r="GB103">
        <v>0.20184859999999999</v>
      </c>
      <c r="GC103">
        <v>0.13545699999999999</v>
      </c>
      <c r="GD103">
        <v>1.102903</v>
      </c>
      <c r="GE103">
        <v>0.32294270000000003</v>
      </c>
      <c r="GF103">
        <v>-0.69744309999999998</v>
      </c>
      <c r="GG103">
        <v>-0.65907689999999997</v>
      </c>
      <c r="GH103">
        <v>0.69216900000000003</v>
      </c>
      <c r="GI103">
        <v>0.47909780000000002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0.25026569999999998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0.57450020000000002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1</v>
      </c>
      <c r="LR103">
        <v>1</v>
      </c>
      <c r="LS103">
        <v>1</v>
      </c>
      <c r="LT103">
        <v>1</v>
      </c>
      <c r="LU103">
        <v>1</v>
      </c>
      <c r="LV103">
        <v>1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1</v>
      </c>
      <c r="MF103">
        <v>1</v>
      </c>
      <c r="MG103">
        <v>1</v>
      </c>
      <c r="MH103">
        <v>1</v>
      </c>
      <c r="MI103">
        <v>1</v>
      </c>
      <c r="MJ103">
        <v>1</v>
      </c>
      <c r="MK103">
        <v>1</v>
      </c>
      <c r="ML103">
        <v>1</v>
      </c>
      <c r="MM103">
        <v>1</v>
      </c>
      <c r="MN103">
        <v>1</v>
      </c>
      <c r="MO103">
        <v>1</v>
      </c>
      <c r="MP103">
        <v>1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1</v>
      </c>
      <c r="MY103">
        <v>1</v>
      </c>
      <c r="MZ103">
        <v>1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1</v>
      </c>
      <c r="NJ103">
        <v>1</v>
      </c>
      <c r="NK103">
        <v>1</v>
      </c>
      <c r="NL103">
        <v>1</v>
      </c>
      <c r="NM103">
        <v>1</v>
      </c>
      <c r="NN103">
        <v>1</v>
      </c>
      <c r="NO103">
        <v>1</v>
      </c>
      <c r="NP103">
        <v>102.3563</v>
      </c>
      <c r="NQ103">
        <v>1</v>
      </c>
      <c r="NR103">
        <v>1</v>
      </c>
      <c r="NS103">
        <v>1</v>
      </c>
      <c r="NT103">
        <v>1</v>
      </c>
      <c r="NU103">
        <v>1</v>
      </c>
      <c r="NV103">
        <v>1</v>
      </c>
      <c r="NW103">
        <v>1</v>
      </c>
      <c r="NX103">
        <v>1</v>
      </c>
      <c r="NY103">
        <v>1</v>
      </c>
      <c r="NZ103">
        <v>1</v>
      </c>
      <c r="OA103">
        <v>1</v>
      </c>
      <c r="OB103">
        <v>1</v>
      </c>
      <c r="OC103">
        <v>14.5</v>
      </c>
      <c r="OD103">
        <v>24763.599999999999</v>
      </c>
      <c r="OE103">
        <v>0.39</v>
      </c>
      <c r="OF103">
        <v>93.506799999999998</v>
      </c>
      <c r="OG103">
        <v>15.8</v>
      </c>
      <c r="OH103">
        <v>78.902000000000001</v>
      </c>
    </row>
    <row r="104" spans="1:398">
      <c r="A104">
        <v>10</v>
      </c>
      <c r="B104" t="s">
        <v>112</v>
      </c>
      <c r="C104" t="s">
        <v>113</v>
      </c>
      <c r="D104">
        <v>2013</v>
      </c>
      <c r="E104">
        <v>8.3710000000000004</v>
      </c>
      <c r="F104">
        <v>2.6389</v>
      </c>
      <c r="G104">
        <v>515</v>
      </c>
      <c r="H104">
        <v>32.5</v>
      </c>
      <c r="I104">
        <v>82</v>
      </c>
      <c r="J104">
        <v>8.9</v>
      </c>
      <c r="K104">
        <v>6137.4</v>
      </c>
      <c r="L104">
        <v>0.4</v>
      </c>
      <c r="M104">
        <v>1.6</v>
      </c>
      <c r="N104">
        <v>362476</v>
      </c>
      <c r="O104">
        <v>29.64</v>
      </c>
      <c r="P104">
        <v>0.78</v>
      </c>
      <c r="Q104">
        <v>5911.86</v>
      </c>
      <c r="R104">
        <v>41.7</v>
      </c>
      <c r="S104">
        <v>0.31829000000000002</v>
      </c>
      <c r="T104">
        <v>-1.2041649999999999</v>
      </c>
      <c r="U104">
        <v>0.87613960000000002</v>
      </c>
      <c r="V104">
        <v>6.8536700000000006E-2</v>
      </c>
      <c r="W104">
        <v>-0.13328660000000001</v>
      </c>
      <c r="X104">
        <v>-0.14540020000000001</v>
      </c>
      <c r="Y104">
        <v>0.10357280000000001</v>
      </c>
      <c r="Z104">
        <v>0.17773610000000001</v>
      </c>
      <c r="AA104">
        <v>-0.75105639999999996</v>
      </c>
      <c r="AB104">
        <v>-0.18922800000000001</v>
      </c>
      <c r="AC104">
        <v>1.205263</v>
      </c>
      <c r="AD104">
        <v>-0.74644759999999999</v>
      </c>
      <c r="AE104">
        <v>-0.58625360000000004</v>
      </c>
      <c r="AF104">
        <v>0.1852248</v>
      </c>
      <c r="AG104">
        <v>0.90992070000000003</v>
      </c>
      <c r="AH104">
        <v>0.85716150000000002</v>
      </c>
      <c r="AI104">
        <v>2.1247739999999999</v>
      </c>
      <c r="AJ104">
        <v>0.97036219999999995</v>
      </c>
      <c r="AK104">
        <v>6.244167</v>
      </c>
      <c r="AL104">
        <v>4.4067189999999998</v>
      </c>
      <c r="AM104">
        <v>2.186051</v>
      </c>
      <c r="AN104">
        <v>8.7221569999999993</v>
      </c>
      <c r="AO104">
        <v>12.80071</v>
      </c>
      <c r="AP104">
        <v>-0.2484614</v>
      </c>
      <c r="AQ104">
        <v>8.6847159999999999</v>
      </c>
      <c r="AR104">
        <v>4.5347600000000003</v>
      </c>
      <c r="AS104">
        <v>2.8273100000000002</v>
      </c>
      <c r="AT104">
        <v>10.106</v>
      </c>
      <c r="AU104">
        <v>79.132999999999996</v>
      </c>
      <c r="AV104">
        <v>61.668799999999997</v>
      </c>
      <c r="AW104">
        <v>3.4608599999999998</v>
      </c>
      <c r="AX104" s="17">
        <v>47000000000</v>
      </c>
      <c r="AY104">
        <v>2.67415</v>
      </c>
      <c r="AZ104">
        <v>0.84</v>
      </c>
      <c r="BA104">
        <v>3.3891249999999999</v>
      </c>
      <c r="BB104">
        <v>3.3891249000000001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-0.44628699999999999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8.2886000000000001E-3</v>
      </c>
      <c r="CG104">
        <v>0.49277919999999997</v>
      </c>
      <c r="CH104">
        <v>0.30689699999999998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1.145006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0.2428313</v>
      </c>
      <c r="DI104">
        <v>1.3110390000000001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0.41393449999999998</v>
      </c>
      <c r="DW104">
        <v>0.96180529999999997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13.881270000000001</v>
      </c>
      <c r="EW104">
        <v>7.17386E-2</v>
      </c>
      <c r="EX104">
        <v>7.1139300000000003E-2</v>
      </c>
      <c r="EY104">
        <v>7.1495500000000003E-2</v>
      </c>
      <c r="EZ104">
        <v>7.15369E-2</v>
      </c>
      <c r="FA104">
        <v>7.1481600000000006E-2</v>
      </c>
      <c r="FB104">
        <v>7.1446899999999994E-2</v>
      </c>
      <c r="FC104">
        <v>7.1341699999999994E-2</v>
      </c>
      <c r="FD104">
        <v>7.1737800000000004E-2</v>
      </c>
      <c r="FE104">
        <v>7.1476399999999995E-2</v>
      </c>
      <c r="FF104">
        <v>7.0778099999999997E-2</v>
      </c>
      <c r="FG104">
        <v>7.1109000000000006E-2</v>
      </c>
      <c r="FH104">
        <v>7.1642700000000004E-2</v>
      </c>
      <c r="FI104">
        <v>7.1705400000000002E-2</v>
      </c>
      <c r="FJ104">
        <v>7.1370199999999995E-2</v>
      </c>
      <c r="FK104">
        <v>0.31802469999999999</v>
      </c>
      <c r="FL104">
        <v>0.1011397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-1.2041649999999999</v>
      </c>
      <c r="FZ104">
        <v>0.87613960000000002</v>
      </c>
      <c r="GA104">
        <v>6.8536700000000006E-2</v>
      </c>
      <c r="GB104">
        <v>-0.14540020000000001</v>
      </c>
      <c r="GC104">
        <v>0.17773610000000001</v>
      </c>
      <c r="GD104">
        <v>1.205263</v>
      </c>
      <c r="GE104">
        <v>0.90992070000000003</v>
      </c>
      <c r="GF104">
        <v>-0.74644759999999999</v>
      </c>
      <c r="GG104">
        <v>-0.58625360000000004</v>
      </c>
      <c r="GH104">
        <v>1.2859430000000001</v>
      </c>
      <c r="GI104">
        <v>1.6536489999999999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0.26714070000000001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1.080192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1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1</v>
      </c>
      <c r="IZ104">
        <v>1</v>
      </c>
      <c r="JA104">
        <v>1</v>
      </c>
      <c r="JB104">
        <v>1</v>
      </c>
      <c r="JC104">
        <v>1</v>
      </c>
      <c r="JD104">
        <v>1</v>
      </c>
      <c r="JE104">
        <v>1</v>
      </c>
      <c r="JF104">
        <v>1</v>
      </c>
      <c r="JG104">
        <v>1</v>
      </c>
      <c r="JH104">
        <v>1</v>
      </c>
      <c r="JI104">
        <v>1</v>
      </c>
      <c r="JJ104">
        <v>1</v>
      </c>
      <c r="JK104">
        <v>1</v>
      </c>
      <c r="JL104">
        <v>1</v>
      </c>
      <c r="JM104">
        <v>1</v>
      </c>
      <c r="JN104">
        <v>1</v>
      </c>
      <c r="JO104">
        <v>1</v>
      </c>
      <c r="JP104">
        <v>1</v>
      </c>
      <c r="JQ104">
        <v>1</v>
      </c>
      <c r="JR104">
        <v>1</v>
      </c>
      <c r="JS104">
        <v>1</v>
      </c>
      <c r="JT104">
        <v>1</v>
      </c>
      <c r="JU104">
        <v>1</v>
      </c>
      <c r="JV104">
        <v>1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1</v>
      </c>
      <c r="KD104">
        <v>1</v>
      </c>
      <c r="KE104">
        <v>1</v>
      </c>
      <c r="KF104">
        <v>1</v>
      </c>
      <c r="KG104">
        <v>1</v>
      </c>
      <c r="KH104">
        <v>1</v>
      </c>
      <c r="KI104">
        <v>1</v>
      </c>
      <c r="KJ104">
        <v>1</v>
      </c>
      <c r="KK104">
        <v>1</v>
      </c>
      <c r="KL104">
        <v>1</v>
      </c>
      <c r="KM104">
        <v>1</v>
      </c>
      <c r="KN104">
        <v>1</v>
      </c>
      <c r="KO104">
        <v>1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1</v>
      </c>
      <c r="KW104">
        <v>1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1</v>
      </c>
      <c r="LG104">
        <v>1</v>
      </c>
      <c r="LH104">
        <v>1</v>
      </c>
      <c r="LI104">
        <v>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1</v>
      </c>
      <c r="LP104">
        <v>1</v>
      </c>
      <c r="LQ104">
        <v>1</v>
      </c>
      <c r="LR104">
        <v>1</v>
      </c>
      <c r="LS104">
        <v>1</v>
      </c>
      <c r="LT104">
        <v>1</v>
      </c>
      <c r="LU104">
        <v>1</v>
      </c>
      <c r="LV104">
        <v>1</v>
      </c>
      <c r="LW104">
        <v>1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>
        <v>1</v>
      </c>
      <c r="ME104">
        <v>1</v>
      </c>
      <c r="MF104">
        <v>1</v>
      </c>
      <c r="MG104">
        <v>1</v>
      </c>
      <c r="MH104">
        <v>1</v>
      </c>
      <c r="MI104">
        <v>1</v>
      </c>
      <c r="MJ104">
        <v>1</v>
      </c>
      <c r="MK104">
        <v>1</v>
      </c>
      <c r="ML104">
        <v>1</v>
      </c>
      <c r="MM104">
        <v>1</v>
      </c>
      <c r="MN104">
        <v>1</v>
      </c>
      <c r="MO104">
        <v>1</v>
      </c>
      <c r="MP104">
        <v>1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102.1319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14.5</v>
      </c>
      <c r="OD104">
        <v>24490.2</v>
      </c>
      <c r="OE104">
        <v>0.64</v>
      </c>
      <c r="OF104">
        <v>93.200900000000004</v>
      </c>
      <c r="OG104">
        <v>16.899999999999999</v>
      </c>
      <c r="OH104">
        <v>79.132999999999996</v>
      </c>
    </row>
    <row r="105" spans="1:398">
      <c r="A105">
        <v>10</v>
      </c>
      <c r="B105" t="s">
        <v>112</v>
      </c>
      <c r="C105" t="s">
        <v>113</v>
      </c>
      <c r="D105">
        <v>2014</v>
      </c>
      <c r="E105">
        <v>8.65</v>
      </c>
      <c r="F105">
        <v>2.6488999999999998</v>
      </c>
      <c r="G105">
        <v>524</v>
      </c>
      <c r="H105">
        <v>30.8</v>
      </c>
      <c r="I105">
        <v>76.900000000000006</v>
      </c>
      <c r="J105">
        <v>7.7</v>
      </c>
      <c r="K105">
        <v>5949.4</v>
      </c>
      <c r="L105">
        <v>0.4</v>
      </c>
      <c r="M105">
        <v>1.6</v>
      </c>
      <c r="N105">
        <v>364718</v>
      </c>
      <c r="O105">
        <v>21.94</v>
      </c>
      <c r="P105">
        <v>0.77</v>
      </c>
      <c r="Q105">
        <v>5651.51</v>
      </c>
      <c r="R105">
        <v>43.3</v>
      </c>
      <c r="S105">
        <v>0.30415799999999998</v>
      </c>
      <c r="T105">
        <v>-1.1702680000000001</v>
      </c>
      <c r="U105">
        <v>0.8857372</v>
      </c>
      <c r="V105">
        <v>0.13686889999999999</v>
      </c>
      <c r="W105">
        <v>-0.24272050000000001</v>
      </c>
      <c r="X105">
        <v>-0.85378730000000003</v>
      </c>
      <c r="Y105">
        <v>-8.8584200000000002E-2</v>
      </c>
      <c r="Z105">
        <v>0.1532038</v>
      </c>
      <c r="AA105">
        <v>-0.75105639999999996</v>
      </c>
      <c r="AB105">
        <v>-0.18922800000000001</v>
      </c>
      <c r="AC105">
        <v>1.217168</v>
      </c>
      <c r="AD105">
        <v>-0.79545160000000004</v>
      </c>
      <c r="AE105">
        <v>-0.67202830000000002</v>
      </c>
      <c r="AF105">
        <v>0.26950970000000002</v>
      </c>
      <c r="AG105">
        <v>0.50887979999999999</v>
      </c>
      <c r="AH105">
        <v>0.69995529999999995</v>
      </c>
      <c r="AI105">
        <v>2.157559</v>
      </c>
      <c r="AJ105">
        <v>0.97414449999999997</v>
      </c>
      <c r="AK105">
        <v>6.2614919999999996</v>
      </c>
      <c r="AL105">
        <v>4.3425060000000002</v>
      </c>
      <c r="AM105">
        <v>2.04122</v>
      </c>
      <c r="AN105">
        <v>8.691046</v>
      </c>
      <c r="AO105">
        <v>12.80688</v>
      </c>
      <c r="AP105">
        <v>-0.26136480000000001</v>
      </c>
      <c r="AQ105">
        <v>8.6396789999999992</v>
      </c>
      <c r="AR105">
        <v>4.5317699999999999</v>
      </c>
      <c r="AS105">
        <v>2.8507099999999999</v>
      </c>
      <c r="AT105">
        <v>10.1241</v>
      </c>
      <c r="AU105">
        <v>79.366</v>
      </c>
      <c r="AV105">
        <v>63.399299999999997</v>
      </c>
      <c r="AW105">
        <v>2.3164199999999999</v>
      </c>
      <c r="AX105" s="17">
        <v>32000000000</v>
      </c>
      <c r="AY105">
        <v>2.6878500000000001</v>
      </c>
      <c r="AZ105">
        <v>0.88</v>
      </c>
      <c r="BA105">
        <v>3.088311</v>
      </c>
      <c r="BB105">
        <v>3.0883113999999998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-0.755023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7.7321999999999998E-3</v>
      </c>
      <c r="CG105">
        <v>0.48253869999999999</v>
      </c>
      <c r="CH105">
        <v>0.29298000000000002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1.0321400000000001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0.23284360000000001</v>
      </c>
      <c r="DI105">
        <v>1.065313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0.42463410000000001</v>
      </c>
      <c r="DW105">
        <v>0.90828310000000001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13.887090000000001</v>
      </c>
      <c r="EW105">
        <v>7.1701500000000001E-2</v>
      </c>
      <c r="EX105">
        <v>7.1118399999999998E-2</v>
      </c>
      <c r="EY105">
        <v>7.1455400000000002E-2</v>
      </c>
      <c r="EZ105">
        <v>7.1533799999999995E-2</v>
      </c>
      <c r="FA105">
        <v>7.1528400000000006E-2</v>
      </c>
      <c r="FB105">
        <v>7.1494299999999997E-2</v>
      </c>
      <c r="FC105">
        <v>7.1334700000000001E-2</v>
      </c>
      <c r="FD105">
        <v>7.1708900000000006E-2</v>
      </c>
      <c r="FE105">
        <v>7.1450600000000003E-2</v>
      </c>
      <c r="FF105">
        <v>7.0767800000000006E-2</v>
      </c>
      <c r="FG105">
        <v>7.1258799999999997E-2</v>
      </c>
      <c r="FH105">
        <v>7.1627899999999994E-2</v>
      </c>
      <c r="FI105">
        <v>7.1697999999999998E-2</v>
      </c>
      <c r="FJ105">
        <v>7.1321700000000002E-2</v>
      </c>
      <c r="FK105">
        <v>0.30388140000000002</v>
      </c>
      <c r="FL105">
        <v>9.2343900000000007E-2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-1.1702680000000001</v>
      </c>
      <c r="FZ105">
        <v>0.8857372</v>
      </c>
      <c r="GA105">
        <v>0.13686889999999999</v>
      </c>
      <c r="GB105">
        <v>-0.85378730000000003</v>
      </c>
      <c r="GC105">
        <v>0.1532038</v>
      </c>
      <c r="GD105">
        <v>1.217168</v>
      </c>
      <c r="GE105">
        <v>0.50887979999999999</v>
      </c>
      <c r="GF105">
        <v>-0.79545160000000004</v>
      </c>
      <c r="GG105">
        <v>-0.67202830000000002</v>
      </c>
      <c r="GH105">
        <v>1.0239279999999999</v>
      </c>
      <c r="GI105">
        <v>1.0484290000000001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0.26741559999999998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0.90105690000000005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1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1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1</v>
      </c>
      <c r="KE105">
        <v>1</v>
      </c>
      <c r="KF105">
        <v>1</v>
      </c>
      <c r="KG105">
        <v>1</v>
      </c>
      <c r="KH105">
        <v>1</v>
      </c>
      <c r="KI105">
        <v>1</v>
      </c>
      <c r="KJ105">
        <v>1</v>
      </c>
      <c r="KK105">
        <v>1</v>
      </c>
      <c r="KL105">
        <v>1</v>
      </c>
      <c r="KM105">
        <v>1</v>
      </c>
      <c r="KN105">
        <v>1</v>
      </c>
      <c r="KO105">
        <v>1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1</v>
      </c>
      <c r="KW105">
        <v>1</v>
      </c>
      <c r="KX105">
        <v>1</v>
      </c>
      <c r="KY105">
        <v>1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1</v>
      </c>
      <c r="LG105">
        <v>1</v>
      </c>
      <c r="LH105">
        <v>1</v>
      </c>
      <c r="LI105">
        <v>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1</v>
      </c>
      <c r="LP105">
        <v>1</v>
      </c>
      <c r="LQ105">
        <v>1</v>
      </c>
      <c r="LR105">
        <v>1</v>
      </c>
      <c r="LS105">
        <v>1</v>
      </c>
      <c r="LT105">
        <v>1</v>
      </c>
      <c r="LU105">
        <v>1</v>
      </c>
      <c r="LV105">
        <v>1</v>
      </c>
      <c r="LW105">
        <v>1</v>
      </c>
      <c r="LX105">
        <v>1</v>
      </c>
      <c r="LY105">
        <v>1</v>
      </c>
      <c r="LZ105">
        <v>1</v>
      </c>
      <c r="MA105">
        <v>1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1</v>
      </c>
      <c r="MI105">
        <v>1</v>
      </c>
      <c r="MJ105">
        <v>1</v>
      </c>
      <c r="MK105">
        <v>1</v>
      </c>
      <c r="ML105">
        <v>1</v>
      </c>
      <c r="MM105">
        <v>1</v>
      </c>
      <c r="MN105">
        <v>1</v>
      </c>
      <c r="MO105">
        <v>1</v>
      </c>
      <c r="MP105">
        <v>1</v>
      </c>
      <c r="MQ105">
        <v>1</v>
      </c>
      <c r="MR105">
        <v>1</v>
      </c>
      <c r="MS105">
        <v>1</v>
      </c>
      <c r="MT105">
        <v>1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1</v>
      </c>
      <c r="NJ105">
        <v>1</v>
      </c>
      <c r="NK105">
        <v>1</v>
      </c>
      <c r="NL105">
        <v>1</v>
      </c>
      <c r="NM105">
        <v>1</v>
      </c>
      <c r="NN105">
        <v>1</v>
      </c>
      <c r="NO105">
        <v>1</v>
      </c>
      <c r="NP105">
        <v>102.49760000000001</v>
      </c>
      <c r="NQ105">
        <v>1</v>
      </c>
      <c r="NR105">
        <v>1</v>
      </c>
      <c r="NS105">
        <v>1</v>
      </c>
      <c r="NT105">
        <v>1</v>
      </c>
      <c r="NU105">
        <v>1</v>
      </c>
      <c r="NV105">
        <v>1</v>
      </c>
      <c r="NW105">
        <v>1</v>
      </c>
      <c r="NX105">
        <v>1</v>
      </c>
      <c r="NY105">
        <v>1</v>
      </c>
      <c r="NZ105">
        <v>1</v>
      </c>
      <c r="OA105">
        <v>1</v>
      </c>
      <c r="OB105">
        <v>1</v>
      </c>
      <c r="OC105">
        <v>14.7</v>
      </c>
      <c r="OD105">
        <v>24937</v>
      </c>
      <c r="OE105">
        <v>0.47</v>
      </c>
      <c r="OF105">
        <v>92.922700000000006</v>
      </c>
      <c r="OG105">
        <v>17.3</v>
      </c>
      <c r="OH105">
        <v>79.366</v>
      </c>
    </row>
    <row r="106" spans="1:398">
      <c r="A106">
        <v>10</v>
      </c>
      <c r="B106" t="s">
        <v>112</v>
      </c>
      <c r="C106" t="s">
        <v>113</v>
      </c>
      <c r="D106">
        <v>2015</v>
      </c>
      <c r="E106">
        <v>9.2690000000000001</v>
      </c>
      <c r="F106">
        <v>2.6311</v>
      </c>
      <c r="G106">
        <v>499</v>
      </c>
      <c r="H106">
        <v>30</v>
      </c>
      <c r="I106">
        <v>75.7</v>
      </c>
      <c r="J106">
        <v>7.6</v>
      </c>
      <c r="K106">
        <v>6533.2</v>
      </c>
      <c r="L106">
        <v>0.4</v>
      </c>
      <c r="M106">
        <v>1.6</v>
      </c>
      <c r="N106">
        <v>384276</v>
      </c>
      <c r="O106">
        <v>18.21</v>
      </c>
      <c r="P106">
        <v>0.77</v>
      </c>
      <c r="Q106">
        <v>5934.18</v>
      </c>
      <c r="R106">
        <v>43.7</v>
      </c>
      <c r="S106">
        <v>0.301653</v>
      </c>
      <c r="T106">
        <v>-1.0950629999999999</v>
      </c>
      <c r="U106">
        <v>0.86865349999999997</v>
      </c>
      <c r="V106">
        <v>-5.2942700000000002E-2</v>
      </c>
      <c r="W106">
        <v>-0.2942188</v>
      </c>
      <c r="X106">
        <v>-1.020467</v>
      </c>
      <c r="Y106">
        <v>-0.1045973</v>
      </c>
      <c r="Z106">
        <v>0.22938449999999999</v>
      </c>
      <c r="AA106">
        <v>-0.75105639999999996</v>
      </c>
      <c r="AB106">
        <v>-0.18922800000000001</v>
      </c>
      <c r="AC106">
        <v>1.3210200000000001</v>
      </c>
      <c r="AD106">
        <v>-0.79545160000000004</v>
      </c>
      <c r="AE106">
        <v>-0.57890249999999999</v>
      </c>
      <c r="AF106">
        <v>0.29058109999999998</v>
      </c>
      <c r="AG106">
        <v>0.31460929999999998</v>
      </c>
      <c r="AH106">
        <v>0.66665269999999999</v>
      </c>
      <c r="AI106">
        <v>2.2266759999999999</v>
      </c>
      <c r="AJ106">
        <v>0.96740199999999998</v>
      </c>
      <c r="AK106">
        <v>6.2126060000000001</v>
      </c>
      <c r="AL106">
        <v>4.326778</v>
      </c>
      <c r="AM106">
        <v>2.0281479999999998</v>
      </c>
      <c r="AN106">
        <v>8.7846519999999995</v>
      </c>
      <c r="AO106">
        <v>12.859120000000001</v>
      </c>
      <c r="AP106">
        <v>-0.26136480000000001</v>
      </c>
      <c r="AQ106">
        <v>8.6884829999999997</v>
      </c>
      <c r="AR106">
        <v>4.5320900000000002</v>
      </c>
      <c r="AS106">
        <v>2.7911700000000002</v>
      </c>
      <c r="AT106">
        <v>10.1647</v>
      </c>
      <c r="AU106">
        <v>79.602000000000004</v>
      </c>
      <c r="AV106">
        <v>63.582000000000001</v>
      </c>
      <c r="AW106">
        <v>1.97132</v>
      </c>
      <c r="AX106" s="17">
        <v>24000000000</v>
      </c>
      <c r="AY106">
        <v>2.7408399999999999</v>
      </c>
      <c r="AZ106">
        <v>0.88</v>
      </c>
      <c r="BA106">
        <v>2.9019710000000001</v>
      </c>
      <c r="BB106">
        <v>2.9019708999999998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-0.94160900000000003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7.4447000000000003E-3</v>
      </c>
      <c r="CG106">
        <v>0.48246610000000001</v>
      </c>
      <c r="CH106">
        <v>0.29537400000000003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0.98522909999999997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0.23277349999999999</v>
      </c>
      <c r="DI106">
        <v>0.97067630000000005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0.42457010000000001</v>
      </c>
      <c r="DW106">
        <v>0.86700160000000004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13.88851</v>
      </c>
      <c r="EW106">
        <v>7.1677599999999994E-2</v>
      </c>
      <c r="EX106">
        <v>7.1127599999999999E-2</v>
      </c>
      <c r="EY106">
        <v>7.1491299999999994E-2</v>
      </c>
      <c r="EZ106">
        <v>7.1540599999999996E-2</v>
      </c>
      <c r="FA106">
        <v>7.1541599999999997E-2</v>
      </c>
      <c r="FB106">
        <v>7.1496599999999993E-2</v>
      </c>
      <c r="FC106">
        <v>7.1284200000000006E-2</v>
      </c>
      <c r="FD106">
        <v>7.1702600000000005E-2</v>
      </c>
      <c r="FE106">
        <v>7.1447499999999997E-2</v>
      </c>
      <c r="FF106">
        <v>7.0738700000000002E-2</v>
      </c>
      <c r="FG106">
        <v>7.1345599999999995E-2</v>
      </c>
      <c r="FH106">
        <v>7.16223E-2</v>
      </c>
      <c r="FI106">
        <v>7.1668800000000005E-2</v>
      </c>
      <c r="FJ106">
        <v>7.1314799999999998E-2</v>
      </c>
      <c r="FK106">
        <v>0.30137370000000002</v>
      </c>
      <c r="FL106">
        <v>9.0826100000000007E-2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-1.0950629999999999</v>
      </c>
      <c r="FZ106">
        <v>0.86865349999999997</v>
      </c>
      <c r="GA106">
        <v>-5.2942700000000002E-2</v>
      </c>
      <c r="GB106">
        <v>-1.020467</v>
      </c>
      <c r="GC106">
        <v>0.22938449999999999</v>
      </c>
      <c r="GD106">
        <v>1.3210200000000001</v>
      </c>
      <c r="GE106">
        <v>0.31460929999999998</v>
      </c>
      <c r="GF106">
        <v>-0.79545160000000004</v>
      </c>
      <c r="GG106">
        <v>-0.57890249999999999</v>
      </c>
      <c r="GH106">
        <v>0.96236739999999998</v>
      </c>
      <c r="GI106">
        <v>0.92615099999999995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0.26520890000000003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0.84688330000000001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1</v>
      </c>
      <c r="JE106">
        <v>1</v>
      </c>
      <c r="JF106">
        <v>1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O106">
        <v>1</v>
      </c>
      <c r="JP106">
        <v>1</v>
      </c>
      <c r="JQ106">
        <v>1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  <c r="KN106">
        <v>1</v>
      </c>
      <c r="KO106">
        <v>1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1</v>
      </c>
      <c r="KW106">
        <v>1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1</v>
      </c>
      <c r="LP106">
        <v>1</v>
      </c>
      <c r="LQ106">
        <v>1</v>
      </c>
      <c r="LR106">
        <v>1</v>
      </c>
      <c r="LS106">
        <v>1</v>
      </c>
      <c r="LT106">
        <v>1</v>
      </c>
      <c r="LU106">
        <v>1</v>
      </c>
      <c r="LV106">
        <v>1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>
        <v>1</v>
      </c>
      <c r="ME106">
        <v>1</v>
      </c>
      <c r="MF106">
        <v>1</v>
      </c>
      <c r="MG106">
        <v>1</v>
      </c>
      <c r="MH106">
        <v>1</v>
      </c>
      <c r="MI106">
        <v>1</v>
      </c>
      <c r="MJ106">
        <v>1</v>
      </c>
      <c r="MK106">
        <v>1</v>
      </c>
      <c r="ML106">
        <v>1</v>
      </c>
      <c r="MM106">
        <v>1</v>
      </c>
      <c r="MN106">
        <v>1</v>
      </c>
      <c r="MO106">
        <v>1</v>
      </c>
      <c r="MP106">
        <v>1</v>
      </c>
      <c r="MQ106">
        <v>1</v>
      </c>
      <c r="MR106">
        <v>1</v>
      </c>
      <c r="MS106">
        <v>1</v>
      </c>
      <c r="MT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1</v>
      </c>
      <c r="NI106">
        <v>1</v>
      </c>
      <c r="NJ106">
        <v>1</v>
      </c>
      <c r="NK106">
        <v>1</v>
      </c>
      <c r="NL106">
        <v>1</v>
      </c>
      <c r="NM106">
        <v>1</v>
      </c>
      <c r="NN106">
        <v>1</v>
      </c>
      <c r="NO106">
        <v>1</v>
      </c>
      <c r="NP106">
        <v>103.32089999999999</v>
      </c>
      <c r="NQ106">
        <v>1</v>
      </c>
      <c r="NR106">
        <v>1</v>
      </c>
      <c r="NS106">
        <v>1</v>
      </c>
      <c r="NT106">
        <v>1</v>
      </c>
      <c r="NU106">
        <v>1</v>
      </c>
      <c r="NV106">
        <v>1</v>
      </c>
      <c r="NW106">
        <v>1</v>
      </c>
      <c r="NX106">
        <v>1</v>
      </c>
      <c r="NY106">
        <v>1</v>
      </c>
      <c r="NZ106">
        <v>1</v>
      </c>
      <c r="OA106">
        <v>1</v>
      </c>
      <c r="OB106">
        <v>1</v>
      </c>
      <c r="OC106">
        <v>15.5</v>
      </c>
      <c r="OD106">
        <v>25969.8</v>
      </c>
      <c r="OE106">
        <v>0.39</v>
      </c>
      <c r="OF106">
        <v>92.952699999999993</v>
      </c>
      <c r="OG106">
        <v>16.3</v>
      </c>
      <c r="OH106">
        <v>79.602000000000004</v>
      </c>
    </row>
    <row r="107" spans="1:398">
      <c r="A107">
        <v>10</v>
      </c>
      <c r="B107" t="s">
        <v>112</v>
      </c>
      <c r="C107" t="s">
        <v>113</v>
      </c>
      <c r="D107">
        <v>2016</v>
      </c>
      <c r="E107">
        <v>9.64</v>
      </c>
      <c r="F107">
        <v>2.7776000000000001</v>
      </c>
      <c r="G107">
        <v>509</v>
      </c>
      <c r="H107">
        <v>33.9</v>
      </c>
      <c r="I107">
        <v>87.8</v>
      </c>
      <c r="J107">
        <v>8.1999999999999993</v>
      </c>
      <c r="K107">
        <v>7546.6</v>
      </c>
      <c r="L107">
        <v>0.4</v>
      </c>
      <c r="M107">
        <v>1.6</v>
      </c>
      <c r="N107">
        <v>405105</v>
      </c>
      <c r="O107">
        <v>27.31</v>
      </c>
      <c r="P107">
        <v>0.78</v>
      </c>
      <c r="Q107">
        <v>5756.71</v>
      </c>
      <c r="R107">
        <v>42.9</v>
      </c>
      <c r="S107">
        <v>0.33226</v>
      </c>
      <c r="T107">
        <v>-1.0499879999999999</v>
      </c>
      <c r="U107">
        <v>1.0092570000000001</v>
      </c>
      <c r="V107">
        <v>2.29819E-2</v>
      </c>
      <c r="W107">
        <v>-4.3164399999999999E-2</v>
      </c>
      <c r="X107">
        <v>0.66021730000000001</v>
      </c>
      <c r="Y107">
        <v>-8.5188E-3</v>
      </c>
      <c r="Z107">
        <v>0.36162420000000001</v>
      </c>
      <c r="AA107">
        <v>-0.75105639999999996</v>
      </c>
      <c r="AB107">
        <v>-0.18922800000000001</v>
      </c>
      <c r="AC107">
        <v>1.431622</v>
      </c>
      <c r="AD107">
        <v>-0.74644759999999999</v>
      </c>
      <c r="AE107">
        <v>-0.63736990000000004</v>
      </c>
      <c r="AF107">
        <v>0.24843860000000001</v>
      </c>
      <c r="AG107">
        <v>0.78856680000000001</v>
      </c>
      <c r="AH107">
        <v>0.89311160000000001</v>
      </c>
      <c r="AI107">
        <v>2.2659210000000001</v>
      </c>
      <c r="AJ107">
        <v>1.021587</v>
      </c>
      <c r="AK107">
        <v>6.2324479999999998</v>
      </c>
      <c r="AL107">
        <v>4.4750610000000002</v>
      </c>
      <c r="AM107">
        <v>2.1041340000000002</v>
      </c>
      <c r="AN107">
        <v>8.9288519999999991</v>
      </c>
      <c r="AO107">
        <v>12.911899999999999</v>
      </c>
      <c r="AP107">
        <v>-0.2484614</v>
      </c>
      <c r="AQ107">
        <v>8.6581220000000005</v>
      </c>
      <c r="AR107">
        <v>4.5331299999999999</v>
      </c>
      <c r="AS107">
        <v>2.81541</v>
      </c>
      <c r="AT107">
        <v>10.192600000000001</v>
      </c>
      <c r="AU107">
        <v>79.84</v>
      </c>
      <c r="AV107">
        <v>63.188699999999997</v>
      </c>
      <c r="AW107">
        <v>3.6172200000000001</v>
      </c>
      <c r="AX107" s="17">
        <v>45000000000</v>
      </c>
      <c r="AY107">
        <v>2.6878500000000001</v>
      </c>
      <c r="AZ107">
        <v>0.87</v>
      </c>
      <c r="BA107">
        <v>3.3072530000000002</v>
      </c>
      <c r="BB107">
        <v>3.3072528999999999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-0.52763300000000002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8.4928999999999994E-3</v>
      </c>
      <c r="CG107">
        <v>0.50616649999999996</v>
      </c>
      <c r="CH107">
        <v>0.323768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1.087663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0.2562045</v>
      </c>
      <c r="DI107">
        <v>1.183011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0.4403649</v>
      </c>
      <c r="DW107">
        <v>0.94626679999999996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13.88069</v>
      </c>
      <c r="EW107">
        <v>7.1708900000000006E-2</v>
      </c>
      <c r="EX107">
        <v>7.1138800000000002E-2</v>
      </c>
      <c r="EY107">
        <v>7.1519200000000005E-2</v>
      </c>
      <c r="EZ107">
        <v>7.1530099999999999E-2</v>
      </c>
      <c r="FA107">
        <v>7.1417499999999995E-2</v>
      </c>
      <c r="FB107">
        <v>7.1503700000000003E-2</v>
      </c>
      <c r="FC107">
        <v>7.1249699999999999E-2</v>
      </c>
      <c r="FD107">
        <v>7.1744100000000005E-2</v>
      </c>
      <c r="FE107">
        <v>7.1491799999999994E-2</v>
      </c>
      <c r="FF107">
        <v>7.0756600000000003E-2</v>
      </c>
      <c r="FG107">
        <v>7.1190000000000003E-2</v>
      </c>
      <c r="FH107">
        <v>7.1651400000000004E-2</v>
      </c>
      <c r="FI107">
        <v>7.1724899999999994E-2</v>
      </c>
      <c r="FJ107">
        <v>7.1373599999999995E-2</v>
      </c>
      <c r="FK107">
        <v>0.33195010000000003</v>
      </c>
      <c r="FL107">
        <v>0.11019089999999999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-1.0499879999999999</v>
      </c>
      <c r="FZ107">
        <v>1.0092570000000001</v>
      </c>
      <c r="GA107">
        <v>2.29819E-2</v>
      </c>
      <c r="GB107">
        <v>0.66021730000000001</v>
      </c>
      <c r="GC107">
        <v>0.36162420000000001</v>
      </c>
      <c r="GD107">
        <v>1.431622</v>
      </c>
      <c r="GE107">
        <v>0.78856680000000001</v>
      </c>
      <c r="GF107">
        <v>-0.74644759999999999</v>
      </c>
      <c r="GG107">
        <v>-0.63736990000000004</v>
      </c>
      <c r="GH107">
        <v>1.323097</v>
      </c>
      <c r="GI107">
        <v>1.7505850000000001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0.28879660000000001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1.1510940000000001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1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1</v>
      </c>
      <c r="LR107">
        <v>1</v>
      </c>
      <c r="LS107">
        <v>1</v>
      </c>
      <c r="LT107">
        <v>1</v>
      </c>
      <c r="LU107">
        <v>1</v>
      </c>
      <c r="LV107">
        <v>1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1</v>
      </c>
      <c r="MG107">
        <v>1</v>
      </c>
      <c r="MH107">
        <v>1</v>
      </c>
      <c r="MI107">
        <v>1</v>
      </c>
      <c r="MJ107">
        <v>1</v>
      </c>
      <c r="MK107">
        <v>1</v>
      </c>
      <c r="ML107">
        <v>1</v>
      </c>
      <c r="MM107">
        <v>1</v>
      </c>
      <c r="MN107">
        <v>1</v>
      </c>
      <c r="MO107">
        <v>1</v>
      </c>
      <c r="MP107">
        <v>1</v>
      </c>
      <c r="MQ107">
        <v>1</v>
      </c>
      <c r="MR107">
        <v>1</v>
      </c>
      <c r="MS107">
        <v>1</v>
      </c>
      <c r="MT107">
        <v>1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1</v>
      </c>
      <c r="NI107">
        <v>1</v>
      </c>
      <c r="NJ107">
        <v>1</v>
      </c>
      <c r="NK107">
        <v>1</v>
      </c>
      <c r="NL107">
        <v>1</v>
      </c>
      <c r="NM107">
        <v>1</v>
      </c>
      <c r="NN107">
        <v>1</v>
      </c>
      <c r="NO107">
        <v>1</v>
      </c>
      <c r="NP107">
        <v>103.8887</v>
      </c>
      <c r="NQ107">
        <v>1</v>
      </c>
      <c r="NR107">
        <v>1</v>
      </c>
      <c r="NS107">
        <v>1</v>
      </c>
      <c r="NT107">
        <v>1</v>
      </c>
      <c r="NU107">
        <v>1</v>
      </c>
      <c r="NV107">
        <v>1</v>
      </c>
      <c r="NW107">
        <v>1</v>
      </c>
      <c r="NX107">
        <v>1</v>
      </c>
      <c r="NY107">
        <v>1</v>
      </c>
      <c r="NZ107">
        <v>1</v>
      </c>
      <c r="OA107">
        <v>1</v>
      </c>
      <c r="OB107">
        <v>1</v>
      </c>
      <c r="OC107">
        <v>14.7</v>
      </c>
      <c r="OD107">
        <v>26704.3</v>
      </c>
      <c r="OE107">
        <v>0.59</v>
      </c>
      <c r="OF107">
        <v>93.049300000000002</v>
      </c>
      <c r="OG107">
        <v>16.7</v>
      </c>
      <c r="OH107">
        <v>79.84</v>
      </c>
    </row>
    <row r="108" spans="1:398">
      <c r="A108">
        <v>10</v>
      </c>
      <c r="B108" t="s">
        <v>112</v>
      </c>
      <c r="C108" t="s">
        <v>113</v>
      </c>
      <c r="D108">
        <v>2017</v>
      </c>
      <c r="E108">
        <v>9.5540000000000003</v>
      </c>
      <c r="F108">
        <v>2.8016000000000001</v>
      </c>
      <c r="G108">
        <v>581</v>
      </c>
      <c r="H108">
        <v>36.1</v>
      </c>
      <c r="I108">
        <v>83.1</v>
      </c>
      <c r="J108">
        <v>8.8000000000000007</v>
      </c>
      <c r="K108">
        <v>9056.9</v>
      </c>
      <c r="L108">
        <v>0.4</v>
      </c>
      <c r="M108">
        <v>1.6</v>
      </c>
      <c r="N108">
        <v>414861</v>
      </c>
      <c r="O108">
        <v>15.34</v>
      </c>
      <c r="P108">
        <v>0.8</v>
      </c>
      <c r="Q108">
        <v>5361.49</v>
      </c>
      <c r="R108">
        <v>45.7</v>
      </c>
      <c r="S108">
        <v>0.33835999999999999</v>
      </c>
      <c r="T108">
        <v>-1.0604370000000001</v>
      </c>
      <c r="U108">
        <v>1.0322910000000001</v>
      </c>
      <c r="V108">
        <v>0.56963940000000002</v>
      </c>
      <c r="W108">
        <v>9.8455699999999993E-2</v>
      </c>
      <c r="X108">
        <v>7.3891E-3</v>
      </c>
      <c r="Y108">
        <v>8.7559799999999993E-2</v>
      </c>
      <c r="Z108">
        <v>0.55870500000000001</v>
      </c>
      <c r="AA108">
        <v>-0.75105639999999996</v>
      </c>
      <c r="AB108">
        <v>-0.18922800000000001</v>
      </c>
      <c r="AC108">
        <v>1.4834259999999999</v>
      </c>
      <c r="AD108">
        <v>-0.64843899999999999</v>
      </c>
      <c r="AE108">
        <v>-0.76757819999999999</v>
      </c>
      <c r="AF108">
        <v>0.39593729999999999</v>
      </c>
      <c r="AG108">
        <v>0.16513050000000001</v>
      </c>
      <c r="AH108">
        <v>1.0608299999999999</v>
      </c>
      <c r="AI108">
        <v>2.2569599999999999</v>
      </c>
      <c r="AJ108">
        <v>1.0301910000000001</v>
      </c>
      <c r="AK108">
        <v>6.364751</v>
      </c>
      <c r="AL108">
        <v>4.420045</v>
      </c>
      <c r="AM108">
        <v>2.1747519999999998</v>
      </c>
      <c r="AN108">
        <v>9.1112819999999992</v>
      </c>
      <c r="AO108">
        <v>12.935700000000001</v>
      </c>
      <c r="AP108">
        <v>-0.22314349999999999</v>
      </c>
      <c r="AQ108">
        <v>8.5869979999999995</v>
      </c>
      <c r="AR108">
        <v>4.5355100000000004</v>
      </c>
      <c r="AS108">
        <v>2.7212999999999998</v>
      </c>
      <c r="AT108">
        <v>10.2188</v>
      </c>
      <c r="AU108">
        <v>80.08</v>
      </c>
      <c r="AV108">
        <v>66.167400000000001</v>
      </c>
      <c r="AW108">
        <v>2.5403899999999999</v>
      </c>
      <c r="AX108" s="17">
        <v>34000000000</v>
      </c>
      <c r="AY108">
        <v>2.7212999999999998</v>
      </c>
      <c r="AZ108">
        <v>0.9</v>
      </c>
      <c r="BA108">
        <v>2.730464</v>
      </c>
      <c r="BB108">
        <v>2.7304637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-1.10866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9.0375000000000004E-3</v>
      </c>
      <c r="CG108">
        <v>0.514073</v>
      </c>
      <c r="CH108">
        <v>0.32941999999999999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1.2709699999999999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0.26427099999999998</v>
      </c>
      <c r="DI108">
        <v>1.615364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0.46266560000000001</v>
      </c>
      <c r="DW108">
        <v>1.1438729999999999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13.881690000000001</v>
      </c>
      <c r="EW108">
        <v>7.1707400000000004E-2</v>
      </c>
      <c r="EX108">
        <v>7.11392E-2</v>
      </c>
      <c r="EY108">
        <v>7.1409899999999998E-2</v>
      </c>
      <c r="EZ108">
        <v>7.1499199999999999E-2</v>
      </c>
      <c r="FA108">
        <v>7.1479799999999996E-2</v>
      </c>
      <c r="FB108">
        <v>7.1467000000000003E-2</v>
      </c>
      <c r="FC108">
        <v>7.11392E-2</v>
      </c>
      <c r="FD108">
        <v>7.1739899999999995E-2</v>
      </c>
      <c r="FE108">
        <v>7.1490600000000001E-2</v>
      </c>
      <c r="FF108">
        <v>7.0755999999999999E-2</v>
      </c>
      <c r="FG108">
        <v>7.1462899999999996E-2</v>
      </c>
      <c r="FH108">
        <v>7.1622400000000003E-2</v>
      </c>
      <c r="FI108">
        <v>7.1753499999999998E-2</v>
      </c>
      <c r="FJ108">
        <v>7.1332900000000005E-2</v>
      </c>
      <c r="FK108">
        <v>0.33800910000000001</v>
      </c>
      <c r="FL108">
        <v>0.1142502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-1.0604370000000001</v>
      </c>
      <c r="FZ108">
        <v>1.0322910000000001</v>
      </c>
      <c r="GA108">
        <v>0.56963940000000002</v>
      </c>
      <c r="GB108">
        <v>7.3891E-3</v>
      </c>
      <c r="GC108">
        <v>0.55870500000000001</v>
      </c>
      <c r="GD108">
        <v>1.4834259999999999</v>
      </c>
      <c r="GE108">
        <v>0.16513050000000001</v>
      </c>
      <c r="GF108">
        <v>-0.64843899999999999</v>
      </c>
      <c r="GG108">
        <v>-0.76757819999999999</v>
      </c>
      <c r="GH108">
        <v>1.5198640000000001</v>
      </c>
      <c r="GI108">
        <v>2.3099859999999999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0.30420819999999998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1.367877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1</v>
      </c>
      <c r="KW108">
        <v>1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1</v>
      </c>
      <c r="LR108">
        <v>1</v>
      </c>
      <c r="LS108">
        <v>1</v>
      </c>
      <c r="LT108">
        <v>1</v>
      </c>
      <c r="LU108">
        <v>1</v>
      </c>
      <c r="LV108">
        <v>1</v>
      </c>
      <c r="LW108">
        <v>1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>
        <v>1</v>
      </c>
      <c r="ME108">
        <v>1</v>
      </c>
      <c r="MF108">
        <v>1</v>
      </c>
      <c r="MG108">
        <v>1</v>
      </c>
      <c r="MH108">
        <v>1</v>
      </c>
      <c r="MI108">
        <v>1</v>
      </c>
      <c r="MJ108">
        <v>1</v>
      </c>
      <c r="MK108">
        <v>1</v>
      </c>
      <c r="ML108">
        <v>1</v>
      </c>
      <c r="MM108">
        <v>1</v>
      </c>
      <c r="MN108">
        <v>1</v>
      </c>
      <c r="MO108">
        <v>1</v>
      </c>
      <c r="MP108">
        <v>1</v>
      </c>
      <c r="MQ108">
        <v>1</v>
      </c>
      <c r="MR108">
        <v>1</v>
      </c>
      <c r="MS108">
        <v>1</v>
      </c>
      <c r="MT108">
        <v>1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1</v>
      </c>
      <c r="NI108">
        <v>1</v>
      </c>
      <c r="NJ108">
        <v>1</v>
      </c>
      <c r="NK108">
        <v>1</v>
      </c>
      <c r="NL108">
        <v>1</v>
      </c>
      <c r="NM108">
        <v>1</v>
      </c>
      <c r="NN108">
        <v>1</v>
      </c>
      <c r="NO108">
        <v>1</v>
      </c>
      <c r="NP108">
        <v>104.4235</v>
      </c>
      <c r="NQ108">
        <v>1</v>
      </c>
      <c r="NR108">
        <v>1</v>
      </c>
      <c r="NS108">
        <v>1</v>
      </c>
      <c r="NT108">
        <v>1</v>
      </c>
      <c r="NU108">
        <v>1</v>
      </c>
      <c r="NV108">
        <v>1</v>
      </c>
      <c r="NW108">
        <v>1</v>
      </c>
      <c r="NX108">
        <v>1</v>
      </c>
      <c r="NY108">
        <v>1</v>
      </c>
      <c r="NZ108">
        <v>1</v>
      </c>
      <c r="OA108">
        <v>1</v>
      </c>
      <c r="OB108">
        <v>1</v>
      </c>
      <c r="OC108">
        <v>15.2</v>
      </c>
      <c r="OD108">
        <v>27413.3</v>
      </c>
      <c r="OE108">
        <v>0.33</v>
      </c>
      <c r="OF108">
        <v>93.270899999999997</v>
      </c>
      <c r="OG108">
        <v>15.2</v>
      </c>
      <c r="OH108">
        <v>80.08</v>
      </c>
    </row>
    <row r="109" spans="1:398">
      <c r="A109">
        <v>10</v>
      </c>
      <c r="B109" t="s">
        <v>112</v>
      </c>
      <c r="C109" t="s">
        <v>113</v>
      </c>
      <c r="D109">
        <v>2018</v>
      </c>
      <c r="E109">
        <v>10.792999999999999</v>
      </c>
      <c r="F109">
        <v>2.6257999999999999</v>
      </c>
      <c r="G109">
        <v>653</v>
      </c>
      <c r="H109">
        <v>34.799999999999997</v>
      </c>
      <c r="I109">
        <v>86.2</v>
      </c>
      <c r="J109">
        <v>8.9</v>
      </c>
      <c r="K109">
        <v>9202.2000000000007</v>
      </c>
      <c r="L109">
        <v>0.4</v>
      </c>
      <c r="M109">
        <v>1.7</v>
      </c>
      <c r="N109">
        <v>426566</v>
      </c>
      <c r="O109">
        <v>18.45</v>
      </c>
      <c r="P109">
        <v>0.84</v>
      </c>
      <c r="Q109">
        <v>4566.1899999999996</v>
      </c>
      <c r="R109">
        <v>42.8</v>
      </c>
      <c r="S109">
        <v>0.348663</v>
      </c>
      <c r="T109">
        <v>-0.90990539999999998</v>
      </c>
      <c r="U109">
        <v>0.86356679999999997</v>
      </c>
      <c r="V109">
        <v>1.1162970000000001</v>
      </c>
      <c r="W109">
        <v>1.4770999999999999E-2</v>
      </c>
      <c r="X109">
        <v>0.43797730000000001</v>
      </c>
      <c r="Y109">
        <v>0.10357280000000001</v>
      </c>
      <c r="Z109">
        <v>0.5776654</v>
      </c>
      <c r="AA109">
        <v>-0.75105639999999996</v>
      </c>
      <c r="AB109">
        <v>-5.7301400000000002E-2</v>
      </c>
      <c r="AC109">
        <v>1.545579</v>
      </c>
      <c r="AD109">
        <v>-0.45242250000000001</v>
      </c>
      <c r="AE109">
        <v>-1.029598</v>
      </c>
      <c r="AF109">
        <v>0.24317069999999999</v>
      </c>
      <c r="AG109">
        <v>0.32710939999999999</v>
      </c>
      <c r="AH109">
        <v>0.99475740000000001</v>
      </c>
      <c r="AI109">
        <v>2.378898</v>
      </c>
      <c r="AJ109">
        <v>0.96538559999999995</v>
      </c>
      <c r="AK109">
        <v>6.4815769999999997</v>
      </c>
      <c r="AL109">
        <v>4.4566699999999999</v>
      </c>
      <c r="AM109">
        <v>2.186051</v>
      </c>
      <c r="AN109">
        <v>9.1271979999999999</v>
      </c>
      <c r="AO109">
        <v>12.963520000000001</v>
      </c>
      <c r="AP109">
        <v>-0.17435339999999999</v>
      </c>
      <c r="AQ109">
        <v>8.4264349999999997</v>
      </c>
      <c r="AR109">
        <v>4.5397800000000004</v>
      </c>
      <c r="AS109">
        <v>2.8273100000000002</v>
      </c>
      <c r="AT109">
        <v>10.238099999999999</v>
      </c>
      <c r="AU109">
        <v>80.320999999999998</v>
      </c>
      <c r="AV109">
        <v>67.009399999999999</v>
      </c>
      <c r="AW109">
        <v>4.4674800000000001</v>
      </c>
      <c r="AX109" s="17">
        <v>64000000000</v>
      </c>
      <c r="AY109">
        <v>2.7472699999999999</v>
      </c>
      <c r="AZ109">
        <v>0.85</v>
      </c>
      <c r="BA109">
        <v>2.9150640000000001</v>
      </c>
      <c r="BB109">
        <v>2.9150643000000001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-0.94160900000000003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8.5958000000000007E-3</v>
      </c>
      <c r="CG109">
        <v>0.52264310000000003</v>
      </c>
      <c r="CH109">
        <v>0.33647899999999997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1.161597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0.2731558</v>
      </c>
      <c r="DI109">
        <v>1.349308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0.44424659999999999</v>
      </c>
      <c r="DW109">
        <v>0.9873575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13.880100000000001</v>
      </c>
      <c r="EW109">
        <v>7.1682999999999997E-2</v>
      </c>
      <c r="EX109">
        <v>7.1205699999999997E-2</v>
      </c>
      <c r="EY109">
        <v>7.1323200000000003E-2</v>
      </c>
      <c r="EZ109">
        <v>7.15282E-2</v>
      </c>
      <c r="FA109">
        <v>7.1451100000000003E-2</v>
      </c>
      <c r="FB109">
        <v>7.1473700000000001E-2</v>
      </c>
      <c r="FC109">
        <v>7.1148500000000003E-2</v>
      </c>
      <c r="FD109">
        <v>7.1749199999999999E-2</v>
      </c>
      <c r="FE109">
        <v>7.1464700000000006E-2</v>
      </c>
      <c r="FF109">
        <v>7.0764999999999995E-2</v>
      </c>
      <c r="FG109">
        <v>7.1402199999999999E-2</v>
      </c>
      <c r="FH109">
        <v>7.15832E-2</v>
      </c>
      <c r="FI109">
        <v>7.1831500000000006E-2</v>
      </c>
      <c r="FJ109">
        <v>7.1390700000000001E-2</v>
      </c>
      <c r="FK109">
        <v>0.34830129999999998</v>
      </c>
      <c r="FL109">
        <v>0.1213138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-0.90990539999999998</v>
      </c>
      <c r="FZ109">
        <v>0.86356679999999997</v>
      </c>
      <c r="GA109">
        <v>1.1162970000000001</v>
      </c>
      <c r="GB109">
        <v>0.43797730000000001</v>
      </c>
      <c r="GC109">
        <v>0.5776654</v>
      </c>
      <c r="GD109">
        <v>1.545579</v>
      </c>
      <c r="GE109">
        <v>0.32710939999999999</v>
      </c>
      <c r="GF109">
        <v>-0.45242250000000001</v>
      </c>
      <c r="GG109">
        <v>-1.029598</v>
      </c>
      <c r="GH109">
        <v>1.495635</v>
      </c>
      <c r="GI109">
        <v>2.236923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0.29605609999999999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1.27129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1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1</v>
      </c>
      <c r="KE109">
        <v>1</v>
      </c>
      <c r="KF109">
        <v>1</v>
      </c>
      <c r="KG109">
        <v>1</v>
      </c>
      <c r="KH109">
        <v>1</v>
      </c>
      <c r="KI109">
        <v>1</v>
      </c>
      <c r="KJ109">
        <v>1</v>
      </c>
      <c r="KK109">
        <v>1</v>
      </c>
      <c r="KL109">
        <v>1</v>
      </c>
      <c r="KM109">
        <v>1</v>
      </c>
      <c r="KN109">
        <v>1</v>
      </c>
      <c r="KO109">
        <v>1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1</v>
      </c>
      <c r="KW109">
        <v>1</v>
      </c>
      <c r="KX109">
        <v>1</v>
      </c>
      <c r="KY109">
        <v>1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1</v>
      </c>
      <c r="LP109">
        <v>1</v>
      </c>
      <c r="LQ109">
        <v>1</v>
      </c>
      <c r="LR109">
        <v>1</v>
      </c>
      <c r="LS109">
        <v>1</v>
      </c>
      <c r="LT109">
        <v>1</v>
      </c>
      <c r="LU109">
        <v>1</v>
      </c>
      <c r="LV109">
        <v>1</v>
      </c>
      <c r="LW109">
        <v>1</v>
      </c>
      <c r="LX109">
        <v>1</v>
      </c>
      <c r="LY109">
        <v>1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1</v>
      </c>
      <c r="MF109">
        <v>1</v>
      </c>
      <c r="MG109">
        <v>1</v>
      </c>
      <c r="MH109">
        <v>1</v>
      </c>
      <c r="MI109">
        <v>1</v>
      </c>
      <c r="MJ109">
        <v>1</v>
      </c>
      <c r="MK109">
        <v>1</v>
      </c>
      <c r="ML109">
        <v>1</v>
      </c>
      <c r="MM109">
        <v>1</v>
      </c>
      <c r="MN109">
        <v>1</v>
      </c>
      <c r="MO109">
        <v>1</v>
      </c>
      <c r="MP109">
        <v>1</v>
      </c>
      <c r="MQ109">
        <v>1</v>
      </c>
      <c r="MR109">
        <v>1</v>
      </c>
      <c r="MS109">
        <v>1</v>
      </c>
      <c r="MT109">
        <v>1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1</v>
      </c>
      <c r="NI109">
        <v>1</v>
      </c>
      <c r="NJ109">
        <v>1</v>
      </c>
      <c r="NK109">
        <v>1</v>
      </c>
      <c r="NL109">
        <v>1</v>
      </c>
      <c r="NM109">
        <v>1</v>
      </c>
      <c r="NN109">
        <v>1</v>
      </c>
      <c r="NO109">
        <v>1</v>
      </c>
      <c r="NP109">
        <v>104.81829999999999</v>
      </c>
      <c r="NQ109">
        <v>1</v>
      </c>
      <c r="NR109">
        <v>1</v>
      </c>
      <c r="NS109">
        <v>1</v>
      </c>
      <c r="NT109">
        <v>1</v>
      </c>
      <c r="NU109">
        <v>1</v>
      </c>
      <c r="NV109">
        <v>1</v>
      </c>
      <c r="NW109">
        <v>1</v>
      </c>
      <c r="NX109">
        <v>1</v>
      </c>
      <c r="NY109">
        <v>1</v>
      </c>
      <c r="NZ109">
        <v>1</v>
      </c>
      <c r="OA109">
        <v>1</v>
      </c>
      <c r="OB109">
        <v>1</v>
      </c>
      <c r="OC109">
        <v>15.6</v>
      </c>
      <c r="OD109">
        <v>27947.3</v>
      </c>
      <c r="OE109">
        <v>0.39</v>
      </c>
      <c r="OF109">
        <v>93.669799999999995</v>
      </c>
      <c r="OG109">
        <v>16.899999999999999</v>
      </c>
      <c r="OH109">
        <v>80.320999999999998</v>
      </c>
    </row>
    <row r="110" spans="1:398">
      <c r="A110">
        <v>10</v>
      </c>
      <c r="B110" t="s">
        <v>112</v>
      </c>
      <c r="C110" t="s">
        <v>113</v>
      </c>
      <c r="D110">
        <v>2019</v>
      </c>
      <c r="E110">
        <v>9.7669999999999995</v>
      </c>
      <c r="F110">
        <v>2.7341000000000002</v>
      </c>
      <c r="G110">
        <v>652</v>
      </c>
      <c r="H110">
        <v>38</v>
      </c>
      <c r="I110">
        <v>79.7</v>
      </c>
      <c r="J110">
        <v>9</v>
      </c>
      <c r="K110">
        <v>5644.1</v>
      </c>
      <c r="L110">
        <v>0.5</v>
      </c>
      <c r="M110">
        <v>1.8</v>
      </c>
      <c r="N110">
        <v>455530</v>
      </c>
      <c r="O110">
        <v>17.68</v>
      </c>
      <c r="P110">
        <v>0.84</v>
      </c>
      <c r="Q110">
        <v>3770.89</v>
      </c>
      <c r="R110">
        <v>41.8</v>
      </c>
      <c r="S110">
        <v>0.34221499999999999</v>
      </c>
      <c r="T110">
        <v>-1.034559</v>
      </c>
      <c r="U110">
        <v>0.96750789999999998</v>
      </c>
      <c r="V110">
        <v>1.1087039999999999</v>
      </c>
      <c r="W110">
        <v>0.2207643</v>
      </c>
      <c r="X110">
        <v>-0.46486939999999999</v>
      </c>
      <c r="Y110">
        <v>0.119586</v>
      </c>
      <c r="Z110">
        <v>0.1133648</v>
      </c>
      <c r="AA110">
        <v>-0.47292210000000001</v>
      </c>
      <c r="AB110">
        <v>7.46251E-2</v>
      </c>
      <c r="AC110">
        <v>1.6993780000000001</v>
      </c>
      <c r="AD110">
        <v>-0.45242250000000001</v>
      </c>
      <c r="AE110">
        <v>-1.2916179999999999</v>
      </c>
      <c r="AF110">
        <v>0.19049260000000001</v>
      </c>
      <c r="AG110">
        <v>0.28700520000000002</v>
      </c>
      <c r="AH110">
        <v>1.126225</v>
      </c>
      <c r="AI110">
        <v>2.2790089999999998</v>
      </c>
      <c r="AJ110">
        <v>1.0058020000000001</v>
      </c>
      <c r="AK110">
        <v>6.4800440000000004</v>
      </c>
      <c r="AL110">
        <v>4.3782699999999997</v>
      </c>
      <c r="AM110">
        <v>2.197225</v>
      </c>
      <c r="AN110">
        <v>8.6383659999999995</v>
      </c>
      <c r="AO110">
        <v>13.02922</v>
      </c>
      <c r="AP110">
        <v>-0.17435339999999999</v>
      </c>
      <c r="AQ110">
        <v>8.2350659999999998</v>
      </c>
      <c r="AR110">
        <v>4.5470199999999998</v>
      </c>
      <c r="AS110">
        <v>2.81541</v>
      </c>
      <c r="AT110">
        <v>10.250299999999999</v>
      </c>
      <c r="AU110">
        <v>80.564999999999998</v>
      </c>
      <c r="AV110">
        <v>66.366200000000006</v>
      </c>
      <c r="AW110">
        <v>2.16052</v>
      </c>
      <c r="AX110" s="17">
        <v>30000000000</v>
      </c>
      <c r="AY110">
        <v>2.7788200000000001</v>
      </c>
      <c r="AZ110">
        <v>0.81</v>
      </c>
      <c r="BA110">
        <v>2.8724340000000002</v>
      </c>
      <c r="BB110">
        <v>2.8724341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-0.967584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9.4026000000000005E-3</v>
      </c>
      <c r="CG110">
        <v>0.51165280000000002</v>
      </c>
      <c r="CH110">
        <v>0.32529200000000003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1.337666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0.26178849999999998</v>
      </c>
      <c r="DI110">
        <v>1.78935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0.4144388</v>
      </c>
      <c r="DW110">
        <v>1.0835090000000001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13.884790000000001</v>
      </c>
      <c r="EW110">
        <v>7.1688299999999996E-2</v>
      </c>
      <c r="EX110">
        <v>7.1163199999999996E-2</v>
      </c>
      <c r="EY110">
        <v>7.1307700000000002E-2</v>
      </c>
      <c r="EZ110">
        <v>7.1466199999999994E-2</v>
      </c>
      <c r="FA110">
        <v>7.1518399999999996E-2</v>
      </c>
      <c r="FB110">
        <v>7.1448200000000003E-2</v>
      </c>
      <c r="FC110">
        <v>7.1409899999999998E-2</v>
      </c>
      <c r="FD110">
        <v>7.1648799999999999E-2</v>
      </c>
      <c r="FE110">
        <v>7.1408299999999994E-2</v>
      </c>
      <c r="FF110">
        <v>7.0707599999999995E-2</v>
      </c>
      <c r="FG110">
        <v>7.1401400000000004E-2</v>
      </c>
      <c r="FH110">
        <v>7.1561700000000006E-2</v>
      </c>
      <c r="FI110">
        <v>7.1882699999999994E-2</v>
      </c>
      <c r="FJ110">
        <v>7.1387400000000004E-2</v>
      </c>
      <c r="FK110">
        <v>0.34175670000000002</v>
      </c>
      <c r="FL110">
        <v>0.1167976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-1.034559</v>
      </c>
      <c r="FZ110">
        <v>0.96750789999999998</v>
      </c>
      <c r="GA110">
        <v>1.1087039999999999</v>
      </c>
      <c r="GB110">
        <v>-0.46486939999999999</v>
      </c>
      <c r="GC110">
        <v>0.1133648</v>
      </c>
      <c r="GD110">
        <v>1.6993780000000001</v>
      </c>
      <c r="GE110">
        <v>0.28700520000000002</v>
      </c>
      <c r="GF110">
        <v>-0.45242250000000001</v>
      </c>
      <c r="GG110">
        <v>-1.2916179999999999</v>
      </c>
      <c r="GH110">
        <v>1.7018500000000001</v>
      </c>
      <c r="GI110">
        <v>2.896293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0.27682289999999998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1.378498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O110">
        <v>1</v>
      </c>
      <c r="JP110">
        <v>1</v>
      </c>
      <c r="JQ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1</v>
      </c>
      <c r="KN110">
        <v>1</v>
      </c>
      <c r="KO110">
        <v>1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1</v>
      </c>
      <c r="KW110">
        <v>1</v>
      </c>
      <c r="KX110">
        <v>1</v>
      </c>
      <c r="KY110">
        <v>1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1</v>
      </c>
      <c r="LG110">
        <v>1</v>
      </c>
      <c r="LH110">
        <v>1</v>
      </c>
      <c r="LI110">
        <v>1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1</v>
      </c>
      <c r="LP110">
        <v>1</v>
      </c>
      <c r="LQ110">
        <v>1</v>
      </c>
      <c r="LR110">
        <v>1</v>
      </c>
      <c r="LS110">
        <v>1</v>
      </c>
      <c r="LT110">
        <v>1</v>
      </c>
      <c r="LU110">
        <v>1</v>
      </c>
      <c r="LV110">
        <v>1</v>
      </c>
      <c r="LW110">
        <v>1</v>
      </c>
      <c r="LX110">
        <v>1</v>
      </c>
      <c r="LY110">
        <v>1</v>
      </c>
      <c r="LZ110">
        <v>1</v>
      </c>
      <c r="MA110">
        <v>1</v>
      </c>
      <c r="MB110">
        <v>1</v>
      </c>
      <c r="MC110">
        <v>1</v>
      </c>
      <c r="MD110">
        <v>1</v>
      </c>
      <c r="ME110">
        <v>1</v>
      </c>
      <c r="MF110">
        <v>1</v>
      </c>
      <c r="MG110">
        <v>1</v>
      </c>
      <c r="MH110">
        <v>1</v>
      </c>
      <c r="MI110">
        <v>1</v>
      </c>
      <c r="MJ110">
        <v>1</v>
      </c>
      <c r="MK110">
        <v>1</v>
      </c>
      <c r="ML110">
        <v>1</v>
      </c>
      <c r="MM110">
        <v>1</v>
      </c>
      <c r="MN110">
        <v>1</v>
      </c>
      <c r="MO110">
        <v>1</v>
      </c>
      <c r="MP110">
        <v>1</v>
      </c>
      <c r="MQ110">
        <v>1</v>
      </c>
      <c r="MR110">
        <v>1</v>
      </c>
      <c r="MS110">
        <v>1</v>
      </c>
      <c r="MT110">
        <v>1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1</v>
      </c>
      <c r="NA110">
        <v>1</v>
      </c>
      <c r="NB110">
        <v>1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1</v>
      </c>
      <c r="NI110">
        <v>1</v>
      </c>
      <c r="NJ110">
        <v>1</v>
      </c>
      <c r="NK110">
        <v>1</v>
      </c>
      <c r="NL110">
        <v>1</v>
      </c>
      <c r="NM110">
        <v>1</v>
      </c>
      <c r="NN110">
        <v>1</v>
      </c>
      <c r="NO110">
        <v>1</v>
      </c>
      <c r="NP110">
        <v>105.06910000000001</v>
      </c>
      <c r="NQ110">
        <v>1</v>
      </c>
      <c r="NR110">
        <v>1</v>
      </c>
      <c r="NS110">
        <v>1</v>
      </c>
      <c r="NT110">
        <v>1</v>
      </c>
      <c r="NU110">
        <v>1</v>
      </c>
      <c r="NV110">
        <v>1</v>
      </c>
      <c r="NW110">
        <v>1</v>
      </c>
      <c r="NX110">
        <v>1</v>
      </c>
      <c r="NY110">
        <v>1</v>
      </c>
      <c r="NZ110">
        <v>1</v>
      </c>
      <c r="OA110">
        <v>1</v>
      </c>
      <c r="OB110">
        <v>1</v>
      </c>
      <c r="OC110">
        <v>16.100000000000001</v>
      </c>
      <c r="OD110">
        <v>28291.599999999999</v>
      </c>
      <c r="OE110">
        <v>0.38</v>
      </c>
      <c r="OF110">
        <v>94.350800000000007</v>
      </c>
      <c r="OG110">
        <v>16.7</v>
      </c>
      <c r="OH110">
        <v>80.564999999999998</v>
      </c>
    </row>
    <row r="111" spans="1:398">
      <c r="A111">
        <v>10</v>
      </c>
      <c r="B111" t="s">
        <v>112</v>
      </c>
      <c r="C111" t="s">
        <v>113</v>
      </c>
      <c r="D111">
        <v>2020</v>
      </c>
      <c r="E111">
        <v>9.6310000000000002</v>
      </c>
      <c r="F111">
        <v>2.4935999999999998</v>
      </c>
      <c r="G111">
        <v>637</v>
      </c>
      <c r="H111">
        <v>38.9</v>
      </c>
      <c r="I111">
        <v>85.8</v>
      </c>
      <c r="J111">
        <v>9.3000000000000007</v>
      </c>
      <c r="K111">
        <v>4127.8</v>
      </c>
      <c r="L111">
        <v>0.5</v>
      </c>
      <c r="M111">
        <v>2</v>
      </c>
      <c r="N111">
        <v>448860</v>
      </c>
      <c r="O111">
        <v>21.34</v>
      </c>
      <c r="P111">
        <v>0.76</v>
      </c>
      <c r="Q111">
        <v>2975.59</v>
      </c>
      <c r="R111">
        <v>37.9</v>
      </c>
      <c r="S111">
        <v>0.33147599999999999</v>
      </c>
      <c r="T111">
        <v>-1.0510820000000001</v>
      </c>
      <c r="U111">
        <v>0.7366878</v>
      </c>
      <c r="V111">
        <v>0.99481750000000002</v>
      </c>
      <c r="W111">
        <v>0.27870010000000001</v>
      </c>
      <c r="X111">
        <v>0.38241829999999999</v>
      </c>
      <c r="Y111">
        <v>0.1676253</v>
      </c>
      <c r="Z111">
        <v>-8.4498900000000002E-2</v>
      </c>
      <c r="AA111">
        <v>-0.47292210000000001</v>
      </c>
      <c r="AB111">
        <v>0.33847840000000001</v>
      </c>
      <c r="AC111">
        <v>1.6639600000000001</v>
      </c>
      <c r="AD111">
        <v>-0.84445579999999998</v>
      </c>
      <c r="AE111">
        <v>-1.5536380000000001</v>
      </c>
      <c r="AF111">
        <v>-1.4952E-2</v>
      </c>
      <c r="AG111">
        <v>0.4776299</v>
      </c>
      <c r="AH111">
        <v>0.79087359999999995</v>
      </c>
      <c r="AI111">
        <v>2.2649870000000001</v>
      </c>
      <c r="AJ111">
        <v>0.91372739999999997</v>
      </c>
      <c r="AK111">
        <v>6.4567690000000004</v>
      </c>
      <c r="AL111">
        <v>4.4520189999999999</v>
      </c>
      <c r="AM111">
        <v>2.2300140000000002</v>
      </c>
      <c r="AN111">
        <v>8.3254999999999999</v>
      </c>
      <c r="AO111">
        <v>13.014469999999999</v>
      </c>
      <c r="AP111">
        <v>-0.27443689999999998</v>
      </c>
      <c r="AQ111">
        <v>7.9981970000000002</v>
      </c>
      <c r="AR111">
        <v>4.5519299999999996</v>
      </c>
      <c r="AS111">
        <v>2.9601000000000002</v>
      </c>
      <c r="AT111">
        <v>10.1296</v>
      </c>
      <c r="AU111">
        <v>80.81</v>
      </c>
      <c r="AV111">
        <v>59.446100000000001</v>
      </c>
      <c r="AW111">
        <v>2.9216600000000001</v>
      </c>
      <c r="AX111" s="17">
        <v>38000000000</v>
      </c>
      <c r="AY111">
        <v>2.81541</v>
      </c>
      <c r="AZ111">
        <v>0.83</v>
      </c>
      <c r="BA111">
        <v>3.0605829999999998</v>
      </c>
      <c r="BB111">
        <v>3.0605834000000001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-0.798508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9.5598999999999996E-3</v>
      </c>
      <c r="CG111">
        <v>0.49623299999999998</v>
      </c>
      <c r="CH111">
        <v>0.30995600000000001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1.022805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0.2462471</v>
      </c>
      <c r="DI111">
        <v>1.04613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0.4118733</v>
      </c>
      <c r="DW111">
        <v>0.84892789999999996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13.88893</v>
      </c>
      <c r="EW111">
        <v>7.1672E-2</v>
      </c>
      <c r="EX111">
        <v>7.1216000000000002E-2</v>
      </c>
      <c r="EY111">
        <v>7.1313500000000002E-2</v>
      </c>
      <c r="EZ111">
        <v>7.1437600000000004E-2</v>
      </c>
      <c r="FA111">
        <v>7.1419399999999994E-2</v>
      </c>
      <c r="FB111">
        <v>7.1414400000000003E-2</v>
      </c>
      <c r="FC111">
        <v>7.1525000000000005E-2</v>
      </c>
      <c r="FD111">
        <v>7.1629200000000004E-2</v>
      </c>
      <c r="FE111">
        <v>7.1321499999999996E-2</v>
      </c>
      <c r="FF111">
        <v>7.0726800000000006E-2</v>
      </c>
      <c r="FG111">
        <v>7.1303500000000006E-2</v>
      </c>
      <c r="FH111">
        <v>7.1643200000000004E-2</v>
      </c>
      <c r="FI111">
        <v>7.1947399999999995E-2</v>
      </c>
      <c r="FJ111">
        <v>7.1430499999999994E-2</v>
      </c>
      <c r="FK111">
        <v>0.33098050000000001</v>
      </c>
      <c r="FL111">
        <v>0.1095481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-1.0510820000000001</v>
      </c>
      <c r="FZ111">
        <v>0.7366878</v>
      </c>
      <c r="GA111">
        <v>0.99481750000000002</v>
      </c>
      <c r="GB111">
        <v>0.38241829999999999</v>
      </c>
      <c r="GC111">
        <v>-8.4498900000000002E-2</v>
      </c>
      <c r="GD111">
        <v>1.6639600000000001</v>
      </c>
      <c r="GE111">
        <v>0.4776299</v>
      </c>
      <c r="GF111">
        <v>-0.84445579999999998</v>
      </c>
      <c r="GG111">
        <v>-1.5536380000000001</v>
      </c>
      <c r="GH111">
        <v>1.283067</v>
      </c>
      <c r="GI111">
        <v>1.646261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0.27471380000000001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1.0649459999999999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1</v>
      </c>
      <c r="JS111">
        <v>1</v>
      </c>
      <c r="JT111">
        <v>1</v>
      </c>
      <c r="JU111">
        <v>1</v>
      </c>
      <c r="JV111">
        <v>1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1</v>
      </c>
      <c r="KE111">
        <v>1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1</v>
      </c>
      <c r="KW111">
        <v>1</v>
      </c>
      <c r="KX111">
        <v>1</v>
      </c>
      <c r="KY111">
        <v>1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1</v>
      </c>
      <c r="LP111">
        <v>1</v>
      </c>
      <c r="LQ111">
        <v>1</v>
      </c>
      <c r="LR111">
        <v>1</v>
      </c>
      <c r="LS111">
        <v>1</v>
      </c>
      <c r="LT111">
        <v>1</v>
      </c>
      <c r="LU111">
        <v>1</v>
      </c>
      <c r="LV111">
        <v>1</v>
      </c>
      <c r="LW111">
        <v>1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1</v>
      </c>
      <c r="MG111">
        <v>1</v>
      </c>
      <c r="MH111">
        <v>1</v>
      </c>
      <c r="MI111">
        <v>1</v>
      </c>
      <c r="MJ111">
        <v>1</v>
      </c>
      <c r="MK111">
        <v>1</v>
      </c>
      <c r="ML111">
        <v>1</v>
      </c>
      <c r="MM111">
        <v>1</v>
      </c>
      <c r="MN111">
        <v>1</v>
      </c>
      <c r="MO111">
        <v>1</v>
      </c>
      <c r="MP111">
        <v>1</v>
      </c>
      <c r="MQ111">
        <v>1</v>
      </c>
      <c r="MR111">
        <v>1</v>
      </c>
      <c r="MS111">
        <v>1</v>
      </c>
      <c r="MT111">
        <v>1</v>
      </c>
      <c r="MU111">
        <v>1</v>
      </c>
      <c r="MV111">
        <v>1</v>
      </c>
      <c r="MW111">
        <v>1</v>
      </c>
      <c r="MX111">
        <v>1</v>
      </c>
      <c r="MY111">
        <v>1</v>
      </c>
      <c r="MZ111">
        <v>1</v>
      </c>
      <c r="NA111">
        <v>1</v>
      </c>
      <c r="NB111">
        <v>1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1</v>
      </c>
      <c r="NI111">
        <v>1</v>
      </c>
      <c r="NJ111">
        <v>1</v>
      </c>
      <c r="NK111">
        <v>1</v>
      </c>
      <c r="NL111">
        <v>1</v>
      </c>
      <c r="NM111">
        <v>1</v>
      </c>
      <c r="NN111">
        <v>1</v>
      </c>
      <c r="NO111">
        <v>1</v>
      </c>
      <c r="NP111">
        <v>102.6082</v>
      </c>
      <c r="NQ111">
        <v>1</v>
      </c>
      <c r="NR111">
        <v>1</v>
      </c>
      <c r="NS111">
        <v>1</v>
      </c>
      <c r="NT111">
        <v>1</v>
      </c>
      <c r="NU111">
        <v>1</v>
      </c>
      <c r="NV111">
        <v>1</v>
      </c>
      <c r="NW111">
        <v>1</v>
      </c>
      <c r="NX111">
        <v>1</v>
      </c>
      <c r="NY111">
        <v>1</v>
      </c>
      <c r="NZ111">
        <v>1</v>
      </c>
      <c r="OA111">
        <v>1</v>
      </c>
      <c r="OB111">
        <v>1</v>
      </c>
      <c r="OC111">
        <v>16.7</v>
      </c>
      <c r="OD111">
        <v>25073.7</v>
      </c>
      <c r="OE111">
        <v>0.45</v>
      </c>
      <c r="OF111">
        <v>94.815399999999997</v>
      </c>
      <c r="OG111">
        <v>19.3</v>
      </c>
      <c r="OH111">
        <v>80.81</v>
      </c>
    </row>
    <row r="112" spans="1:398">
      <c r="A112">
        <v>11</v>
      </c>
      <c r="B112" t="s">
        <v>33</v>
      </c>
      <c r="C112" t="s">
        <v>32</v>
      </c>
      <c r="D112">
        <v>2010</v>
      </c>
      <c r="E112">
        <v>47.610999999999997</v>
      </c>
      <c r="F112">
        <v>0.87970000000000004</v>
      </c>
      <c r="G112">
        <v>455</v>
      </c>
      <c r="H112">
        <v>32.799999999999997</v>
      </c>
      <c r="I112">
        <v>88.5</v>
      </c>
      <c r="J112">
        <v>1.7</v>
      </c>
      <c r="K112">
        <v>250.2</v>
      </c>
      <c r="L112">
        <v>0.6</v>
      </c>
      <c r="M112">
        <v>1.8</v>
      </c>
      <c r="N112">
        <v>43125</v>
      </c>
      <c r="O112">
        <v>15.06</v>
      </c>
      <c r="P112">
        <v>0.95</v>
      </c>
      <c r="Q112">
        <v>10847.8</v>
      </c>
      <c r="R112">
        <v>22.1</v>
      </c>
      <c r="S112">
        <v>0.30342799999999998</v>
      </c>
      <c r="T112">
        <v>3.563275</v>
      </c>
      <c r="U112">
        <v>-0.81225259999999999</v>
      </c>
      <c r="V112">
        <v>-0.3870112</v>
      </c>
      <c r="W112">
        <v>-0.1139748</v>
      </c>
      <c r="X112">
        <v>0.75744650000000002</v>
      </c>
      <c r="Y112">
        <v>-1.0493699999999999</v>
      </c>
      <c r="Z112">
        <v>-0.59049130000000005</v>
      </c>
      <c r="AA112">
        <v>-0.19478780000000001</v>
      </c>
      <c r="AB112">
        <v>7.4625300000000006E-2</v>
      </c>
      <c r="AC112">
        <v>-0.49048320000000001</v>
      </c>
      <c r="AD112">
        <v>8.6623500000000006E-2</v>
      </c>
      <c r="AE112">
        <v>1.0399510000000001</v>
      </c>
      <c r="AF112">
        <v>-0.84726639999999998</v>
      </c>
      <c r="AG112">
        <v>0.15054719999999999</v>
      </c>
      <c r="AH112">
        <v>-1.8431299999999999</v>
      </c>
      <c r="AI112">
        <v>3.8630640000000001</v>
      </c>
      <c r="AJ112">
        <v>-0.12817429999999999</v>
      </c>
      <c r="AK112">
        <v>6.1202969999999999</v>
      </c>
      <c r="AL112">
        <v>4.4830030000000001</v>
      </c>
      <c r="AM112">
        <v>0.53062830000000005</v>
      </c>
      <c r="AN112">
        <v>5.5222610000000003</v>
      </c>
      <c r="AO112">
        <v>10.671860000000001</v>
      </c>
      <c r="AP112">
        <v>-5.12933E-2</v>
      </c>
      <c r="AQ112">
        <v>9.2917210000000008</v>
      </c>
      <c r="AR112">
        <v>2.8706499999999999</v>
      </c>
      <c r="AS112">
        <v>3.5085600000000001</v>
      </c>
      <c r="AT112">
        <v>10.681800000000001</v>
      </c>
      <c r="AU112">
        <v>83.77</v>
      </c>
      <c r="AV112">
        <v>75.461200000000005</v>
      </c>
      <c r="AW112">
        <v>4.8996000000000004</v>
      </c>
      <c r="AX112" s="17">
        <v>12000000000</v>
      </c>
      <c r="AY112">
        <v>3.31419</v>
      </c>
      <c r="AZ112">
        <v>0.64</v>
      </c>
      <c r="BA112">
        <v>2.7120419999999998</v>
      </c>
      <c r="BB112">
        <v>2.7120422999999998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1.03318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7.8224999999999996E-3</v>
      </c>
      <c r="CG112">
        <v>0.494975</v>
      </c>
      <c r="CH112">
        <v>0.15962100000000001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-1.3487530000000001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0.2450003</v>
      </c>
      <c r="DI112">
        <v>1.8191360000000001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0.31678400000000001</v>
      </c>
      <c r="DW112">
        <v>-0.86320220000000003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13.912050000000001</v>
      </c>
      <c r="EW112">
        <v>7.0767499999999997E-2</v>
      </c>
      <c r="EX112">
        <v>7.1608900000000003E-2</v>
      </c>
      <c r="EY112">
        <v>7.1464600000000003E-2</v>
      </c>
      <c r="EZ112">
        <v>7.1401099999999995E-2</v>
      </c>
      <c r="FA112">
        <v>7.1270899999999998E-2</v>
      </c>
      <c r="FB112">
        <v>7.1822200000000003E-2</v>
      </c>
      <c r="FC112">
        <v>7.1834899999999993E-2</v>
      </c>
      <c r="FD112">
        <v>7.1440000000000003E-2</v>
      </c>
      <c r="FE112">
        <v>7.1279099999999998E-2</v>
      </c>
      <c r="FF112">
        <v>7.1684100000000001E-2</v>
      </c>
      <c r="FG112">
        <v>7.1333199999999999E-2</v>
      </c>
      <c r="FH112">
        <v>7.1300299999999997E-2</v>
      </c>
      <c r="FI112">
        <v>7.1211499999999997E-2</v>
      </c>
      <c r="FJ112">
        <v>7.1581599999999995E-2</v>
      </c>
      <c r="FK112">
        <v>0.30260730000000002</v>
      </c>
      <c r="FL112">
        <v>9.1571200000000005E-2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3.563275</v>
      </c>
      <c r="FZ112">
        <v>-0.81225259999999999</v>
      </c>
      <c r="GA112">
        <v>-0.3870112</v>
      </c>
      <c r="GB112">
        <v>0.75744650000000002</v>
      </c>
      <c r="GC112">
        <v>-0.59049130000000005</v>
      </c>
      <c r="GD112">
        <v>-0.49048320000000001</v>
      </c>
      <c r="GE112">
        <v>0.15054719999999999</v>
      </c>
      <c r="GF112">
        <v>8.6623500000000006E-2</v>
      </c>
      <c r="GG112">
        <v>1.0399510000000001</v>
      </c>
      <c r="GH112">
        <v>-2.4635099999999999</v>
      </c>
      <c r="GI112">
        <v>6.0688820000000003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0.1936687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-1.576646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1</v>
      </c>
      <c r="KN112">
        <v>1</v>
      </c>
      <c r="KO112">
        <v>1</v>
      </c>
      <c r="KP112">
        <v>1</v>
      </c>
      <c r="KQ112">
        <v>1</v>
      </c>
      <c r="KR112">
        <v>1</v>
      </c>
      <c r="KS112">
        <v>1</v>
      </c>
      <c r="KT112">
        <v>1</v>
      </c>
      <c r="KU112">
        <v>1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1</v>
      </c>
      <c r="LG112">
        <v>1</v>
      </c>
      <c r="LH112">
        <v>1</v>
      </c>
      <c r="LI112">
        <v>1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1</v>
      </c>
      <c r="LT112">
        <v>1</v>
      </c>
      <c r="LU112">
        <v>1</v>
      </c>
      <c r="LV112">
        <v>1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G112">
        <v>1</v>
      </c>
      <c r="MH112">
        <v>1</v>
      </c>
      <c r="MI112">
        <v>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1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1</v>
      </c>
      <c r="NJ112">
        <v>1</v>
      </c>
      <c r="NK112">
        <v>1</v>
      </c>
      <c r="NL112">
        <v>1</v>
      </c>
      <c r="NM112">
        <v>1</v>
      </c>
      <c r="NN112">
        <v>1</v>
      </c>
      <c r="NO112">
        <v>1</v>
      </c>
      <c r="NP112">
        <v>114.1011</v>
      </c>
      <c r="NQ112">
        <v>1</v>
      </c>
      <c r="NR112">
        <v>1</v>
      </c>
      <c r="NS112">
        <v>1</v>
      </c>
      <c r="NT112">
        <v>1</v>
      </c>
      <c r="NU112">
        <v>1</v>
      </c>
      <c r="NV112">
        <v>1</v>
      </c>
      <c r="NW112">
        <v>1</v>
      </c>
      <c r="NX112">
        <v>1</v>
      </c>
      <c r="NY112">
        <v>1</v>
      </c>
      <c r="NZ112">
        <v>1</v>
      </c>
      <c r="OA112">
        <v>1</v>
      </c>
      <c r="OB112">
        <v>1</v>
      </c>
      <c r="OC112">
        <v>27.5</v>
      </c>
      <c r="OD112">
        <v>43556.5</v>
      </c>
      <c r="OE112">
        <v>2.81</v>
      </c>
      <c r="OF112">
        <v>17.648399999999999</v>
      </c>
      <c r="OG112">
        <v>33.4</v>
      </c>
      <c r="OH112">
        <v>83.77</v>
      </c>
    </row>
    <row r="113" spans="1:398">
      <c r="A113">
        <v>11</v>
      </c>
      <c r="B113" t="s">
        <v>33</v>
      </c>
      <c r="C113" t="s">
        <v>32</v>
      </c>
      <c r="D113">
        <v>2011</v>
      </c>
      <c r="E113">
        <v>50.433999999999997</v>
      </c>
      <c r="F113">
        <v>0.92020000000000002</v>
      </c>
      <c r="G113">
        <v>448</v>
      </c>
      <c r="H113">
        <v>34.799999999999997</v>
      </c>
      <c r="I113">
        <v>89.1</v>
      </c>
      <c r="J113">
        <v>11.4</v>
      </c>
      <c r="K113">
        <v>106.8</v>
      </c>
      <c r="L113">
        <v>0.5</v>
      </c>
      <c r="M113">
        <v>1.7</v>
      </c>
      <c r="N113">
        <v>43389</v>
      </c>
      <c r="O113">
        <v>7.79</v>
      </c>
      <c r="P113">
        <v>0.92</v>
      </c>
      <c r="Q113">
        <v>10947</v>
      </c>
      <c r="R113">
        <v>22.7</v>
      </c>
      <c r="S113">
        <v>0.32363700000000001</v>
      </c>
      <c r="T113">
        <v>3.906253</v>
      </c>
      <c r="U113">
        <v>-0.77338269999999998</v>
      </c>
      <c r="V113">
        <v>-0.44015850000000001</v>
      </c>
      <c r="W113">
        <v>1.4770999999999999E-2</v>
      </c>
      <c r="X113">
        <v>0.84078589999999997</v>
      </c>
      <c r="Y113">
        <v>0.50390020000000002</v>
      </c>
      <c r="Z113">
        <v>-0.60920379999999996</v>
      </c>
      <c r="AA113">
        <v>-0.47292210000000001</v>
      </c>
      <c r="AB113">
        <v>-5.7301400000000002E-2</v>
      </c>
      <c r="AC113">
        <v>-0.4890814</v>
      </c>
      <c r="AD113">
        <v>-6.0388900000000002E-2</v>
      </c>
      <c r="AE113">
        <v>1.0726180000000001</v>
      </c>
      <c r="AF113">
        <v>-0.81565949999999998</v>
      </c>
      <c r="AG113">
        <v>-0.228098</v>
      </c>
      <c r="AH113">
        <v>-1.3766449999999999</v>
      </c>
      <c r="AI113">
        <v>3.9206660000000002</v>
      </c>
      <c r="AJ113">
        <v>-8.3164299999999997E-2</v>
      </c>
      <c r="AK113">
        <v>6.1047929999999999</v>
      </c>
      <c r="AL113">
        <v>4.4897590000000003</v>
      </c>
      <c r="AM113">
        <v>2.4336129999999998</v>
      </c>
      <c r="AN113">
        <v>4.6709579999999997</v>
      </c>
      <c r="AO113">
        <v>10.677960000000001</v>
      </c>
      <c r="AP113">
        <v>-8.33816E-2</v>
      </c>
      <c r="AQ113">
        <v>9.3008190000000006</v>
      </c>
      <c r="AR113">
        <v>2.8753099999999998</v>
      </c>
      <c r="AS113">
        <v>3.5581999999999998</v>
      </c>
      <c r="AT113">
        <v>10.700799999999999</v>
      </c>
      <c r="AU113">
        <v>84.313000000000002</v>
      </c>
      <c r="AV113">
        <v>78.715900000000005</v>
      </c>
      <c r="AW113">
        <v>-2.1840600000000001</v>
      </c>
      <c r="AX113" s="17">
        <v>-6000000000</v>
      </c>
      <c r="AY113">
        <v>3.3322099999999999</v>
      </c>
      <c r="AZ113">
        <v>0.62</v>
      </c>
      <c r="BA113">
        <v>2.0528409999999999</v>
      </c>
      <c r="BB113">
        <v>2.0528409000000001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0.37156400000000001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8.2982000000000004E-3</v>
      </c>
      <c r="CG113">
        <v>0.51209890000000002</v>
      </c>
      <c r="CH113">
        <v>0.180894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-0.93603309999999995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0.26224530000000001</v>
      </c>
      <c r="DI113">
        <v>0.87615790000000005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0.31750129999999999</v>
      </c>
      <c r="DW113">
        <v>-0.58034050000000004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13.90737</v>
      </c>
      <c r="EW113">
        <v>7.0764099999999996E-2</v>
      </c>
      <c r="EX113">
        <v>7.1618500000000002E-2</v>
      </c>
      <c r="EY113">
        <v>7.1501999999999996E-2</v>
      </c>
      <c r="EZ113">
        <v>7.1402199999999999E-2</v>
      </c>
      <c r="FA113">
        <v>7.1292499999999995E-2</v>
      </c>
      <c r="FB113">
        <v>7.12121E-2</v>
      </c>
      <c r="FC113">
        <v>7.18829E-2</v>
      </c>
      <c r="FD113">
        <v>7.1537900000000001E-2</v>
      </c>
      <c r="FE113">
        <v>7.1343900000000002E-2</v>
      </c>
      <c r="FF113">
        <v>7.1707699999999999E-2</v>
      </c>
      <c r="FG113">
        <v>7.1543099999999998E-2</v>
      </c>
      <c r="FH113">
        <v>7.1361800000000003E-2</v>
      </c>
      <c r="FI113">
        <v>7.1235599999999996E-2</v>
      </c>
      <c r="FJ113">
        <v>7.1595599999999995E-2</v>
      </c>
      <c r="FK113">
        <v>0.3228261</v>
      </c>
      <c r="FL113">
        <v>0.1042167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3.906253</v>
      </c>
      <c r="FZ113">
        <v>-0.77338269999999998</v>
      </c>
      <c r="GA113">
        <v>-0.44015850000000001</v>
      </c>
      <c r="GB113">
        <v>0.84078589999999997</v>
      </c>
      <c r="GC113">
        <v>-0.60920379999999996</v>
      </c>
      <c r="GD113">
        <v>-0.4890814</v>
      </c>
      <c r="GE113">
        <v>-0.228098</v>
      </c>
      <c r="GF113">
        <v>-6.0388900000000002E-2</v>
      </c>
      <c r="GG113">
        <v>1.0726180000000001</v>
      </c>
      <c r="GH113">
        <v>-1.8206359999999999</v>
      </c>
      <c r="GI113">
        <v>3.3147139999999999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0.2001522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-1.1287940000000001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1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1</v>
      </c>
      <c r="KS113">
        <v>1</v>
      </c>
      <c r="KT113">
        <v>1</v>
      </c>
      <c r="KU113">
        <v>1</v>
      </c>
      <c r="KV113">
        <v>1</v>
      </c>
      <c r="KW113">
        <v>1</v>
      </c>
      <c r="KX113">
        <v>1</v>
      </c>
      <c r="KY113">
        <v>1</v>
      </c>
      <c r="KZ113">
        <v>1</v>
      </c>
      <c r="LA113">
        <v>1</v>
      </c>
      <c r="LB113">
        <v>1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1</v>
      </c>
      <c r="LI113">
        <v>1</v>
      </c>
      <c r="LJ113">
        <v>1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1</v>
      </c>
      <c r="LR113">
        <v>1</v>
      </c>
      <c r="LS113">
        <v>1</v>
      </c>
      <c r="LT113">
        <v>1</v>
      </c>
      <c r="LU113">
        <v>1</v>
      </c>
      <c r="LV113">
        <v>1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1</v>
      </c>
      <c r="MG113">
        <v>1</v>
      </c>
      <c r="MH113">
        <v>1</v>
      </c>
      <c r="MI113">
        <v>1</v>
      </c>
      <c r="MJ113">
        <v>1</v>
      </c>
      <c r="MK113">
        <v>1</v>
      </c>
      <c r="ML113">
        <v>1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1</v>
      </c>
      <c r="MX113">
        <v>1</v>
      </c>
      <c r="MY113">
        <v>1</v>
      </c>
      <c r="MZ113">
        <v>1</v>
      </c>
      <c r="NA113">
        <v>1</v>
      </c>
      <c r="NB113">
        <v>1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1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>
        <v>114.50709999999999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1</v>
      </c>
      <c r="OA113">
        <v>1</v>
      </c>
      <c r="OB113">
        <v>1</v>
      </c>
      <c r="OC113">
        <v>28</v>
      </c>
      <c r="OD113">
        <v>44391.5</v>
      </c>
      <c r="OE113">
        <v>1.45</v>
      </c>
      <c r="OF113">
        <v>17.731000000000002</v>
      </c>
      <c r="OG113">
        <v>35.1</v>
      </c>
      <c r="OH113">
        <v>84.313000000000002</v>
      </c>
    </row>
    <row r="114" spans="1:398">
      <c r="A114">
        <v>11</v>
      </c>
      <c r="B114" t="s">
        <v>33</v>
      </c>
      <c r="C114" t="s">
        <v>32</v>
      </c>
      <c r="D114">
        <v>2012</v>
      </c>
      <c r="E114">
        <v>49.250999999999998</v>
      </c>
      <c r="F114">
        <v>0.91439999999999999</v>
      </c>
      <c r="G114">
        <v>456</v>
      </c>
      <c r="H114">
        <v>33.299999999999997</v>
      </c>
      <c r="I114">
        <v>89.4</v>
      </c>
      <c r="J114">
        <v>12.2</v>
      </c>
      <c r="K114">
        <v>133.19999999999999</v>
      </c>
      <c r="L114">
        <v>0.4</v>
      </c>
      <c r="M114">
        <v>1.6</v>
      </c>
      <c r="N114">
        <v>43654</v>
      </c>
      <c r="O114">
        <v>11.73</v>
      </c>
      <c r="P114">
        <v>0.9</v>
      </c>
      <c r="Q114">
        <v>10107.5</v>
      </c>
      <c r="R114">
        <v>20.7</v>
      </c>
      <c r="S114">
        <v>0.313722</v>
      </c>
      <c r="T114">
        <v>3.7625259999999998</v>
      </c>
      <c r="U114">
        <v>-0.77894929999999996</v>
      </c>
      <c r="V114">
        <v>-0.3794188</v>
      </c>
      <c r="W114">
        <v>-8.1788299999999994E-2</v>
      </c>
      <c r="X114">
        <v>0.88245620000000002</v>
      </c>
      <c r="Y114">
        <v>0.63200500000000004</v>
      </c>
      <c r="Z114">
        <v>-0.60575880000000004</v>
      </c>
      <c r="AA114">
        <v>-0.75105639999999996</v>
      </c>
      <c r="AB114">
        <v>-0.18922800000000001</v>
      </c>
      <c r="AC114">
        <v>-0.4876742</v>
      </c>
      <c r="AD114">
        <v>-0.15839739999999999</v>
      </c>
      <c r="AE114">
        <v>0.79605409999999999</v>
      </c>
      <c r="AF114">
        <v>-0.92101569999999999</v>
      </c>
      <c r="AG114">
        <v>-2.2890000000000001E-2</v>
      </c>
      <c r="AH114">
        <v>-1.4232880000000001</v>
      </c>
      <c r="AI114">
        <v>3.8969299999999998</v>
      </c>
      <c r="AJ114">
        <v>-8.9487200000000003E-2</v>
      </c>
      <c r="AK114">
        <v>6.1224930000000004</v>
      </c>
      <c r="AL114">
        <v>4.4931210000000004</v>
      </c>
      <c r="AM114">
        <v>2.501436</v>
      </c>
      <c r="AN114">
        <v>4.8918520000000001</v>
      </c>
      <c r="AO114">
        <v>10.684049999999999</v>
      </c>
      <c r="AP114">
        <v>-0.1053605</v>
      </c>
      <c r="AQ114">
        <v>9.2210370000000008</v>
      </c>
      <c r="AR114">
        <v>2.8800699999999999</v>
      </c>
      <c r="AS114">
        <v>3.65584</v>
      </c>
      <c r="AT114">
        <v>10.6807</v>
      </c>
      <c r="AU114">
        <v>84.840999999999994</v>
      </c>
      <c r="AV114">
        <v>79.430400000000006</v>
      </c>
      <c r="AW114">
        <v>1.9151199999999999</v>
      </c>
      <c r="AX114" s="17">
        <v>4900000000</v>
      </c>
      <c r="AY114">
        <v>3.2958400000000001</v>
      </c>
      <c r="AZ114">
        <v>0.66</v>
      </c>
      <c r="BA114">
        <v>2.4621499999999998</v>
      </c>
      <c r="BB114">
        <v>2.4621496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0.77472700000000005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7.8309E-3</v>
      </c>
      <c r="CG114">
        <v>0.50415690000000002</v>
      </c>
      <c r="CH114">
        <v>0.17982300000000001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-0.96068969999999998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0.25417420000000002</v>
      </c>
      <c r="DI114">
        <v>0.92292459999999998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0.33274359999999997</v>
      </c>
      <c r="DW114">
        <v>-0.63405520000000004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13.909549999999999</v>
      </c>
      <c r="EW114">
        <v>7.0791699999999999E-2</v>
      </c>
      <c r="EX114">
        <v>7.1610400000000005E-2</v>
      </c>
      <c r="EY114">
        <v>7.1480100000000005E-2</v>
      </c>
      <c r="EZ114">
        <v>7.1413500000000005E-2</v>
      </c>
      <c r="FA114">
        <v>7.1282600000000002E-2</v>
      </c>
      <c r="FB114">
        <v>7.1166999999999994E-2</v>
      </c>
      <c r="FC114">
        <v>7.1867E-2</v>
      </c>
      <c r="FD114">
        <v>7.1604000000000001E-2</v>
      </c>
      <c r="FE114">
        <v>7.1373400000000004E-2</v>
      </c>
      <c r="FF114">
        <v>7.1695800000000004E-2</v>
      </c>
      <c r="FG114">
        <v>7.1432200000000001E-2</v>
      </c>
      <c r="FH114">
        <v>7.1376800000000004E-2</v>
      </c>
      <c r="FI114">
        <v>7.1282300000000007E-2</v>
      </c>
      <c r="FJ114">
        <v>7.1623099999999995E-2</v>
      </c>
      <c r="FK114">
        <v>0.31296360000000001</v>
      </c>
      <c r="FL114">
        <v>9.7946199999999997E-2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3.7625259999999998</v>
      </c>
      <c r="FZ114">
        <v>-0.77894929999999996</v>
      </c>
      <c r="GA114">
        <v>-0.3794188</v>
      </c>
      <c r="GB114">
        <v>0.88245620000000002</v>
      </c>
      <c r="GC114">
        <v>-0.60575880000000004</v>
      </c>
      <c r="GD114">
        <v>-0.4876742</v>
      </c>
      <c r="GE114">
        <v>-2.2890000000000001E-2</v>
      </c>
      <c r="GF114">
        <v>-0.15839739999999999</v>
      </c>
      <c r="GG114">
        <v>0.79605409999999999</v>
      </c>
      <c r="GH114">
        <v>-1.8432390000000001</v>
      </c>
      <c r="GI114">
        <v>3.3975300000000002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0.20655599999999999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-1.2165379999999999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1</v>
      </c>
      <c r="JQ114">
        <v>1</v>
      </c>
      <c r="JR114">
        <v>1</v>
      </c>
      <c r="JS114">
        <v>1</v>
      </c>
      <c r="JT114">
        <v>1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1</v>
      </c>
      <c r="KW114">
        <v>1</v>
      </c>
      <c r="KX114">
        <v>1</v>
      </c>
      <c r="KY114">
        <v>1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1</v>
      </c>
      <c r="LP114">
        <v>1</v>
      </c>
      <c r="LQ114">
        <v>1</v>
      </c>
      <c r="LR114">
        <v>1</v>
      </c>
      <c r="LS114">
        <v>1</v>
      </c>
      <c r="LT114">
        <v>1</v>
      </c>
      <c r="LU114">
        <v>1</v>
      </c>
      <c r="LV114">
        <v>1</v>
      </c>
      <c r="LW114">
        <v>1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G114">
        <v>1</v>
      </c>
      <c r="MH114">
        <v>1</v>
      </c>
      <c r="MI114">
        <v>1</v>
      </c>
      <c r="MJ114">
        <v>1</v>
      </c>
      <c r="MK114">
        <v>1</v>
      </c>
      <c r="ML114">
        <v>1</v>
      </c>
      <c r="MM114">
        <v>1</v>
      </c>
      <c r="MN114">
        <v>1</v>
      </c>
      <c r="MO114">
        <v>1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1</v>
      </c>
      <c r="NI114">
        <v>1</v>
      </c>
      <c r="NJ114">
        <v>1</v>
      </c>
      <c r="NK114">
        <v>1</v>
      </c>
      <c r="NL114">
        <v>1</v>
      </c>
      <c r="NM114">
        <v>1</v>
      </c>
      <c r="NN114">
        <v>1</v>
      </c>
      <c r="NO114">
        <v>1</v>
      </c>
      <c r="NP114">
        <v>114.0774</v>
      </c>
      <c r="NQ114">
        <v>1</v>
      </c>
      <c r="NR114">
        <v>1</v>
      </c>
      <c r="NS114">
        <v>1</v>
      </c>
      <c r="NT114">
        <v>1</v>
      </c>
      <c r="NU114">
        <v>1</v>
      </c>
      <c r="NV114">
        <v>1</v>
      </c>
      <c r="NW114">
        <v>1</v>
      </c>
      <c r="NX114">
        <v>1</v>
      </c>
      <c r="NY114">
        <v>1</v>
      </c>
      <c r="NZ114">
        <v>1</v>
      </c>
      <c r="OA114">
        <v>1</v>
      </c>
      <c r="OB114">
        <v>1</v>
      </c>
      <c r="OC114">
        <v>27</v>
      </c>
      <c r="OD114">
        <v>43507.9</v>
      </c>
      <c r="OE114">
        <v>2.17</v>
      </c>
      <c r="OF114">
        <v>17.8156</v>
      </c>
      <c r="OG114">
        <v>38.700000000000003</v>
      </c>
      <c r="OH114">
        <v>84.840999999999994</v>
      </c>
    </row>
    <row r="115" spans="1:398">
      <c r="A115">
        <v>11</v>
      </c>
      <c r="B115" t="s">
        <v>33</v>
      </c>
      <c r="C115" t="s">
        <v>32</v>
      </c>
      <c r="D115">
        <v>2013</v>
      </c>
      <c r="E115">
        <v>54.707000000000001</v>
      </c>
      <c r="F115">
        <v>0.79820000000000002</v>
      </c>
      <c r="G115">
        <v>464</v>
      </c>
      <c r="H115">
        <v>32.5</v>
      </c>
      <c r="I115">
        <v>87.9</v>
      </c>
      <c r="J115">
        <v>7.9</v>
      </c>
      <c r="K115">
        <v>107.8</v>
      </c>
      <c r="L115">
        <v>0.3</v>
      </c>
      <c r="M115">
        <v>1.5</v>
      </c>
      <c r="N115">
        <v>43299</v>
      </c>
      <c r="O115">
        <v>14.95</v>
      </c>
      <c r="P115">
        <v>0.9</v>
      </c>
      <c r="Q115">
        <v>9492.39</v>
      </c>
      <c r="R115">
        <v>19.3</v>
      </c>
      <c r="S115">
        <v>0.299151</v>
      </c>
      <c r="T115">
        <v>4.4253989999999996</v>
      </c>
      <c r="U115">
        <v>-0.89047220000000005</v>
      </c>
      <c r="V115">
        <v>-0.31867899999999999</v>
      </c>
      <c r="W115">
        <v>-0.13328660000000001</v>
      </c>
      <c r="X115">
        <v>0.67410700000000001</v>
      </c>
      <c r="Y115">
        <v>-5.6557999999999997E-2</v>
      </c>
      <c r="Z115">
        <v>-0.60907319999999998</v>
      </c>
      <c r="AA115">
        <v>-1.029191</v>
      </c>
      <c r="AB115">
        <v>-0.32115470000000002</v>
      </c>
      <c r="AC115">
        <v>-0.48955929999999998</v>
      </c>
      <c r="AD115">
        <v>-0.15839739999999999</v>
      </c>
      <c r="AE115">
        <v>0.59338429999999998</v>
      </c>
      <c r="AF115">
        <v>-0.99476520000000002</v>
      </c>
      <c r="AG115">
        <v>0.144818</v>
      </c>
      <c r="AH115">
        <v>-1.88896</v>
      </c>
      <c r="AI115">
        <v>4.0019920000000004</v>
      </c>
      <c r="AJ115">
        <v>-0.22539609999999999</v>
      </c>
      <c r="AK115">
        <v>6.1398840000000003</v>
      </c>
      <c r="AL115">
        <v>4.4762000000000004</v>
      </c>
      <c r="AM115">
        <v>2.0668630000000001</v>
      </c>
      <c r="AN115">
        <v>4.6802780000000004</v>
      </c>
      <c r="AO115">
        <v>10.675890000000001</v>
      </c>
      <c r="AP115">
        <v>-0.1053605</v>
      </c>
      <c r="AQ115">
        <v>9.1582450000000009</v>
      </c>
      <c r="AR115">
        <v>2.8846799999999999</v>
      </c>
      <c r="AS115">
        <v>3.6506599999999998</v>
      </c>
      <c r="AT115">
        <v>10.6662</v>
      </c>
      <c r="AU115">
        <v>85.125</v>
      </c>
      <c r="AV115">
        <v>77.485200000000006</v>
      </c>
      <c r="AW115">
        <v>-1.8348899999999999</v>
      </c>
      <c r="AX115" s="17">
        <v>-5000000000</v>
      </c>
      <c r="AY115">
        <v>3.2771400000000002</v>
      </c>
      <c r="AZ115">
        <v>0.67</v>
      </c>
      <c r="BA115">
        <v>2.7047110000000001</v>
      </c>
      <c r="BB115">
        <v>2.7047112000000002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1.0116000000000001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7.5588000000000001E-3</v>
      </c>
      <c r="CG115">
        <v>0.48313509999999998</v>
      </c>
      <c r="CH115">
        <v>0.16384899999999999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-1.4668509999999999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0.2334196</v>
      </c>
      <c r="DI115">
        <v>2.1516510000000002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0.3237005</v>
      </c>
      <c r="DW115">
        <v>-0.9827901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13.91473</v>
      </c>
      <c r="EW115">
        <v>7.0699300000000007E-2</v>
      </c>
      <c r="EX115">
        <v>7.1629100000000001E-2</v>
      </c>
      <c r="EY115">
        <v>7.1443199999999998E-2</v>
      </c>
      <c r="EZ115">
        <v>7.1400199999999997E-2</v>
      </c>
      <c r="FA115">
        <v>7.1279499999999996E-2</v>
      </c>
      <c r="FB115">
        <v>7.1376599999999998E-2</v>
      </c>
      <c r="FC115">
        <v>7.1844699999999997E-2</v>
      </c>
      <c r="FD115">
        <v>7.1659899999999999E-2</v>
      </c>
      <c r="FE115">
        <v>7.1387500000000007E-2</v>
      </c>
      <c r="FF115">
        <v>7.1670899999999996E-2</v>
      </c>
      <c r="FG115">
        <v>7.1331400000000003E-2</v>
      </c>
      <c r="FH115">
        <v>7.1353700000000006E-2</v>
      </c>
      <c r="FI115">
        <v>7.1299600000000005E-2</v>
      </c>
      <c r="FJ115">
        <v>7.1624400000000005E-2</v>
      </c>
      <c r="FK115">
        <v>0.29829349999999999</v>
      </c>
      <c r="FL115">
        <v>8.8979000000000003E-2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4.4253989999999996</v>
      </c>
      <c r="FZ115">
        <v>-0.89047220000000005</v>
      </c>
      <c r="GA115">
        <v>-0.31867899999999999</v>
      </c>
      <c r="GB115">
        <v>0.67410700000000001</v>
      </c>
      <c r="GC115">
        <v>-0.60907319999999998</v>
      </c>
      <c r="GD115">
        <v>-0.48955929999999998</v>
      </c>
      <c r="GE115">
        <v>0.144818</v>
      </c>
      <c r="GF115">
        <v>-0.15839739999999999</v>
      </c>
      <c r="GG115">
        <v>0.59338429999999998</v>
      </c>
      <c r="GH115">
        <v>-2.4775559999999999</v>
      </c>
      <c r="GI115">
        <v>6.1382820000000002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0.1998567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-1.6599619999999999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1</v>
      </c>
      <c r="LR115">
        <v>1</v>
      </c>
      <c r="LS115">
        <v>1</v>
      </c>
      <c r="LT115">
        <v>1</v>
      </c>
      <c r="LU115">
        <v>1</v>
      </c>
      <c r="LV115">
        <v>1</v>
      </c>
      <c r="LW115">
        <v>1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1</v>
      </c>
      <c r="ML115">
        <v>1</v>
      </c>
      <c r="MM115">
        <v>1</v>
      </c>
      <c r="MN115">
        <v>1</v>
      </c>
      <c r="MO115">
        <v>1</v>
      </c>
      <c r="MP115">
        <v>1</v>
      </c>
      <c r="MQ115">
        <v>1</v>
      </c>
      <c r="MR115">
        <v>1</v>
      </c>
      <c r="MS115">
        <v>1</v>
      </c>
      <c r="MT115">
        <v>1</v>
      </c>
      <c r="MU115">
        <v>1</v>
      </c>
      <c r="MV115">
        <v>1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1</v>
      </c>
      <c r="NJ115">
        <v>1</v>
      </c>
      <c r="NK115">
        <v>1</v>
      </c>
      <c r="NL115">
        <v>1</v>
      </c>
      <c r="NM115">
        <v>1</v>
      </c>
      <c r="NN115">
        <v>1</v>
      </c>
      <c r="NO115">
        <v>1</v>
      </c>
      <c r="NP115">
        <v>113.7687</v>
      </c>
      <c r="NQ115">
        <v>1</v>
      </c>
      <c r="NR115">
        <v>1</v>
      </c>
      <c r="NS115">
        <v>1</v>
      </c>
      <c r="NT115">
        <v>1</v>
      </c>
      <c r="NU115">
        <v>1</v>
      </c>
      <c r="NV115">
        <v>1</v>
      </c>
      <c r="NW115">
        <v>1</v>
      </c>
      <c r="NX115">
        <v>1</v>
      </c>
      <c r="NY115">
        <v>1</v>
      </c>
      <c r="NZ115">
        <v>1</v>
      </c>
      <c r="OA115">
        <v>1</v>
      </c>
      <c r="OB115">
        <v>1</v>
      </c>
      <c r="OC115">
        <v>26.5</v>
      </c>
      <c r="OD115">
        <v>42883.6</v>
      </c>
      <c r="OE115">
        <v>2.75</v>
      </c>
      <c r="OF115">
        <v>17.8978</v>
      </c>
      <c r="OG115">
        <v>38.5</v>
      </c>
      <c r="OH115">
        <v>85.125</v>
      </c>
    </row>
    <row r="116" spans="1:398">
      <c r="A116">
        <v>11</v>
      </c>
      <c r="B116" t="s">
        <v>33</v>
      </c>
      <c r="C116" t="s">
        <v>32</v>
      </c>
      <c r="D116">
        <v>2014</v>
      </c>
      <c r="E116">
        <v>48.973999999999997</v>
      </c>
      <c r="F116">
        <v>0.91269999999999996</v>
      </c>
      <c r="G116">
        <v>473</v>
      </c>
      <c r="H116">
        <v>32.5</v>
      </c>
      <c r="I116">
        <v>87.8</v>
      </c>
      <c r="J116">
        <v>5.5</v>
      </c>
      <c r="K116">
        <v>221.5</v>
      </c>
      <c r="L116">
        <v>0.4</v>
      </c>
      <c r="M116">
        <v>1.5</v>
      </c>
      <c r="N116">
        <v>42277</v>
      </c>
      <c r="O116">
        <v>15.37</v>
      </c>
      <c r="P116">
        <v>0.92</v>
      </c>
      <c r="Q116">
        <v>10024.5</v>
      </c>
      <c r="R116">
        <v>21.3</v>
      </c>
      <c r="S116">
        <v>0.29849199999999998</v>
      </c>
      <c r="T116">
        <v>3.728872</v>
      </c>
      <c r="U116">
        <v>-0.78058079999999996</v>
      </c>
      <c r="V116">
        <v>-0.25034679999999998</v>
      </c>
      <c r="W116">
        <v>-0.13328660000000001</v>
      </c>
      <c r="X116">
        <v>0.66021730000000001</v>
      </c>
      <c r="Y116">
        <v>-0.44087229999999999</v>
      </c>
      <c r="Z116">
        <v>-0.5942364</v>
      </c>
      <c r="AA116">
        <v>-0.75105639999999996</v>
      </c>
      <c r="AB116">
        <v>-0.32115470000000002</v>
      </c>
      <c r="AC116">
        <v>-0.49498609999999998</v>
      </c>
      <c r="AD116">
        <v>-6.0388900000000002E-2</v>
      </c>
      <c r="AE116">
        <v>0.76870159999999998</v>
      </c>
      <c r="AF116">
        <v>-0.88940889999999995</v>
      </c>
      <c r="AG116">
        <v>0.16669300000000001</v>
      </c>
      <c r="AH116">
        <v>-1.772041</v>
      </c>
      <c r="AI116">
        <v>3.891289</v>
      </c>
      <c r="AJ116">
        <v>-9.1347999999999999E-2</v>
      </c>
      <c r="AK116">
        <v>6.1590949999999998</v>
      </c>
      <c r="AL116">
        <v>4.4750610000000002</v>
      </c>
      <c r="AM116">
        <v>1.7047479999999999</v>
      </c>
      <c r="AN116">
        <v>5.400423</v>
      </c>
      <c r="AO116">
        <v>10.651999999999999</v>
      </c>
      <c r="AP116">
        <v>-8.33816E-2</v>
      </c>
      <c r="AQ116">
        <v>9.21279</v>
      </c>
      <c r="AR116">
        <v>2.8888099999999999</v>
      </c>
      <c r="AS116">
        <v>3.7184400000000002</v>
      </c>
      <c r="AT116">
        <v>10.657299999999999</v>
      </c>
      <c r="AU116">
        <v>85.174999999999997</v>
      </c>
      <c r="AV116">
        <v>74.627799999999993</v>
      </c>
      <c r="AW116">
        <v>6.4153700000000002</v>
      </c>
      <c r="AX116" s="17">
        <v>18000000000</v>
      </c>
      <c r="AY116">
        <v>3.23868</v>
      </c>
      <c r="AZ116">
        <v>0.64</v>
      </c>
      <c r="BA116">
        <v>2.732418</v>
      </c>
      <c r="BB116">
        <v>2.7324175999999998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1.03318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7.5021000000000003E-3</v>
      </c>
      <c r="CG116">
        <v>0.49034519999999998</v>
      </c>
      <c r="CH116">
        <v>0.16303400000000001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-1.2791410000000001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0.2404384</v>
      </c>
      <c r="DI116">
        <v>1.6362030000000001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0.31382090000000001</v>
      </c>
      <c r="DW116">
        <v>-0.81865049999999995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13.915100000000001</v>
      </c>
      <c r="EW116">
        <v>7.0805800000000002E-2</v>
      </c>
      <c r="EX116">
        <v>7.1584200000000001E-2</v>
      </c>
      <c r="EY116">
        <v>7.1429800000000002E-2</v>
      </c>
      <c r="EZ116">
        <v>7.1401099999999995E-2</v>
      </c>
      <c r="FA116">
        <v>7.1283399999999997E-2</v>
      </c>
      <c r="FB116">
        <v>7.1522699999999995E-2</v>
      </c>
      <c r="FC116">
        <v>7.1823700000000004E-2</v>
      </c>
      <c r="FD116">
        <v>7.1577100000000005E-2</v>
      </c>
      <c r="FE116">
        <v>7.1388599999999997E-2</v>
      </c>
      <c r="FF116">
        <v>7.1673399999999998E-2</v>
      </c>
      <c r="FG116">
        <v>7.1323600000000001E-2</v>
      </c>
      <c r="FH116">
        <v>7.1333199999999999E-2</v>
      </c>
      <c r="FI116">
        <v>7.1268600000000001E-2</v>
      </c>
      <c r="FJ116">
        <v>7.1584800000000004E-2</v>
      </c>
      <c r="FK116">
        <v>0.29779539999999999</v>
      </c>
      <c r="FL116">
        <v>8.86821E-2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3.728872</v>
      </c>
      <c r="FZ116">
        <v>-0.78058079999999996</v>
      </c>
      <c r="GA116">
        <v>-0.25034679999999998</v>
      </c>
      <c r="GB116">
        <v>0.66021730000000001</v>
      </c>
      <c r="GC116">
        <v>-0.5942364</v>
      </c>
      <c r="GD116">
        <v>-0.49498609999999998</v>
      </c>
      <c r="GE116">
        <v>0.16669300000000001</v>
      </c>
      <c r="GF116">
        <v>-6.0388900000000002E-2</v>
      </c>
      <c r="GG116">
        <v>0.76870159999999998</v>
      </c>
      <c r="GH116">
        <v>-2.3404859999999998</v>
      </c>
      <c r="GI116">
        <v>5.477875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0.19058900000000001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-1.497911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1</v>
      </c>
      <c r="JQ116">
        <v>1</v>
      </c>
      <c r="JR116">
        <v>1</v>
      </c>
      <c r="JS116">
        <v>1</v>
      </c>
      <c r="JT116">
        <v>1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1</v>
      </c>
      <c r="KJ116">
        <v>1</v>
      </c>
      <c r="KK116">
        <v>1</v>
      </c>
      <c r="KL116">
        <v>1</v>
      </c>
      <c r="KM116">
        <v>1</v>
      </c>
      <c r="KN116">
        <v>1</v>
      </c>
      <c r="KO116">
        <v>1</v>
      </c>
      <c r="KP116">
        <v>1</v>
      </c>
      <c r="KQ116">
        <v>1</v>
      </c>
      <c r="KR116">
        <v>1</v>
      </c>
      <c r="KS116">
        <v>1</v>
      </c>
      <c r="KT116">
        <v>1</v>
      </c>
      <c r="KU116">
        <v>1</v>
      </c>
      <c r="KV116">
        <v>1</v>
      </c>
      <c r="KW116">
        <v>1</v>
      </c>
      <c r="KX116">
        <v>1</v>
      </c>
      <c r="KY116">
        <v>1</v>
      </c>
      <c r="KZ116">
        <v>1</v>
      </c>
      <c r="LA116">
        <v>1</v>
      </c>
      <c r="LB116">
        <v>1</v>
      </c>
      <c r="LC116">
        <v>1</v>
      </c>
      <c r="LD116">
        <v>1</v>
      </c>
      <c r="LE116">
        <v>1</v>
      </c>
      <c r="LF116">
        <v>1</v>
      </c>
      <c r="LG116">
        <v>1</v>
      </c>
      <c r="LH116">
        <v>1</v>
      </c>
      <c r="LI116">
        <v>1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1</v>
      </c>
      <c r="LP116">
        <v>1</v>
      </c>
      <c r="LQ116">
        <v>1</v>
      </c>
      <c r="LR116">
        <v>1</v>
      </c>
      <c r="LS116">
        <v>1</v>
      </c>
      <c r="LT116">
        <v>1</v>
      </c>
      <c r="LU116">
        <v>1</v>
      </c>
      <c r="LV116">
        <v>1</v>
      </c>
      <c r="LW116">
        <v>1</v>
      </c>
      <c r="LX116">
        <v>1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1</v>
      </c>
      <c r="MG116">
        <v>1</v>
      </c>
      <c r="MH116">
        <v>1</v>
      </c>
      <c r="MI116">
        <v>1</v>
      </c>
      <c r="MJ116">
        <v>1</v>
      </c>
      <c r="MK116">
        <v>1</v>
      </c>
      <c r="ML116">
        <v>1</v>
      </c>
      <c r="MM116">
        <v>1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1</v>
      </c>
      <c r="NI116">
        <v>1</v>
      </c>
      <c r="NJ116">
        <v>1</v>
      </c>
      <c r="NK116">
        <v>1</v>
      </c>
      <c r="NL116">
        <v>1</v>
      </c>
      <c r="NM116">
        <v>1</v>
      </c>
      <c r="NN116">
        <v>1</v>
      </c>
      <c r="NO116">
        <v>1</v>
      </c>
      <c r="NP116">
        <v>113.57850000000001</v>
      </c>
      <c r="NQ116">
        <v>1</v>
      </c>
      <c r="NR116">
        <v>1</v>
      </c>
      <c r="NS116">
        <v>1</v>
      </c>
      <c r="NT116">
        <v>1</v>
      </c>
      <c r="NU116">
        <v>1</v>
      </c>
      <c r="NV116">
        <v>1</v>
      </c>
      <c r="NW116">
        <v>1</v>
      </c>
      <c r="NX116">
        <v>1</v>
      </c>
      <c r="NY116">
        <v>1</v>
      </c>
      <c r="NZ116">
        <v>1</v>
      </c>
      <c r="OA116">
        <v>1</v>
      </c>
      <c r="OB116">
        <v>1</v>
      </c>
      <c r="OC116">
        <v>25.5</v>
      </c>
      <c r="OD116">
        <v>42502.5</v>
      </c>
      <c r="OE116">
        <v>2.81</v>
      </c>
      <c r="OF116">
        <v>17.972000000000001</v>
      </c>
      <c r="OG116">
        <v>41.2</v>
      </c>
      <c r="OH116">
        <v>85.174999999999997</v>
      </c>
    </row>
    <row r="117" spans="1:398">
      <c r="A117">
        <v>11</v>
      </c>
      <c r="B117" t="s">
        <v>33</v>
      </c>
      <c r="C117" t="s">
        <v>32</v>
      </c>
      <c r="D117">
        <v>2015</v>
      </c>
      <c r="E117">
        <v>44.334000000000003</v>
      </c>
      <c r="F117">
        <v>0.94159999999999999</v>
      </c>
      <c r="G117">
        <v>475</v>
      </c>
      <c r="H117">
        <v>40.6</v>
      </c>
      <c r="I117">
        <v>92.5</v>
      </c>
      <c r="J117">
        <v>4.9000000000000004</v>
      </c>
      <c r="K117">
        <v>401.8</v>
      </c>
      <c r="L117">
        <v>0.4</v>
      </c>
      <c r="M117">
        <v>1.5</v>
      </c>
      <c r="N117">
        <v>41962</v>
      </c>
      <c r="O117">
        <v>18.47</v>
      </c>
      <c r="P117">
        <v>0.94</v>
      </c>
      <c r="Q117">
        <v>9470.64</v>
      </c>
      <c r="R117">
        <v>20.6</v>
      </c>
      <c r="S117">
        <v>0.30541699999999999</v>
      </c>
      <c r="T117">
        <v>3.1651379999999998</v>
      </c>
      <c r="U117">
        <v>-0.75284399999999996</v>
      </c>
      <c r="V117">
        <v>-0.23516190000000001</v>
      </c>
      <c r="W117">
        <v>0.38813379999999997</v>
      </c>
      <c r="X117">
        <v>1.3130440000000001</v>
      </c>
      <c r="Y117">
        <v>-0.53695079999999995</v>
      </c>
      <c r="Z117">
        <v>-0.57070889999999996</v>
      </c>
      <c r="AA117">
        <v>-0.75105639999999996</v>
      </c>
      <c r="AB117">
        <v>-0.32115470000000002</v>
      </c>
      <c r="AC117">
        <v>-0.49665870000000001</v>
      </c>
      <c r="AD117">
        <v>3.7619399999999997E-2</v>
      </c>
      <c r="AE117">
        <v>0.58622039999999997</v>
      </c>
      <c r="AF117">
        <v>-0.92628350000000004</v>
      </c>
      <c r="AG117">
        <v>0.32815100000000003</v>
      </c>
      <c r="AH117">
        <v>-1.5697300000000001</v>
      </c>
      <c r="AI117">
        <v>3.7917519999999998</v>
      </c>
      <c r="AJ117">
        <v>-6.0174699999999998E-2</v>
      </c>
      <c r="AK117">
        <v>6.1633149999999999</v>
      </c>
      <c r="AL117">
        <v>4.527209</v>
      </c>
      <c r="AM117">
        <v>1.589235</v>
      </c>
      <c r="AN117">
        <v>5.9959550000000004</v>
      </c>
      <c r="AO117">
        <v>10.64452</v>
      </c>
      <c r="AP117">
        <v>-6.1875399999999997E-2</v>
      </c>
      <c r="AQ117">
        <v>9.155951</v>
      </c>
      <c r="AR117">
        <v>2.8920400000000002</v>
      </c>
      <c r="AS117">
        <v>3.7658399999999999</v>
      </c>
      <c r="AT117">
        <v>10.6587</v>
      </c>
      <c r="AU117">
        <v>85.224999999999994</v>
      </c>
      <c r="AV117">
        <v>71.961799999999997</v>
      </c>
      <c r="AW117">
        <v>7.5380099999999999</v>
      </c>
      <c r="AX117" s="17">
        <v>18000000000</v>
      </c>
      <c r="AY117">
        <v>3.26193</v>
      </c>
      <c r="AZ117">
        <v>0.66</v>
      </c>
      <c r="BA117">
        <v>2.9161480000000002</v>
      </c>
      <c r="BB117">
        <v>2.9161476999999998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1.2149099999999999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9.5496999999999995E-3</v>
      </c>
      <c r="CG117">
        <v>0.50177170000000004</v>
      </c>
      <c r="CH117">
        <v>0.16778100000000001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-1.017085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0.25177480000000002</v>
      </c>
      <c r="DI117">
        <v>1.0344629999999999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0.3311693</v>
      </c>
      <c r="DW117">
        <v>-0.67127630000000005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13.91398</v>
      </c>
      <c r="EW117">
        <v>7.0901199999999998E-2</v>
      </c>
      <c r="EX117">
        <v>7.1580199999999997E-2</v>
      </c>
      <c r="EY117">
        <v>7.1434899999999996E-2</v>
      </c>
      <c r="EZ117">
        <v>7.1309499999999998E-2</v>
      </c>
      <c r="FA117">
        <v>7.1237599999999998E-2</v>
      </c>
      <c r="FB117">
        <v>7.1568800000000002E-2</v>
      </c>
      <c r="FC117">
        <v>7.1802099999999994E-2</v>
      </c>
      <c r="FD117">
        <v>7.1583900000000006E-2</v>
      </c>
      <c r="FE117">
        <v>7.1397299999999997E-2</v>
      </c>
      <c r="FF117">
        <v>7.1680800000000003E-2</v>
      </c>
      <c r="FG117">
        <v>7.12642E-2</v>
      </c>
      <c r="FH117">
        <v>7.1321200000000001E-2</v>
      </c>
      <c r="FI117">
        <v>7.1313600000000005E-2</v>
      </c>
      <c r="FJ117">
        <v>7.1604699999999993E-2</v>
      </c>
      <c r="FK117">
        <v>0.30477959999999998</v>
      </c>
      <c r="FL117">
        <v>9.2890600000000004E-2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3.1651379999999998</v>
      </c>
      <c r="FZ117">
        <v>-0.75284399999999996</v>
      </c>
      <c r="GA117">
        <v>-0.23516190000000001</v>
      </c>
      <c r="GB117">
        <v>1.3130440000000001</v>
      </c>
      <c r="GC117">
        <v>-0.57070889999999996</v>
      </c>
      <c r="GD117">
        <v>-0.49665870000000001</v>
      </c>
      <c r="GE117">
        <v>0.32815100000000003</v>
      </c>
      <c r="GF117">
        <v>3.7619399999999997E-2</v>
      </c>
      <c r="GG117">
        <v>0.58622039999999997</v>
      </c>
      <c r="GH117">
        <v>-2.0269870000000001</v>
      </c>
      <c r="GI117">
        <v>4.1086749999999999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0.20115450000000001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-1.3378110000000001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1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1</v>
      </c>
      <c r="KN117">
        <v>1</v>
      </c>
      <c r="KO117">
        <v>1</v>
      </c>
      <c r="KP117">
        <v>1</v>
      </c>
      <c r="KQ117">
        <v>1</v>
      </c>
      <c r="KR117">
        <v>1</v>
      </c>
      <c r="KS117">
        <v>1</v>
      </c>
      <c r="KT117">
        <v>1</v>
      </c>
      <c r="KU117">
        <v>1</v>
      </c>
      <c r="KV117">
        <v>1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1</v>
      </c>
      <c r="LD117">
        <v>1</v>
      </c>
      <c r="LE117">
        <v>1</v>
      </c>
      <c r="LF117">
        <v>1</v>
      </c>
      <c r="LG117">
        <v>1</v>
      </c>
      <c r="LH117">
        <v>1</v>
      </c>
      <c r="LI117">
        <v>1</v>
      </c>
      <c r="LJ117">
        <v>1</v>
      </c>
      <c r="LK117">
        <v>1</v>
      </c>
      <c r="LL117">
        <v>1</v>
      </c>
      <c r="LM117">
        <v>1</v>
      </c>
      <c r="LN117">
        <v>1</v>
      </c>
      <c r="LO117">
        <v>1</v>
      </c>
      <c r="LP117">
        <v>1</v>
      </c>
      <c r="LQ117">
        <v>1</v>
      </c>
      <c r="LR117">
        <v>1</v>
      </c>
      <c r="LS117">
        <v>1</v>
      </c>
      <c r="LT117">
        <v>1</v>
      </c>
      <c r="LU117">
        <v>1</v>
      </c>
      <c r="LV117">
        <v>1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>
        <v>1</v>
      </c>
      <c r="ME117">
        <v>1</v>
      </c>
      <c r="MF117">
        <v>1</v>
      </c>
      <c r="MG117">
        <v>1</v>
      </c>
      <c r="MH117">
        <v>1</v>
      </c>
      <c r="MI117">
        <v>1</v>
      </c>
      <c r="MJ117">
        <v>1</v>
      </c>
      <c r="MK117">
        <v>1</v>
      </c>
      <c r="ML117">
        <v>1</v>
      </c>
      <c r="MM117">
        <v>1</v>
      </c>
      <c r="MN117">
        <v>1</v>
      </c>
      <c r="MO117">
        <v>1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1</v>
      </c>
      <c r="NA117">
        <v>1</v>
      </c>
      <c r="NB117">
        <v>1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1</v>
      </c>
      <c r="NJ117">
        <v>1</v>
      </c>
      <c r="NK117">
        <v>1</v>
      </c>
      <c r="NL117">
        <v>1</v>
      </c>
      <c r="NM117">
        <v>1</v>
      </c>
      <c r="NN117">
        <v>1</v>
      </c>
      <c r="NO117">
        <v>1</v>
      </c>
      <c r="NP117">
        <v>113.6075</v>
      </c>
      <c r="NQ117">
        <v>1</v>
      </c>
      <c r="NR117">
        <v>1</v>
      </c>
      <c r="NS117">
        <v>1</v>
      </c>
      <c r="NT117">
        <v>1</v>
      </c>
      <c r="NU117">
        <v>1</v>
      </c>
      <c r="NV117">
        <v>1</v>
      </c>
      <c r="NW117">
        <v>1</v>
      </c>
      <c r="NX117">
        <v>1</v>
      </c>
      <c r="NY117">
        <v>1</v>
      </c>
      <c r="NZ117">
        <v>1</v>
      </c>
      <c r="OA117">
        <v>1</v>
      </c>
      <c r="OB117">
        <v>1</v>
      </c>
      <c r="OC117">
        <v>26.1</v>
      </c>
      <c r="OD117">
        <v>42560.3</v>
      </c>
      <c r="OE117">
        <v>3.37</v>
      </c>
      <c r="OF117">
        <v>18.030100000000001</v>
      </c>
      <c r="OG117">
        <v>43.2</v>
      </c>
      <c r="OH117">
        <v>85.224999999999994</v>
      </c>
    </row>
    <row r="118" spans="1:398">
      <c r="A118">
        <v>11</v>
      </c>
      <c r="B118" t="s">
        <v>33</v>
      </c>
      <c r="C118" t="s">
        <v>32</v>
      </c>
      <c r="D118">
        <v>2016</v>
      </c>
      <c r="E118">
        <v>47.283000000000001</v>
      </c>
      <c r="F118">
        <v>0.89670000000000005</v>
      </c>
      <c r="G118">
        <v>472</v>
      </c>
      <c r="H118">
        <v>42.1</v>
      </c>
      <c r="I118">
        <v>88.9</v>
      </c>
      <c r="J118">
        <v>3.8</v>
      </c>
      <c r="K118">
        <v>330.2</v>
      </c>
      <c r="L118">
        <v>0.4</v>
      </c>
      <c r="M118">
        <v>1.4</v>
      </c>
      <c r="N118">
        <v>41816</v>
      </c>
      <c r="O118">
        <v>18.96</v>
      </c>
      <c r="P118">
        <v>0.97</v>
      </c>
      <c r="Q118">
        <v>9681.5400000000009</v>
      </c>
      <c r="R118">
        <v>20.2</v>
      </c>
      <c r="S118">
        <v>0.305477</v>
      </c>
      <c r="T118">
        <v>3.523425</v>
      </c>
      <c r="U118">
        <v>-0.7959368</v>
      </c>
      <c r="V118">
        <v>-0.25793929999999998</v>
      </c>
      <c r="W118">
        <v>0.48469309999999999</v>
      </c>
      <c r="X118">
        <v>0.81300649999999997</v>
      </c>
      <c r="Y118">
        <v>-0.71309480000000003</v>
      </c>
      <c r="Z118">
        <v>-0.58005200000000001</v>
      </c>
      <c r="AA118">
        <v>-0.75105639999999996</v>
      </c>
      <c r="AB118">
        <v>-0.45308130000000002</v>
      </c>
      <c r="AC118">
        <v>-0.49743399999999999</v>
      </c>
      <c r="AD118">
        <v>0.18463199999999999</v>
      </c>
      <c r="AE118">
        <v>0.65570360000000005</v>
      </c>
      <c r="AF118">
        <v>-0.94735480000000005</v>
      </c>
      <c r="AG118">
        <v>0.35367169999999998</v>
      </c>
      <c r="AH118">
        <v>-1.5873619999999999</v>
      </c>
      <c r="AI118">
        <v>3.8561510000000001</v>
      </c>
      <c r="AJ118">
        <v>-0.1090339</v>
      </c>
      <c r="AK118">
        <v>6.1569789999999998</v>
      </c>
      <c r="AL118">
        <v>4.4875119999999997</v>
      </c>
      <c r="AM118">
        <v>1.3350010000000001</v>
      </c>
      <c r="AN118">
        <v>5.7996980000000002</v>
      </c>
      <c r="AO118">
        <v>10.641030000000001</v>
      </c>
      <c r="AP118">
        <v>-3.0459199999999999E-2</v>
      </c>
      <c r="AQ118">
        <v>9.1779770000000003</v>
      </c>
      <c r="AR118">
        <v>2.8949199999999999</v>
      </c>
      <c r="AS118">
        <v>3.74715</v>
      </c>
      <c r="AT118">
        <v>10.6812</v>
      </c>
      <c r="AU118">
        <v>85.275000000000006</v>
      </c>
      <c r="AV118">
        <v>71.722200000000001</v>
      </c>
      <c r="AW118">
        <v>2.1895199999999999</v>
      </c>
      <c r="AX118" s="17">
        <v>5200000000</v>
      </c>
      <c r="AY118">
        <v>3.2307999999999999</v>
      </c>
      <c r="AZ118">
        <v>0.65</v>
      </c>
      <c r="BA118">
        <v>2.9423319999999999</v>
      </c>
      <c r="BB118">
        <v>2.9423316000000002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1.23837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9.8443000000000003E-3</v>
      </c>
      <c r="CG118">
        <v>0.49854759999999998</v>
      </c>
      <c r="CH118">
        <v>0.16606199999999999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-1.0584499999999999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0.24854970000000001</v>
      </c>
      <c r="DI118">
        <v>1.120317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0.32405590000000001</v>
      </c>
      <c r="DW118">
        <v>-0.68799259999999995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13.91568</v>
      </c>
      <c r="EW118">
        <v>7.0860400000000004E-2</v>
      </c>
      <c r="EX118">
        <v>7.1589E-2</v>
      </c>
      <c r="EY118">
        <v>7.1433099999999999E-2</v>
      </c>
      <c r="EZ118">
        <v>7.1287299999999998E-2</v>
      </c>
      <c r="FA118">
        <v>7.1276699999999998E-2</v>
      </c>
      <c r="FB118">
        <v>7.1636500000000006E-2</v>
      </c>
      <c r="FC118">
        <v>7.1804000000000007E-2</v>
      </c>
      <c r="FD118">
        <v>7.1576100000000004E-2</v>
      </c>
      <c r="FE118">
        <v>7.1429000000000006E-2</v>
      </c>
      <c r="FF118">
        <v>7.1673000000000001E-2</v>
      </c>
      <c r="FG118">
        <v>7.1249800000000002E-2</v>
      </c>
      <c r="FH118">
        <v>7.1284899999999998E-2</v>
      </c>
      <c r="FI118">
        <v>7.1295899999999995E-2</v>
      </c>
      <c r="FJ118">
        <v>7.1604399999999999E-2</v>
      </c>
      <c r="FK118">
        <v>0.30475679999999999</v>
      </c>
      <c r="FL118">
        <v>9.2876700000000006E-2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3.523425</v>
      </c>
      <c r="FZ118">
        <v>-0.7959368</v>
      </c>
      <c r="GA118">
        <v>-0.25793929999999998</v>
      </c>
      <c r="GB118">
        <v>0.81300649999999997</v>
      </c>
      <c r="GC118">
        <v>-0.58005200000000001</v>
      </c>
      <c r="GD118">
        <v>-0.49743399999999999</v>
      </c>
      <c r="GE118">
        <v>0.35367169999999998</v>
      </c>
      <c r="GF118">
        <v>0.18463199999999999</v>
      </c>
      <c r="GG118">
        <v>0.65570360000000005</v>
      </c>
      <c r="GH118">
        <v>-2.04548</v>
      </c>
      <c r="GI118">
        <v>4.1839890000000004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0.19809189999999999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-1.3295619999999999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1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1</v>
      </c>
      <c r="LG118">
        <v>1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1</v>
      </c>
      <c r="LR118">
        <v>1</v>
      </c>
      <c r="LS118">
        <v>1</v>
      </c>
      <c r="LT118">
        <v>1</v>
      </c>
      <c r="LU118">
        <v>1</v>
      </c>
      <c r="LV118">
        <v>1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>
        <v>1</v>
      </c>
      <c r="ME118">
        <v>1</v>
      </c>
      <c r="MF118">
        <v>1</v>
      </c>
      <c r="MG118">
        <v>1</v>
      </c>
      <c r="MH118">
        <v>1</v>
      </c>
      <c r="MI118">
        <v>1</v>
      </c>
      <c r="MJ118">
        <v>1</v>
      </c>
      <c r="MK118">
        <v>1</v>
      </c>
      <c r="ML118">
        <v>1</v>
      </c>
      <c r="MM118">
        <v>1</v>
      </c>
      <c r="MN118">
        <v>1</v>
      </c>
      <c r="MO118">
        <v>1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1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1</v>
      </c>
      <c r="NJ118">
        <v>1</v>
      </c>
      <c r="NK118">
        <v>1</v>
      </c>
      <c r="NL118">
        <v>1</v>
      </c>
      <c r="NM118">
        <v>1</v>
      </c>
      <c r="NN118">
        <v>1</v>
      </c>
      <c r="NO118">
        <v>1</v>
      </c>
      <c r="NP118">
        <v>114.08799999999999</v>
      </c>
      <c r="NQ118">
        <v>1</v>
      </c>
      <c r="NR118">
        <v>1</v>
      </c>
      <c r="NS118">
        <v>1</v>
      </c>
      <c r="NT118">
        <v>1</v>
      </c>
      <c r="NU118">
        <v>1</v>
      </c>
      <c r="NV118">
        <v>1</v>
      </c>
      <c r="NW118">
        <v>1</v>
      </c>
      <c r="NX118">
        <v>1</v>
      </c>
      <c r="NY118">
        <v>1</v>
      </c>
      <c r="NZ118">
        <v>1</v>
      </c>
      <c r="OA118">
        <v>1</v>
      </c>
      <c r="OB118">
        <v>1</v>
      </c>
      <c r="OC118">
        <v>25.3</v>
      </c>
      <c r="OD118">
        <v>43529.7</v>
      </c>
      <c r="OE118">
        <v>3.45</v>
      </c>
      <c r="OF118">
        <v>18.082000000000001</v>
      </c>
      <c r="OG118">
        <v>42.4</v>
      </c>
      <c r="OH118">
        <v>85.275000000000006</v>
      </c>
    </row>
    <row r="119" spans="1:398">
      <c r="A119">
        <v>11</v>
      </c>
      <c r="B119" t="s">
        <v>33</v>
      </c>
      <c r="C119" t="s">
        <v>32</v>
      </c>
      <c r="D119">
        <v>2017</v>
      </c>
      <c r="E119">
        <v>45.014000000000003</v>
      </c>
      <c r="F119">
        <v>0.95760000000000001</v>
      </c>
      <c r="G119">
        <v>449</v>
      </c>
      <c r="H119">
        <v>40.5</v>
      </c>
      <c r="I119">
        <v>90</v>
      </c>
      <c r="J119">
        <v>4.4000000000000004</v>
      </c>
      <c r="K119">
        <v>255.8</v>
      </c>
      <c r="L119">
        <v>0.3</v>
      </c>
      <c r="M119">
        <v>1.5</v>
      </c>
      <c r="N119">
        <v>51148</v>
      </c>
      <c r="O119">
        <v>18.78</v>
      </c>
      <c r="P119">
        <v>0.97</v>
      </c>
      <c r="Q119">
        <v>9177.76</v>
      </c>
      <c r="R119">
        <v>20.7</v>
      </c>
      <c r="S119">
        <v>0.29781999999999997</v>
      </c>
      <c r="T119">
        <v>3.247754</v>
      </c>
      <c r="U119">
        <v>-0.73748800000000003</v>
      </c>
      <c r="V119">
        <v>-0.43256600000000001</v>
      </c>
      <c r="W119">
        <v>0.3816966</v>
      </c>
      <c r="X119">
        <v>0.96579570000000003</v>
      </c>
      <c r="Y119">
        <v>-0.61701629999999996</v>
      </c>
      <c r="Z119">
        <v>-0.58976050000000002</v>
      </c>
      <c r="AA119">
        <v>-1.029191</v>
      </c>
      <c r="AB119">
        <v>-0.32115470000000002</v>
      </c>
      <c r="AC119">
        <v>-0.44788129999999998</v>
      </c>
      <c r="AD119">
        <v>0.18463199999999999</v>
      </c>
      <c r="AE119">
        <v>0.48972729999999998</v>
      </c>
      <c r="AF119">
        <v>-0.92101569999999999</v>
      </c>
      <c r="AG119">
        <v>0.34429680000000001</v>
      </c>
      <c r="AH119">
        <v>-1.6272770000000001</v>
      </c>
      <c r="AI119">
        <v>3.8069730000000002</v>
      </c>
      <c r="AJ119">
        <v>-4.3325099999999998E-2</v>
      </c>
      <c r="AK119">
        <v>6.1070229999999999</v>
      </c>
      <c r="AL119">
        <v>4.4998100000000001</v>
      </c>
      <c r="AM119">
        <v>1.4816050000000001</v>
      </c>
      <c r="AN119">
        <v>5.5443959999999999</v>
      </c>
      <c r="AO119">
        <v>10.84248</v>
      </c>
      <c r="AP119">
        <v>-3.0459199999999999E-2</v>
      </c>
      <c r="AQ119">
        <v>9.1245379999999994</v>
      </c>
      <c r="AR119">
        <v>2.89723</v>
      </c>
      <c r="AS119">
        <v>3.7932399999999999</v>
      </c>
      <c r="AT119">
        <v>10.711399999999999</v>
      </c>
      <c r="AU119">
        <v>85.325000000000003</v>
      </c>
      <c r="AV119">
        <v>75.938800000000001</v>
      </c>
      <c r="AW119">
        <v>6.6613699999999998</v>
      </c>
      <c r="AX119" s="17">
        <v>17000000000</v>
      </c>
      <c r="AY119">
        <v>3.2581000000000002</v>
      </c>
      <c r="AZ119">
        <v>0.65</v>
      </c>
      <c r="BA119">
        <v>2.9327920000000001</v>
      </c>
      <c r="BB119">
        <v>2.9327923999999999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1.22671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9.3416999999999997E-3</v>
      </c>
      <c r="CG119">
        <v>0.4933246</v>
      </c>
      <c r="CH119">
        <v>0.16465099999999999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-1.1098950000000001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0.24336920000000001</v>
      </c>
      <c r="DI119">
        <v>1.2318659999999999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0.32066099999999997</v>
      </c>
      <c r="DW119">
        <v>-0.72143139999999994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13.9171</v>
      </c>
      <c r="EW119">
        <v>7.0902900000000005E-2</v>
      </c>
      <c r="EX119">
        <v>7.1560200000000004E-2</v>
      </c>
      <c r="EY119">
        <v>7.1463200000000004E-2</v>
      </c>
      <c r="EZ119">
        <v>7.1303099999999994E-2</v>
      </c>
      <c r="FA119">
        <v>7.1261000000000005E-2</v>
      </c>
      <c r="FB119">
        <v>7.1587999999999999E-2</v>
      </c>
      <c r="FC119">
        <v>7.1807999999999997E-2</v>
      </c>
      <c r="FD119">
        <v>7.16503E-2</v>
      </c>
      <c r="FE119">
        <v>7.1386699999999997E-2</v>
      </c>
      <c r="FF119">
        <v>7.1630600000000003E-2</v>
      </c>
      <c r="FG119">
        <v>7.1251400000000006E-2</v>
      </c>
      <c r="FH119">
        <v>7.1281999999999998E-2</v>
      </c>
      <c r="FI119">
        <v>7.1324200000000004E-2</v>
      </c>
      <c r="FJ119">
        <v>7.1588399999999996E-2</v>
      </c>
      <c r="FK119">
        <v>0.29717519999999997</v>
      </c>
      <c r="FL119">
        <v>8.8313100000000005E-2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3.247754</v>
      </c>
      <c r="FZ119">
        <v>-0.73748800000000003</v>
      </c>
      <c r="GA119">
        <v>-0.43256600000000001</v>
      </c>
      <c r="GB119">
        <v>0.96579570000000003</v>
      </c>
      <c r="GC119">
        <v>-0.58976050000000002</v>
      </c>
      <c r="GD119">
        <v>-0.44788129999999998</v>
      </c>
      <c r="GE119">
        <v>0.34429680000000001</v>
      </c>
      <c r="GF119">
        <v>0.18463199999999999</v>
      </c>
      <c r="GG119">
        <v>0.48972729999999998</v>
      </c>
      <c r="GH119">
        <v>-2.1073590000000002</v>
      </c>
      <c r="GI119">
        <v>4.4409640000000001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0.1931639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-1.3697839999999999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1</v>
      </c>
      <c r="JA119">
        <v>1</v>
      </c>
      <c r="JB119">
        <v>1</v>
      </c>
      <c r="JC119">
        <v>1</v>
      </c>
      <c r="JD119">
        <v>1</v>
      </c>
      <c r="JE119">
        <v>1</v>
      </c>
      <c r="JF119">
        <v>1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1</v>
      </c>
      <c r="JR119">
        <v>1</v>
      </c>
      <c r="JS119">
        <v>1</v>
      </c>
      <c r="JT119">
        <v>1</v>
      </c>
      <c r="JU119">
        <v>1</v>
      </c>
      <c r="JV119">
        <v>1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1</v>
      </c>
      <c r="KD119">
        <v>1</v>
      </c>
      <c r="KE119">
        <v>1</v>
      </c>
      <c r="KF119">
        <v>1</v>
      </c>
      <c r="KG119">
        <v>1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1</v>
      </c>
      <c r="KN119">
        <v>1</v>
      </c>
      <c r="KO119">
        <v>1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1</v>
      </c>
      <c r="KW119">
        <v>1</v>
      </c>
      <c r="KX119">
        <v>1</v>
      </c>
      <c r="KY119">
        <v>1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1</v>
      </c>
      <c r="LQ119">
        <v>1</v>
      </c>
      <c r="LR119">
        <v>1</v>
      </c>
      <c r="LS119">
        <v>1</v>
      </c>
      <c r="LT119">
        <v>1</v>
      </c>
      <c r="LU119">
        <v>1</v>
      </c>
      <c r="LV119">
        <v>1</v>
      </c>
      <c r="LW119">
        <v>1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1</v>
      </c>
      <c r="MG119">
        <v>1</v>
      </c>
      <c r="MH119">
        <v>1</v>
      </c>
      <c r="MI119">
        <v>1</v>
      </c>
      <c r="MJ119">
        <v>1</v>
      </c>
      <c r="MK119">
        <v>1</v>
      </c>
      <c r="ML119">
        <v>1</v>
      </c>
      <c r="MM119">
        <v>1</v>
      </c>
      <c r="MN119">
        <v>1</v>
      </c>
      <c r="MO119">
        <v>1</v>
      </c>
      <c r="MP119">
        <v>1</v>
      </c>
      <c r="MQ119">
        <v>1</v>
      </c>
      <c r="MR119">
        <v>1</v>
      </c>
      <c r="MS119">
        <v>1</v>
      </c>
      <c r="MT119">
        <v>1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1</v>
      </c>
      <c r="NI119">
        <v>1</v>
      </c>
      <c r="NJ119">
        <v>1</v>
      </c>
      <c r="NK119">
        <v>1</v>
      </c>
      <c r="NL119">
        <v>1</v>
      </c>
      <c r="NM119">
        <v>1</v>
      </c>
      <c r="NN119">
        <v>1</v>
      </c>
      <c r="NO119">
        <v>1</v>
      </c>
      <c r="NP119">
        <v>114.733</v>
      </c>
      <c r="NQ119">
        <v>1</v>
      </c>
      <c r="NR119">
        <v>1</v>
      </c>
      <c r="NS119">
        <v>1</v>
      </c>
      <c r="NT119">
        <v>1</v>
      </c>
      <c r="NU119">
        <v>1</v>
      </c>
      <c r="NV119">
        <v>1</v>
      </c>
      <c r="NW119">
        <v>1</v>
      </c>
      <c r="NX119">
        <v>1</v>
      </c>
      <c r="NY119">
        <v>1</v>
      </c>
      <c r="NZ119">
        <v>1</v>
      </c>
      <c r="OA119">
        <v>1</v>
      </c>
      <c r="OB119">
        <v>1</v>
      </c>
      <c r="OC119">
        <v>26</v>
      </c>
      <c r="OD119">
        <v>44862.2</v>
      </c>
      <c r="OE119">
        <v>3.41</v>
      </c>
      <c r="OF119">
        <v>18.123899999999999</v>
      </c>
      <c r="OG119">
        <v>44.4</v>
      </c>
      <c r="OH119">
        <v>85.325000000000003</v>
      </c>
    </row>
    <row r="120" spans="1:398">
      <c r="A120">
        <v>11</v>
      </c>
      <c r="B120" t="s">
        <v>33</v>
      </c>
      <c r="C120" t="s">
        <v>32</v>
      </c>
      <c r="D120">
        <v>2018</v>
      </c>
      <c r="E120">
        <v>49.93</v>
      </c>
      <c r="F120">
        <v>0.87250000000000005</v>
      </c>
      <c r="G120">
        <v>467</v>
      </c>
      <c r="H120">
        <v>42.3</v>
      </c>
      <c r="I120">
        <v>89.7</v>
      </c>
      <c r="J120">
        <v>4.4000000000000004</v>
      </c>
      <c r="K120">
        <v>418.5</v>
      </c>
      <c r="L120">
        <v>0.3</v>
      </c>
      <c r="M120">
        <v>1.8</v>
      </c>
      <c r="N120">
        <v>60513</v>
      </c>
      <c r="O120">
        <v>18.63</v>
      </c>
      <c r="P120">
        <v>1.01</v>
      </c>
      <c r="Q120">
        <v>7878.7</v>
      </c>
      <c r="R120">
        <v>19.8</v>
      </c>
      <c r="S120">
        <v>0.30704900000000002</v>
      </c>
      <c r="T120">
        <v>3.845021</v>
      </c>
      <c r="U120">
        <v>-0.81916279999999997</v>
      </c>
      <c r="V120">
        <v>-0.29590169999999999</v>
      </c>
      <c r="W120">
        <v>0.4975677</v>
      </c>
      <c r="X120">
        <v>0.92412539999999999</v>
      </c>
      <c r="Y120">
        <v>-0.61701629999999996</v>
      </c>
      <c r="Z120">
        <v>-0.56852970000000003</v>
      </c>
      <c r="AA120">
        <v>-1.029191</v>
      </c>
      <c r="AB120">
        <v>7.46251E-2</v>
      </c>
      <c r="AC120">
        <v>-0.39815329999999999</v>
      </c>
      <c r="AD120">
        <v>0.3806486</v>
      </c>
      <c r="AE120">
        <v>6.1740099999999999E-2</v>
      </c>
      <c r="AF120">
        <v>-0.96842609999999996</v>
      </c>
      <c r="AG120">
        <v>0.33648430000000001</v>
      </c>
      <c r="AH120">
        <v>-1.669743</v>
      </c>
      <c r="AI120">
        <v>3.910622</v>
      </c>
      <c r="AJ120">
        <v>-0.1363926</v>
      </c>
      <c r="AK120">
        <v>6.1463289999999997</v>
      </c>
      <c r="AL120">
        <v>4.4964709999999997</v>
      </c>
      <c r="AM120">
        <v>1.4816050000000001</v>
      </c>
      <c r="AN120">
        <v>6.0366770000000001</v>
      </c>
      <c r="AO120">
        <v>11.01061</v>
      </c>
      <c r="AP120">
        <v>9.9503000000000005E-3</v>
      </c>
      <c r="AQ120">
        <v>8.9719180000000005</v>
      </c>
      <c r="AR120">
        <v>2.8985599999999998</v>
      </c>
      <c r="AS120">
        <v>3.7887200000000001</v>
      </c>
      <c r="AT120">
        <v>10.7219</v>
      </c>
      <c r="AU120">
        <v>85.382000000000005</v>
      </c>
      <c r="AV120">
        <v>79.143600000000006</v>
      </c>
      <c r="AW120">
        <v>-3.84457</v>
      </c>
      <c r="AX120" s="17">
        <v>-11000000000</v>
      </c>
      <c r="AY120">
        <v>3.26193</v>
      </c>
      <c r="AZ120">
        <v>0.63</v>
      </c>
      <c r="BA120">
        <v>2.9247730000000001</v>
      </c>
      <c r="BB120">
        <v>2.9247732000000002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1.2178800000000001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9.7085000000000001E-3</v>
      </c>
      <c r="CG120">
        <v>0.50325260000000005</v>
      </c>
      <c r="CH120">
        <v>0.16919699999999999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-1.0711710000000001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0.25326320000000002</v>
      </c>
      <c r="DI120">
        <v>1.1474070000000001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0.31704909999999997</v>
      </c>
      <c r="DW120">
        <v>-0.67483749999999998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13.91508</v>
      </c>
      <c r="EW120">
        <v>7.0852600000000002E-2</v>
      </c>
      <c r="EX120">
        <v>7.1602899999999997E-2</v>
      </c>
      <c r="EY120">
        <v>7.1447999999999998E-2</v>
      </c>
      <c r="EZ120">
        <v>7.1296499999999999E-2</v>
      </c>
      <c r="FA120">
        <v>7.1279599999999999E-2</v>
      </c>
      <c r="FB120">
        <v>7.1599200000000002E-2</v>
      </c>
      <c r="FC120">
        <v>7.17941E-2</v>
      </c>
      <c r="FD120">
        <v>7.1661100000000005E-2</v>
      </c>
      <c r="FE120">
        <v>7.1293800000000004E-2</v>
      </c>
      <c r="FF120">
        <v>7.1607400000000002E-2</v>
      </c>
      <c r="FG120">
        <v>7.1269799999999994E-2</v>
      </c>
      <c r="FH120">
        <v>7.1256200000000006E-2</v>
      </c>
      <c r="FI120">
        <v>7.1421899999999997E-2</v>
      </c>
      <c r="FJ120">
        <v>7.1616700000000005E-2</v>
      </c>
      <c r="FK120">
        <v>0.30632710000000002</v>
      </c>
      <c r="FL120">
        <v>9.3836299999999997E-2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3.845021</v>
      </c>
      <c r="FZ120">
        <v>-0.81916279999999997</v>
      </c>
      <c r="GA120">
        <v>-0.29590169999999999</v>
      </c>
      <c r="GB120">
        <v>0.92412539999999999</v>
      </c>
      <c r="GC120">
        <v>-0.56852970000000003</v>
      </c>
      <c r="GD120">
        <v>-0.39815329999999999</v>
      </c>
      <c r="GE120">
        <v>0.33648430000000001</v>
      </c>
      <c r="GF120">
        <v>0.3806486</v>
      </c>
      <c r="GG120">
        <v>6.1740099999999999E-2</v>
      </c>
      <c r="GH120">
        <v>-2.140301</v>
      </c>
      <c r="GI120">
        <v>4.580889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0.19298609999999999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-1.34839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1</v>
      </c>
      <c r="JF120">
        <v>1</v>
      </c>
      <c r="JG120">
        <v>1</v>
      </c>
      <c r="JH120">
        <v>1</v>
      </c>
      <c r="JI120">
        <v>1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1</v>
      </c>
      <c r="JP120">
        <v>1</v>
      </c>
      <c r="JQ120">
        <v>1</v>
      </c>
      <c r="JR120">
        <v>1</v>
      </c>
      <c r="JS120">
        <v>1</v>
      </c>
      <c r="JT120">
        <v>1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1</v>
      </c>
      <c r="KN120">
        <v>1</v>
      </c>
      <c r="KO120">
        <v>1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1</v>
      </c>
      <c r="KW120">
        <v>1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1</v>
      </c>
      <c r="LR120">
        <v>1</v>
      </c>
      <c r="LS120">
        <v>1</v>
      </c>
      <c r="LT120">
        <v>1</v>
      </c>
      <c r="LU120">
        <v>1</v>
      </c>
      <c r="LV120">
        <v>1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1</v>
      </c>
      <c r="MG120">
        <v>1</v>
      </c>
      <c r="MH120">
        <v>1</v>
      </c>
      <c r="MI120">
        <v>1</v>
      </c>
      <c r="MJ120">
        <v>1</v>
      </c>
      <c r="MK120">
        <v>1</v>
      </c>
      <c r="ML120">
        <v>1</v>
      </c>
      <c r="MM120">
        <v>1</v>
      </c>
      <c r="MN120">
        <v>1</v>
      </c>
      <c r="MO120">
        <v>1</v>
      </c>
      <c r="MP120">
        <v>1</v>
      </c>
      <c r="MQ120">
        <v>1</v>
      </c>
      <c r="MR120">
        <v>1</v>
      </c>
      <c r="MS120">
        <v>1</v>
      </c>
      <c r="MT120">
        <v>1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1</v>
      </c>
      <c r="NI120">
        <v>1</v>
      </c>
      <c r="NJ120">
        <v>1</v>
      </c>
      <c r="NK120">
        <v>1</v>
      </c>
      <c r="NL120">
        <v>1</v>
      </c>
      <c r="NM120">
        <v>1</v>
      </c>
      <c r="NN120">
        <v>1</v>
      </c>
      <c r="NO120">
        <v>1</v>
      </c>
      <c r="NP120">
        <v>114.95869999999999</v>
      </c>
      <c r="NQ120">
        <v>1</v>
      </c>
      <c r="NR120">
        <v>1</v>
      </c>
      <c r="NS120">
        <v>1</v>
      </c>
      <c r="NT120">
        <v>1</v>
      </c>
      <c r="NU120">
        <v>1</v>
      </c>
      <c r="NV120">
        <v>1</v>
      </c>
      <c r="NW120">
        <v>1</v>
      </c>
      <c r="NX120">
        <v>1</v>
      </c>
      <c r="NY120">
        <v>1</v>
      </c>
      <c r="NZ120">
        <v>1</v>
      </c>
      <c r="OA120">
        <v>1</v>
      </c>
      <c r="OB120">
        <v>1</v>
      </c>
      <c r="OC120">
        <v>26.1</v>
      </c>
      <c r="OD120">
        <v>45337.2</v>
      </c>
      <c r="OE120">
        <v>3.38</v>
      </c>
      <c r="OF120">
        <v>18.1479</v>
      </c>
      <c r="OG120">
        <v>44.2</v>
      </c>
      <c r="OH120">
        <v>85.382000000000005</v>
      </c>
    </row>
    <row r="121" spans="1:398">
      <c r="A121">
        <v>11</v>
      </c>
      <c r="B121" t="s">
        <v>33</v>
      </c>
      <c r="C121" t="s">
        <v>32</v>
      </c>
      <c r="D121">
        <v>2019</v>
      </c>
      <c r="E121">
        <v>47.685000000000002</v>
      </c>
      <c r="F121">
        <v>0.92779999999999996</v>
      </c>
      <c r="G121">
        <v>466</v>
      </c>
      <c r="H121">
        <v>43.5</v>
      </c>
      <c r="I121">
        <v>87.8</v>
      </c>
      <c r="J121">
        <v>4.5</v>
      </c>
      <c r="K121">
        <v>1010.4</v>
      </c>
      <c r="L121">
        <v>0.3</v>
      </c>
      <c r="M121">
        <v>1.6</v>
      </c>
      <c r="N121">
        <v>47235</v>
      </c>
      <c r="O121">
        <v>16.38</v>
      </c>
      <c r="P121">
        <v>1</v>
      </c>
      <c r="Q121">
        <v>6579.64</v>
      </c>
      <c r="R121">
        <v>19.5</v>
      </c>
      <c r="S121">
        <v>0.29267399999999999</v>
      </c>
      <c r="T121">
        <v>3.5722659999999999</v>
      </c>
      <c r="U121">
        <v>-0.76608860000000001</v>
      </c>
      <c r="V121">
        <v>-0.30349409999999999</v>
      </c>
      <c r="W121">
        <v>0.57481530000000003</v>
      </c>
      <c r="X121">
        <v>0.66021730000000001</v>
      </c>
      <c r="Y121">
        <v>-0.60100319999999996</v>
      </c>
      <c r="Z121">
        <v>-0.4912919</v>
      </c>
      <c r="AA121">
        <v>-1.029191</v>
      </c>
      <c r="AB121">
        <v>-0.18922800000000001</v>
      </c>
      <c r="AC121">
        <v>-0.4686592</v>
      </c>
      <c r="AD121">
        <v>0.33164440000000001</v>
      </c>
      <c r="AE121">
        <v>-0.36624719999999999</v>
      </c>
      <c r="AF121">
        <v>-0.98422949999999998</v>
      </c>
      <c r="AG121">
        <v>0.21929699999999999</v>
      </c>
      <c r="AH121">
        <v>-1.6373880000000001</v>
      </c>
      <c r="AI121">
        <v>3.864617</v>
      </c>
      <c r="AJ121">
        <v>-7.4939099999999995E-2</v>
      </c>
      <c r="AK121">
        <v>6.1441860000000004</v>
      </c>
      <c r="AL121">
        <v>4.4750610000000002</v>
      </c>
      <c r="AM121">
        <v>1.5040770000000001</v>
      </c>
      <c r="AN121">
        <v>6.9181020000000002</v>
      </c>
      <c r="AO121">
        <v>10.762890000000001</v>
      </c>
      <c r="AP121">
        <v>0</v>
      </c>
      <c r="AQ121">
        <v>8.7917360000000002</v>
      </c>
      <c r="AR121">
        <v>2.8996300000000002</v>
      </c>
      <c r="AS121">
        <v>3.8155100000000002</v>
      </c>
      <c r="AT121">
        <v>10.7342</v>
      </c>
      <c r="AU121">
        <v>85.445999999999998</v>
      </c>
      <c r="AV121">
        <v>80.564099999999996</v>
      </c>
      <c r="AW121">
        <v>6.0970800000000001</v>
      </c>
      <c r="AX121" s="17">
        <v>16000000000</v>
      </c>
      <c r="AY121">
        <v>3.2846600000000001</v>
      </c>
      <c r="AZ121">
        <v>0.64</v>
      </c>
      <c r="BA121">
        <v>2.7960609999999999</v>
      </c>
      <c r="BB121">
        <v>2.7960609999999999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1.08856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9.9141999999999997E-3</v>
      </c>
      <c r="CG121">
        <v>0.4939694</v>
      </c>
      <c r="CH121">
        <v>0.161944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-0.95485180000000003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0.24400569999999999</v>
      </c>
      <c r="DI121">
        <v>0.91174200000000005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0.31614039999999999</v>
      </c>
      <c r="DW121">
        <v>-0.61110509999999996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13.91863</v>
      </c>
      <c r="EW121">
        <v>7.0882799999999996E-2</v>
      </c>
      <c r="EX121">
        <v>7.1565100000000006E-2</v>
      </c>
      <c r="EY121">
        <v>7.1433499999999997E-2</v>
      </c>
      <c r="EZ121">
        <v>7.1268999999999999E-2</v>
      </c>
      <c r="FA121">
        <v>7.1288299999999999E-2</v>
      </c>
      <c r="FB121">
        <v>7.1575100000000003E-2</v>
      </c>
      <c r="FC121">
        <v>7.1697399999999994E-2</v>
      </c>
      <c r="FD121">
        <v>7.1643399999999996E-2</v>
      </c>
      <c r="FE121">
        <v>7.1349300000000004E-2</v>
      </c>
      <c r="FF121">
        <v>7.1638599999999997E-2</v>
      </c>
      <c r="FG121">
        <v>7.1304699999999999E-2</v>
      </c>
      <c r="FH121">
        <v>7.1252999999999997E-2</v>
      </c>
      <c r="FI121">
        <v>7.1495100000000006E-2</v>
      </c>
      <c r="FJ121">
        <v>7.1604899999999999E-2</v>
      </c>
      <c r="FK121">
        <v>0.29202489999999998</v>
      </c>
      <c r="FL121">
        <v>8.5278599999999996E-2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3.5722659999999999</v>
      </c>
      <c r="FZ121">
        <v>-0.76608860000000001</v>
      </c>
      <c r="GA121">
        <v>-0.30349409999999999</v>
      </c>
      <c r="GB121">
        <v>0.66021730000000001</v>
      </c>
      <c r="GC121">
        <v>-0.4912919</v>
      </c>
      <c r="GD121">
        <v>-0.4686592</v>
      </c>
      <c r="GE121">
        <v>0.21929699999999999</v>
      </c>
      <c r="GF121">
        <v>0.33164440000000001</v>
      </c>
      <c r="GG121">
        <v>-0.36624719999999999</v>
      </c>
      <c r="GH121">
        <v>-2.093172</v>
      </c>
      <c r="GI121">
        <v>4.3813690000000003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0.18689600000000001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-1.3396300000000001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1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1</v>
      </c>
      <c r="KN121">
        <v>1</v>
      </c>
      <c r="KO121">
        <v>1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1</v>
      </c>
      <c r="KW121">
        <v>1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1</v>
      </c>
      <c r="LR121">
        <v>1</v>
      </c>
      <c r="LS121">
        <v>1</v>
      </c>
      <c r="LT121">
        <v>1</v>
      </c>
      <c r="LU121">
        <v>1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1</v>
      </c>
      <c r="MG121">
        <v>1</v>
      </c>
      <c r="MH121">
        <v>1</v>
      </c>
      <c r="MI121">
        <v>1</v>
      </c>
      <c r="MJ121">
        <v>1</v>
      </c>
      <c r="MK121">
        <v>1</v>
      </c>
      <c r="ML121">
        <v>1</v>
      </c>
      <c r="MM121">
        <v>1</v>
      </c>
      <c r="MN121">
        <v>1</v>
      </c>
      <c r="MO121">
        <v>1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1</v>
      </c>
      <c r="NI121">
        <v>1</v>
      </c>
      <c r="NJ121">
        <v>1</v>
      </c>
      <c r="NK121">
        <v>1</v>
      </c>
      <c r="NL121">
        <v>1</v>
      </c>
      <c r="NM121">
        <v>1</v>
      </c>
      <c r="NN121">
        <v>1</v>
      </c>
      <c r="NO121">
        <v>1</v>
      </c>
      <c r="NP121">
        <v>115.22280000000001</v>
      </c>
      <c r="NQ121">
        <v>1</v>
      </c>
      <c r="NR121">
        <v>1</v>
      </c>
      <c r="NS121">
        <v>1</v>
      </c>
      <c r="NT121">
        <v>1</v>
      </c>
      <c r="NU121">
        <v>1</v>
      </c>
      <c r="NV121">
        <v>1</v>
      </c>
      <c r="NW121">
        <v>1</v>
      </c>
      <c r="NX121">
        <v>1</v>
      </c>
      <c r="NY121">
        <v>1</v>
      </c>
      <c r="NZ121">
        <v>1</v>
      </c>
      <c r="OA121">
        <v>1</v>
      </c>
      <c r="OB121">
        <v>1</v>
      </c>
      <c r="OC121">
        <v>26.7</v>
      </c>
      <c r="OD121">
        <v>45898.6</v>
      </c>
      <c r="OE121">
        <v>2.97</v>
      </c>
      <c r="OF121">
        <v>18.167400000000001</v>
      </c>
      <c r="OG121">
        <v>45.4</v>
      </c>
      <c r="OH121">
        <v>85.445999999999998</v>
      </c>
    </row>
    <row r="122" spans="1:398">
      <c r="A122">
        <v>11</v>
      </c>
      <c r="B122" t="s">
        <v>33</v>
      </c>
      <c r="C122" t="s">
        <v>32</v>
      </c>
      <c r="D122">
        <v>2020</v>
      </c>
      <c r="E122">
        <v>48.801000000000002</v>
      </c>
      <c r="F122">
        <v>0.90129999999999999</v>
      </c>
      <c r="G122">
        <v>502</v>
      </c>
      <c r="H122">
        <v>42.1</v>
      </c>
      <c r="I122">
        <v>90.8</v>
      </c>
      <c r="J122">
        <v>4.4000000000000004</v>
      </c>
      <c r="K122">
        <v>521.5</v>
      </c>
      <c r="L122">
        <v>0.3</v>
      </c>
      <c r="M122">
        <v>1.5</v>
      </c>
      <c r="N122">
        <v>41951</v>
      </c>
      <c r="O122">
        <v>15</v>
      </c>
      <c r="P122">
        <v>0.91</v>
      </c>
      <c r="Q122">
        <v>5280.58</v>
      </c>
      <c r="R122">
        <v>18.8</v>
      </c>
      <c r="S122">
        <v>0.28110000000000002</v>
      </c>
      <c r="T122">
        <v>3.7078530000000001</v>
      </c>
      <c r="U122">
        <v>-0.79152199999999995</v>
      </c>
      <c r="V122">
        <v>-3.0165399999999998E-2</v>
      </c>
      <c r="W122">
        <v>0.48469309999999999</v>
      </c>
      <c r="X122">
        <v>1.076916</v>
      </c>
      <c r="Y122">
        <v>-0.61701629999999996</v>
      </c>
      <c r="Z122">
        <v>-0.5550891</v>
      </c>
      <c r="AA122">
        <v>-1.029191</v>
      </c>
      <c r="AB122">
        <v>-0.32115470000000002</v>
      </c>
      <c r="AC122">
        <v>-0.49671710000000002</v>
      </c>
      <c r="AD122">
        <v>-0.109393</v>
      </c>
      <c r="AE122">
        <v>-0.79423449999999995</v>
      </c>
      <c r="AF122">
        <v>-1.021104</v>
      </c>
      <c r="AG122">
        <v>0.1474222</v>
      </c>
      <c r="AH122">
        <v>-1.9035690000000001</v>
      </c>
      <c r="AI122">
        <v>3.8877510000000002</v>
      </c>
      <c r="AJ122">
        <v>-0.1039171</v>
      </c>
      <c r="AK122">
        <v>6.2186000000000003</v>
      </c>
      <c r="AL122">
        <v>4.5086589999999998</v>
      </c>
      <c r="AM122">
        <v>1.4816050000000001</v>
      </c>
      <c r="AN122">
        <v>6.2567089999999999</v>
      </c>
      <c r="AO122">
        <v>10.644259999999999</v>
      </c>
      <c r="AP122">
        <v>-9.4310599999999994E-2</v>
      </c>
      <c r="AQ122">
        <v>8.5717920000000003</v>
      </c>
      <c r="AR122">
        <v>2.90103</v>
      </c>
      <c r="AS122">
        <v>3.8565100000000001</v>
      </c>
      <c r="AT122">
        <v>10.7075</v>
      </c>
      <c r="AU122">
        <v>85.516999999999996</v>
      </c>
      <c r="AV122">
        <v>72.184600000000003</v>
      </c>
      <c r="AW122">
        <v>-0.939114</v>
      </c>
      <c r="AX122" s="17">
        <v>-2500000000</v>
      </c>
      <c r="AY122">
        <v>3.30322</v>
      </c>
      <c r="AZ122">
        <v>0.65</v>
      </c>
      <c r="BA122">
        <v>2.7080500000000001</v>
      </c>
      <c r="BB122">
        <v>2.7080503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0.99694899999999997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9.4713000000000002E-3</v>
      </c>
      <c r="CG122">
        <v>0.47665269999999998</v>
      </c>
      <c r="CH122">
        <v>0.14915400000000001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-1.2951999999999999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0.22719780000000001</v>
      </c>
      <c r="DI122">
        <v>1.6775420000000001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0.3098243</v>
      </c>
      <c r="DW122">
        <v>-0.84187979999999996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13.9231</v>
      </c>
      <c r="EW122">
        <v>7.0857500000000004E-2</v>
      </c>
      <c r="EX122">
        <v>7.1552699999999997E-2</v>
      </c>
      <c r="EY122">
        <v>7.1360099999999996E-2</v>
      </c>
      <c r="EZ122">
        <v>7.1266399999999994E-2</v>
      </c>
      <c r="FA122">
        <v>7.1234800000000001E-2</v>
      </c>
      <c r="FB122">
        <v>7.1559700000000004E-2</v>
      </c>
      <c r="FC122">
        <v>7.1738300000000005E-2</v>
      </c>
      <c r="FD122">
        <v>7.1620799999999998E-2</v>
      </c>
      <c r="FE122">
        <v>7.1365300000000007E-2</v>
      </c>
      <c r="FF122">
        <v>7.1636199999999997E-2</v>
      </c>
      <c r="FG122">
        <v>7.1315799999999999E-2</v>
      </c>
      <c r="FH122">
        <v>7.1326700000000007E-2</v>
      </c>
      <c r="FI122">
        <v>7.1569599999999997E-2</v>
      </c>
      <c r="FJ122">
        <v>7.1596099999999996E-2</v>
      </c>
      <c r="FK122">
        <v>0.28040300000000001</v>
      </c>
      <c r="FL122">
        <v>7.8625899999999999E-2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3.7078530000000001</v>
      </c>
      <c r="FZ122">
        <v>-0.79152199999999995</v>
      </c>
      <c r="GA122">
        <v>-3.0165399999999998E-2</v>
      </c>
      <c r="GB122">
        <v>1.076916</v>
      </c>
      <c r="GC122">
        <v>-0.5550891</v>
      </c>
      <c r="GD122">
        <v>-0.49671710000000002</v>
      </c>
      <c r="GE122">
        <v>0.1474222</v>
      </c>
      <c r="GF122">
        <v>-0.109393</v>
      </c>
      <c r="GG122">
        <v>-0.79423449999999995</v>
      </c>
      <c r="GH122">
        <v>-2.463022</v>
      </c>
      <c r="GI122">
        <v>6.0664769999999999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0.18226200000000001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-1.6009640000000001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  <c r="IM122">
        <v>1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1</v>
      </c>
      <c r="KD122">
        <v>1</v>
      </c>
      <c r="KE122">
        <v>1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1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1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1</v>
      </c>
      <c r="LR122">
        <v>1</v>
      </c>
      <c r="LS122">
        <v>1</v>
      </c>
      <c r="LT122">
        <v>1</v>
      </c>
      <c r="LU122">
        <v>1</v>
      </c>
      <c r="LV122">
        <v>1</v>
      </c>
      <c r="LW122">
        <v>1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1</v>
      </c>
      <c r="MG122">
        <v>1</v>
      </c>
      <c r="MH122">
        <v>1</v>
      </c>
      <c r="MI122">
        <v>1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1</v>
      </c>
      <c r="MQ122">
        <v>1</v>
      </c>
      <c r="MR122">
        <v>1</v>
      </c>
      <c r="MS122">
        <v>1</v>
      </c>
      <c r="MT122">
        <v>1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1</v>
      </c>
      <c r="NI122">
        <v>1</v>
      </c>
      <c r="NJ122">
        <v>1</v>
      </c>
      <c r="NK122">
        <v>1</v>
      </c>
      <c r="NL122">
        <v>1</v>
      </c>
      <c r="NM122">
        <v>1</v>
      </c>
      <c r="NN122">
        <v>1</v>
      </c>
      <c r="NO122">
        <v>1</v>
      </c>
      <c r="NP122">
        <v>114.6512</v>
      </c>
      <c r="NQ122">
        <v>1</v>
      </c>
      <c r="NR122">
        <v>1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1</v>
      </c>
      <c r="OA122">
        <v>1</v>
      </c>
      <c r="OB122">
        <v>1</v>
      </c>
      <c r="OC122">
        <v>27.2</v>
      </c>
      <c r="OD122">
        <v>44691</v>
      </c>
      <c r="OE122">
        <v>2.71</v>
      </c>
      <c r="OF122">
        <v>18.192900000000002</v>
      </c>
      <c r="OG122">
        <v>47.3</v>
      </c>
      <c r="OH122">
        <v>85.516999999999996</v>
      </c>
    </row>
    <row r="123" spans="1:398">
      <c r="A123">
        <v>12</v>
      </c>
      <c r="B123" t="s">
        <v>31</v>
      </c>
      <c r="C123" t="s">
        <v>30</v>
      </c>
      <c r="D123">
        <v>2010</v>
      </c>
      <c r="E123">
        <v>14.840999999999999</v>
      </c>
      <c r="F123">
        <v>2.6598999999999999</v>
      </c>
      <c r="G123">
        <v>505</v>
      </c>
      <c r="H123">
        <v>36</v>
      </c>
      <c r="I123">
        <v>77.400000000000006</v>
      </c>
      <c r="J123">
        <v>17.5</v>
      </c>
      <c r="K123">
        <v>9241.1</v>
      </c>
      <c r="L123">
        <v>1.2</v>
      </c>
      <c r="M123">
        <v>1.8</v>
      </c>
      <c r="N123">
        <v>472910</v>
      </c>
      <c r="O123">
        <v>47.28</v>
      </c>
      <c r="P123">
        <v>1.1599999999999999</v>
      </c>
      <c r="Q123">
        <v>5882.35</v>
      </c>
      <c r="R123">
        <v>34.6</v>
      </c>
      <c r="S123">
        <v>0.429589</v>
      </c>
      <c r="T123">
        <v>-0.41809619999999997</v>
      </c>
      <c r="U123">
        <v>0.89629429999999999</v>
      </c>
      <c r="V123">
        <v>-7.3879999999999996E-3</v>
      </c>
      <c r="W123">
        <v>9.2018600000000006E-2</v>
      </c>
      <c r="X123">
        <v>-0.78433759999999997</v>
      </c>
      <c r="Y123">
        <v>1.480699</v>
      </c>
      <c r="Z123">
        <v>0.58274139999999996</v>
      </c>
      <c r="AA123">
        <v>1.474019</v>
      </c>
      <c r="AB123">
        <v>7.46251E-2</v>
      </c>
      <c r="AC123">
        <v>1.7916650000000001</v>
      </c>
      <c r="AD123">
        <v>1.1157109999999999</v>
      </c>
      <c r="AE123">
        <v>-0.59597840000000002</v>
      </c>
      <c r="AF123">
        <v>-0.18878990000000001</v>
      </c>
      <c r="AG123">
        <v>1.8286690000000001</v>
      </c>
      <c r="AH123">
        <v>2.8397770000000002</v>
      </c>
      <c r="AI123">
        <v>2.6973940000000001</v>
      </c>
      <c r="AJ123">
        <v>0.97828850000000001</v>
      </c>
      <c r="AK123">
        <v>6.224558</v>
      </c>
      <c r="AL123">
        <v>4.3489870000000002</v>
      </c>
      <c r="AM123">
        <v>2.8622010000000002</v>
      </c>
      <c r="AN123">
        <v>9.1314159999999998</v>
      </c>
      <c r="AO123">
        <v>13.066660000000001</v>
      </c>
      <c r="AP123">
        <v>0.14842</v>
      </c>
      <c r="AQ123">
        <v>8.6797109999999993</v>
      </c>
      <c r="AR123">
        <v>4.7770799999999998</v>
      </c>
      <c r="AS123">
        <v>2.47654</v>
      </c>
      <c r="AT123">
        <v>10.4795</v>
      </c>
      <c r="AU123">
        <v>78.369</v>
      </c>
      <c r="AV123">
        <v>56.587600000000002</v>
      </c>
      <c r="AW123">
        <v>1.4696199999999999</v>
      </c>
      <c r="AX123" s="17">
        <v>39000000000</v>
      </c>
      <c r="AY123">
        <v>2.8622000000000001</v>
      </c>
      <c r="AZ123">
        <v>0.8</v>
      </c>
      <c r="BA123">
        <v>3.856087</v>
      </c>
      <c r="BB123">
        <v>3.8560873999999998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-0.31471100000000002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7.8881999999999997E-3</v>
      </c>
      <c r="CG123">
        <v>0.59549090000000005</v>
      </c>
      <c r="CH123">
        <v>0.43343100000000001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2.705209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0.35460950000000002</v>
      </c>
      <c r="DI123">
        <v>7.3181589999999996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0.4763927</v>
      </c>
      <c r="DW123">
        <v>2.1641680000000001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13.866669999999999</v>
      </c>
      <c r="EW123">
        <v>7.17333E-2</v>
      </c>
      <c r="EX123">
        <v>7.1321499999999996E-2</v>
      </c>
      <c r="EY123">
        <v>7.1648900000000001E-2</v>
      </c>
      <c r="EZ123">
        <v>7.1631500000000001E-2</v>
      </c>
      <c r="FA123">
        <v>7.1690699999999996E-2</v>
      </c>
      <c r="FB123">
        <v>7.1173799999999995E-2</v>
      </c>
      <c r="FC123">
        <v>7.1243000000000001E-2</v>
      </c>
      <c r="FD123">
        <v>7.1329400000000001E-2</v>
      </c>
      <c r="FE123">
        <v>7.1554000000000006E-2</v>
      </c>
      <c r="FF123">
        <v>7.08458E-2</v>
      </c>
      <c r="FG123">
        <v>7.1017399999999994E-2</v>
      </c>
      <c r="FH123">
        <v>7.1377700000000002E-2</v>
      </c>
      <c r="FI123">
        <v>7.1815900000000002E-2</v>
      </c>
      <c r="FJ123">
        <v>7.1617200000000006E-2</v>
      </c>
      <c r="FK123">
        <v>0.4292552</v>
      </c>
      <c r="FL123">
        <v>0.18426000000000001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-0.41809619999999997</v>
      </c>
      <c r="FZ123">
        <v>0.89629429999999999</v>
      </c>
      <c r="GA123">
        <v>-7.3879999999999996E-3</v>
      </c>
      <c r="GB123">
        <v>-0.78433759999999997</v>
      </c>
      <c r="GC123">
        <v>0.58274139999999996</v>
      </c>
      <c r="GD123">
        <v>1.7916650000000001</v>
      </c>
      <c r="GE123">
        <v>1.8286690000000001</v>
      </c>
      <c r="GF123">
        <v>1.1157109999999999</v>
      </c>
      <c r="GG123">
        <v>-0.59597840000000002</v>
      </c>
      <c r="GH123">
        <v>4.2868250000000003</v>
      </c>
      <c r="GI123">
        <v>18.37687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0.34340409999999999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3.4294600000000002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1</v>
      </c>
      <c r="LT123">
        <v>1</v>
      </c>
      <c r="LU123">
        <v>1</v>
      </c>
      <c r="LV123">
        <v>1</v>
      </c>
      <c r="LW123">
        <v>1</v>
      </c>
      <c r="LX123">
        <v>1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G123">
        <v>1</v>
      </c>
      <c r="MH123">
        <v>1</v>
      </c>
      <c r="MI123">
        <v>1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1</v>
      </c>
      <c r="NJ123">
        <v>1</v>
      </c>
      <c r="NK123">
        <v>1</v>
      </c>
      <c r="NL123">
        <v>1</v>
      </c>
      <c r="NM123">
        <v>1</v>
      </c>
      <c r="NN123">
        <v>1</v>
      </c>
      <c r="NO123">
        <v>1</v>
      </c>
      <c r="NP123">
        <v>109.8197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1</v>
      </c>
      <c r="NW123">
        <v>1</v>
      </c>
      <c r="NX123">
        <v>1</v>
      </c>
      <c r="NY123">
        <v>1</v>
      </c>
      <c r="NZ123">
        <v>1</v>
      </c>
      <c r="OA123">
        <v>1</v>
      </c>
      <c r="OB123">
        <v>1</v>
      </c>
      <c r="OC123">
        <v>17.5</v>
      </c>
      <c r="OD123">
        <v>35578.199999999997</v>
      </c>
      <c r="OE123">
        <v>0.73</v>
      </c>
      <c r="OF123">
        <v>118.75700000000001</v>
      </c>
      <c r="OG123">
        <v>11.9</v>
      </c>
      <c r="OH123">
        <v>78.369</v>
      </c>
    </row>
    <row r="124" spans="1:398">
      <c r="A124">
        <v>12</v>
      </c>
      <c r="B124" t="s">
        <v>31</v>
      </c>
      <c r="C124" t="s">
        <v>30</v>
      </c>
      <c r="D124">
        <v>2011</v>
      </c>
      <c r="E124">
        <v>15.612</v>
      </c>
      <c r="F124">
        <v>2.6530999999999998</v>
      </c>
      <c r="G124">
        <v>506</v>
      </c>
      <c r="H124">
        <v>36.799999999999997</v>
      </c>
      <c r="I124">
        <v>77.900000000000006</v>
      </c>
      <c r="J124">
        <v>16.899999999999999</v>
      </c>
      <c r="K124">
        <v>8699.4</v>
      </c>
      <c r="L124">
        <v>1.1000000000000001</v>
      </c>
      <c r="M124">
        <v>1.8</v>
      </c>
      <c r="N124">
        <v>465081</v>
      </c>
      <c r="O124">
        <v>37.54</v>
      </c>
      <c r="P124">
        <v>1.1399999999999999</v>
      </c>
      <c r="Q124">
        <v>5781.25</v>
      </c>
      <c r="R124">
        <v>37.299999999999997</v>
      </c>
      <c r="S124">
        <v>0.41922199999999998</v>
      </c>
      <c r="T124">
        <v>-0.32442389999999999</v>
      </c>
      <c r="U124">
        <v>0.88976809999999995</v>
      </c>
      <c r="V124">
        <v>2.0450000000000001E-4</v>
      </c>
      <c r="W124">
        <v>0.1435168</v>
      </c>
      <c r="X124">
        <v>-0.71488779999999996</v>
      </c>
      <c r="Y124">
        <v>1.38462</v>
      </c>
      <c r="Z124">
        <v>0.51205440000000002</v>
      </c>
      <c r="AA124">
        <v>1.1958839999999999</v>
      </c>
      <c r="AB124">
        <v>7.46251E-2</v>
      </c>
      <c r="AC124">
        <v>1.7500929999999999</v>
      </c>
      <c r="AD124">
        <v>1.017703</v>
      </c>
      <c r="AE124">
        <v>-0.62928439999999997</v>
      </c>
      <c r="AF124">
        <v>-4.6559000000000003E-2</v>
      </c>
      <c r="AG124">
        <v>1.3213779999999999</v>
      </c>
      <c r="AH124">
        <v>2.5676299999999999</v>
      </c>
      <c r="AI124">
        <v>2.74804</v>
      </c>
      <c r="AJ124">
        <v>0.97572879999999995</v>
      </c>
      <c r="AK124">
        <v>6.2265370000000004</v>
      </c>
      <c r="AL124">
        <v>4.3554259999999996</v>
      </c>
      <c r="AM124">
        <v>2.8273139999999999</v>
      </c>
      <c r="AN124">
        <v>9.0710099999999994</v>
      </c>
      <c r="AO124">
        <v>13.04997</v>
      </c>
      <c r="AP124">
        <v>0.13102820000000001</v>
      </c>
      <c r="AQ124">
        <v>8.6623750000000008</v>
      </c>
      <c r="AR124">
        <v>4.7819099999999999</v>
      </c>
      <c r="AS124">
        <v>2.3608500000000001</v>
      </c>
      <c r="AT124">
        <v>10.498699999999999</v>
      </c>
      <c r="AU124">
        <v>78.622</v>
      </c>
      <c r="AV124">
        <v>60.605600000000003</v>
      </c>
      <c r="AW124">
        <v>1.5400499999999999</v>
      </c>
      <c r="AX124" s="17">
        <v>44000000000</v>
      </c>
      <c r="AY124">
        <v>2.8622000000000001</v>
      </c>
      <c r="AZ124">
        <v>0.81</v>
      </c>
      <c r="BA124">
        <v>3.625407</v>
      </c>
      <c r="BB124">
        <v>3.625407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-0.54472699999999996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8.0211999999999992E-3</v>
      </c>
      <c r="CG124">
        <v>0.59280569999999999</v>
      </c>
      <c r="CH124">
        <v>0.41442699999999999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2.5660440000000002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0.35141860000000003</v>
      </c>
      <c r="DI124">
        <v>6.5845820000000002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0.48017270000000001</v>
      </c>
      <c r="DW124">
        <v>2.0784959999999999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13.87157</v>
      </c>
      <c r="EW124">
        <v>7.1693999999999994E-2</v>
      </c>
      <c r="EX124">
        <v>7.1306900000000006E-2</v>
      </c>
      <c r="EY124">
        <v>7.1624999999999994E-2</v>
      </c>
      <c r="EZ124">
        <v>7.1599800000000005E-2</v>
      </c>
      <c r="FA124">
        <v>7.16614E-2</v>
      </c>
      <c r="FB124">
        <v>7.1187E-2</v>
      </c>
      <c r="FC124">
        <v>7.1266700000000002E-2</v>
      </c>
      <c r="FD124">
        <v>7.1367E-2</v>
      </c>
      <c r="FE124">
        <v>7.1532899999999996E-2</v>
      </c>
      <c r="FF124">
        <v>7.0860500000000007E-2</v>
      </c>
      <c r="FG124">
        <v>7.11672E-2</v>
      </c>
      <c r="FH124">
        <v>7.1377999999999997E-2</v>
      </c>
      <c r="FI124">
        <v>7.1799100000000005E-2</v>
      </c>
      <c r="FJ124">
        <v>7.1554400000000004E-2</v>
      </c>
      <c r="FK124">
        <v>0.41896369999999999</v>
      </c>
      <c r="FL124">
        <v>0.17553060000000001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-0.32442389999999999</v>
      </c>
      <c r="FZ124">
        <v>0.88976809999999995</v>
      </c>
      <c r="GA124">
        <v>2.0450000000000001E-4</v>
      </c>
      <c r="GB124">
        <v>-0.71488779999999996</v>
      </c>
      <c r="GC124">
        <v>0.51205440000000002</v>
      </c>
      <c r="GD124">
        <v>1.7500929999999999</v>
      </c>
      <c r="GE124">
        <v>1.3213779999999999</v>
      </c>
      <c r="GF124">
        <v>1.017703</v>
      </c>
      <c r="GG124">
        <v>-0.62928439999999997</v>
      </c>
      <c r="GH124">
        <v>3.8359290000000001</v>
      </c>
      <c r="GI124">
        <v>14.71435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0.33936060000000001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3.1071019999999998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  <c r="KN124">
        <v>1</v>
      </c>
      <c r="KO124">
        <v>1</v>
      </c>
      <c r="KP124">
        <v>1</v>
      </c>
      <c r="KQ124">
        <v>1</v>
      </c>
      <c r="KR124">
        <v>1</v>
      </c>
      <c r="KS124">
        <v>1</v>
      </c>
      <c r="KT124">
        <v>1</v>
      </c>
      <c r="KU124">
        <v>1</v>
      </c>
      <c r="KV124">
        <v>1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1</v>
      </c>
      <c r="LG124">
        <v>1</v>
      </c>
      <c r="LH124">
        <v>1</v>
      </c>
      <c r="LI124">
        <v>1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1</v>
      </c>
      <c r="LR124">
        <v>1</v>
      </c>
      <c r="LS124">
        <v>1</v>
      </c>
      <c r="LT124">
        <v>1</v>
      </c>
      <c r="LU124">
        <v>1</v>
      </c>
      <c r="LV124">
        <v>1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G124">
        <v>1</v>
      </c>
      <c r="MH124">
        <v>1</v>
      </c>
      <c r="MI124">
        <v>1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1</v>
      </c>
      <c r="NJ124">
        <v>1</v>
      </c>
      <c r="NK124">
        <v>1</v>
      </c>
      <c r="NL124">
        <v>1</v>
      </c>
      <c r="NM124">
        <v>1</v>
      </c>
      <c r="NN124">
        <v>1</v>
      </c>
      <c r="NO124">
        <v>1</v>
      </c>
      <c r="NP124">
        <v>110.22369999999999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1</v>
      </c>
      <c r="NW124">
        <v>1</v>
      </c>
      <c r="NX124">
        <v>1</v>
      </c>
      <c r="NY124">
        <v>1</v>
      </c>
      <c r="NZ124">
        <v>1</v>
      </c>
      <c r="OA124">
        <v>1</v>
      </c>
      <c r="OB124">
        <v>1</v>
      </c>
      <c r="OC124">
        <v>17.5</v>
      </c>
      <c r="OD124">
        <v>36270</v>
      </c>
      <c r="OE124">
        <v>0.57999999999999996</v>
      </c>
      <c r="OF124">
        <v>119.33199999999999</v>
      </c>
      <c r="OG124">
        <v>10.6</v>
      </c>
      <c r="OH124">
        <v>78.622</v>
      </c>
    </row>
    <row r="125" spans="1:398">
      <c r="A125">
        <v>12</v>
      </c>
      <c r="B125" t="s">
        <v>31</v>
      </c>
      <c r="C125" t="s">
        <v>30</v>
      </c>
      <c r="D125">
        <v>2012</v>
      </c>
      <c r="E125">
        <v>14.821999999999999</v>
      </c>
      <c r="F125">
        <v>2.7191000000000001</v>
      </c>
      <c r="G125">
        <v>493</v>
      </c>
      <c r="H125">
        <v>37.700000000000003</v>
      </c>
      <c r="I125">
        <v>76.7</v>
      </c>
      <c r="J125">
        <v>16.8</v>
      </c>
      <c r="K125">
        <v>8494.2999999999993</v>
      </c>
      <c r="L125">
        <v>1</v>
      </c>
      <c r="M125">
        <v>1.8</v>
      </c>
      <c r="N125">
        <v>487496</v>
      </c>
      <c r="O125">
        <v>52.12</v>
      </c>
      <c r="P125">
        <v>1.17</v>
      </c>
      <c r="Q125">
        <v>5403.91</v>
      </c>
      <c r="R125">
        <v>37.5</v>
      </c>
      <c r="S125">
        <v>0.42530200000000001</v>
      </c>
      <c r="T125">
        <v>-0.42040460000000002</v>
      </c>
      <c r="U125">
        <v>0.95311159999999995</v>
      </c>
      <c r="V125">
        <v>-9.8497500000000002E-2</v>
      </c>
      <c r="W125">
        <v>0.20145250000000001</v>
      </c>
      <c r="X125">
        <v>-0.88156780000000001</v>
      </c>
      <c r="Y125">
        <v>1.3686069999999999</v>
      </c>
      <c r="Z125">
        <v>0.48529060000000002</v>
      </c>
      <c r="AA125">
        <v>0.91774979999999995</v>
      </c>
      <c r="AB125">
        <v>7.46251E-2</v>
      </c>
      <c r="AC125">
        <v>1.869116</v>
      </c>
      <c r="AD125">
        <v>1.1647149999999999</v>
      </c>
      <c r="AE125">
        <v>-0.75360510000000003</v>
      </c>
      <c r="AF125">
        <v>-3.6023300000000001E-2</v>
      </c>
      <c r="AG125">
        <v>2.0807519999999999</v>
      </c>
      <c r="AH125">
        <v>2.8329589999999998</v>
      </c>
      <c r="AI125">
        <v>2.696113</v>
      </c>
      <c r="AJ125">
        <v>1.0003010000000001</v>
      </c>
      <c r="AK125">
        <v>6.2005090000000003</v>
      </c>
      <c r="AL125">
        <v>4.3399010000000002</v>
      </c>
      <c r="AM125">
        <v>2.8213789999999999</v>
      </c>
      <c r="AN125">
        <v>9.0471509999999995</v>
      </c>
      <c r="AO125">
        <v>13.09704</v>
      </c>
      <c r="AP125">
        <v>0.1570037</v>
      </c>
      <c r="AQ125">
        <v>8.5948770000000003</v>
      </c>
      <c r="AR125">
        <v>4.78674</v>
      </c>
      <c r="AS125">
        <v>2.5095999999999998</v>
      </c>
      <c r="AT125">
        <v>10.495699999999999</v>
      </c>
      <c r="AU125">
        <v>78.878</v>
      </c>
      <c r="AV125">
        <v>61.658999999999999</v>
      </c>
      <c r="AW125">
        <v>1.2279</v>
      </c>
      <c r="AX125" s="17">
        <v>33000000000</v>
      </c>
      <c r="AY125">
        <v>2.91777</v>
      </c>
      <c r="AZ125">
        <v>0.77</v>
      </c>
      <c r="BA125">
        <v>3.9535490000000002</v>
      </c>
      <c r="BB125">
        <v>3.9535486999999998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-0.22314400000000001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8.1746000000000006E-3</v>
      </c>
      <c r="CG125">
        <v>0.58684919999999996</v>
      </c>
      <c r="CH125">
        <v>0.43291800000000003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2.6229429999999998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0.34439199999999998</v>
      </c>
      <c r="DI125">
        <v>6.8798279999999998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0.4518739</v>
      </c>
      <c r="DW125">
        <v>2.019666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13.87055</v>
      </c>
      <c r="EW125">
        <v>7.1717299999999998E-2</v>
      </c>
      <c r="EX125">
        <v>7.1304500000000007E-2</v>
      </c>
      <c r="EY125">
        <v>7.1651500000000007E-2</v>
      </c>
      <c r="EZ125">
        <v>7.15977E-2</v>
      </c>
      <c r="FA125">
        <v>7.1684200000000003E-2</v>
      </c>
      <c r="FB125">
        <v>7.1208199999999999E-2</v>
      </c>
      <c r="FC125">
        <v>7.1295999999999998E-2</v>
      </c>
      <c r="FD125">
        <v>7.1434700000000004E-2</v>
      </c>
      <c r="FE125">
        <v>7.15422E-2</v>
      </c>
      <c r="FF125">
        <v>7.0848300000000003E-2</v>
      </c>
      <c r="FG125">
        <v>7.0957300000000001E-2</v>
      </c>
      <c r="FH125">
        <v>7.1363700000000002E-2</v>
      </c>
      <c r="FI125">
        <v>7.1833800000000003E-2</v>
      </c>
      <c r="FJ125">
        <v>7.1560499999999999E-2</v>
      </c>
      <c r="FK125">
        <v>0.42493710000000001</v>
      </c>
      <c r="FL125">
        <v>0.1805715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-0.42040460000000002</v>
      </c>
      <c r="FZ125">
        <v>0.95311159999999995</v>
      </c>
      <c r="GA125">
        <v>-9.8497500000000002E-2</v>
      </c>
      <c r="GB125">
        <v>-0.88156780000000001</v>
      </c>
      <c r="GC125">
        <v>0.48529060000000002</v>
      </c>
      <c r="GD125">
        <v>1.869116</v>
      </c>
      <c r="GE125">
        <v>2.0807519999999999</v>
      </c>
      <c r="GF125">
        <v>1.1647149999999999</v>
      </c>
      <c r="GG125">
        <v>-0.75360510000000003</v>
      </c>
      <c r="GH125">
        <v>4.2571089999999998</v>
      </c>
      <c r="GI125">
        <v>18.122969999999999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0.32720149999999998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3.2779739999999999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1</v>
      </c>
      <c r="LT125">
        <v>1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1</v>
      </c>
      <c r="ME125">
        <v>1</v>
      </c>
      <c r="MF125">
        <v>1</v>
      </c>
      <c r="MG125">
        <v>1</v>
      </c>
      <c r="MH125">
        <v>1</v>
      </c>
      <c r="MI125">
        <v>1</v>
      </c>
      <c r="MJ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1</v>
      </c>
      <c r="NP125">
        <v>110.1606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1</v>
      </c>
      <c r="NW125">
        <v>1</v>
      </c>
      <c r="NX125">
        <v>1</v>
      </c>
      <c r="NY125">
        <v>1</v>
      </c>
      <c r="NZ125">
        <v>1</v>
      </c>
      <c r="OA125">
        <v>1</v>
      </c>
      <c r="OB125">
        <v>1</v>
      </c>
      <c r="OC125">
        <v>18.5</v>
      </c>
      <c r="OD125">
        <v>36161.300000000003</v>
      </c>
      <c r="OE125">
        <v>0.8</v>
      </c>
      <c r="OF125">
        <v>119.91</v>
      </c>
      <c r="OG125">
        <v>12.3</v>
      </c>
      <c r="OH125">
        <v>78.878</v>
      </c>
    </row>
    <row r="126" spans="1:398">
      <c r="A126">
        <v>12</v>
      </c>
      <c r="B126" t="s">
        <v>31</v>
      </c>
      <c r="C126" t="s">
        <v>30</v>
      </c>
      <c r="D126">
        <v>2013</v>
      </c>
      <c r="E126">
        <v>14.484999999999999</v>
      </c>
      <c r="F126">
        <v>2.7343999999999999</v>
      </c>
      <c r="G126">
        <v>482</v>
      </c>
      <c r="H126">
        <v>38.700000000000003</v>
      </c>
      <c r="I126">
        <v>78.7</v>
      </c>
      <c r="J126">
        <v>17.2</v>
      </c>
      <c r="K126">
        <v>7832</v>
      </c>
      <c r="L126">
        <v>0.9</v>
      </c>
      <c r="M126">
        <v>1.8</v>
      </c>
      <c r="N126">
        <v>487874</v>
      </c>
      <c r="O126">
        <v>39.61</v>
      </c>
      <c r="P126">
        <v>1.17</v>
      </c>
      <c r="Q126">
        <v>5380.12</v>
      </c>
      <c r="R126">
        <v>37.4</v>
      </c>
      <c r="S126">
        <v>0.41512900000000003</v>
      </c>
      <c r="T126">
        <v>-0.46134819999999999</v>
      </c>
      <c r="U126">
        <v>0.96779579999999998</v>
      </c>
      <c r="V126">
        <v>-0.1820147</v>
      </c>
      <c r="W126">
        <v>0.26582539999999999</v>
      </c>
      <c r="X126">
        <v>-0.60376890000000005</v>
      </c>
      <c r="Y126">
        <v>1.43266</v>
      </c>
      <c r="Z126">
        <v>0.39886640000000001</v>
      </c>
      <c r="AA126">
        <v>0.6396153</v>
      </c>
      <c r="AB126">
        <v>7.46251E-2</v>
      </c>
      <c r="AC126">
        <v>1.8711230000000001</v>
      </c>
      <c r="AD126">
        <v>1.1647149999999999</v>
      </c>
      <c r="AE126">
        <v>-0.76144250000000002</v>
      </c>
      <c r="AF126">
        <v>-4.1291099999999997E-2</v>
      </c>
      <c r="AG126">
        <v>1.4291910000000001</v>
      </c>
      <c r="AH126">
        <v>2.5615399999999999</v>
      </c>
      <c r="AI126">
        <v>2.673114</v>
      </c>
      <c r="AJ126">
        <v>1.0059119999999999</v>
      </c>
      <c r="AK126">
        <v>6.1779440000000001</v>
      </c>
      <c r="AL126">
        <v>4.3656430000000004</v>
      </c>
      <c r="AM126">
        <v>2.8449089999999999</v>
      </c>
      <c r="AN126">
        <v>8.965973</v>
      </c>
      <c r="AO126">
        <v>13.097810000000001</v>
      </c>
      <c r="AP126">
        <v>0.1570037</v>
      </c>
      <c r="AQ126">
        <v>8.5904659999999993</v>
      </c>
      <c r="AR126">
        <v>4.7919099999999997</v>
      </c>
      <c r="AS126">
        <v>2.5952500000000001</v>
      </c>
      <c r="AT126">
        <v>10.4984</v>
      </c>
      <c r="AU126">
        <v>79.135000000000005</v>
      </c>
      <c r="AV126">
        <v>61.819200000000002</v>
      </c>
      <c r="AW126">
        <v>1.1882299999999999</v>
      </c>
      <c r="AX126" s="17">
        <v>33000000000</v>
      </c>
      <c r="AY126">
        <v>2.91777</v>
      </c>
      <c r="AZ126">
        <v>0.75</v>
      </c>
      <c r="BA126">
        <v>3.6790820000000002</v>
      </c>
      <c r="BB126">
        <v>3.6790816999999998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-0.510826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8.3476000000000002E-3</v>
      </c>
      <c r="CG126">
        <v>0.5838411</v>
      </c>
      <c r="CH126">
        <v>0.414155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2.5241699999999998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0.34087050000000002</v>
      </c>
      <c r="DI126">
        <v>6.3714360000000001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0.43788090000000002</v>
      </c>
      <c r="DW126">
        <v>1.8931279999999999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13.875640000000001</v>
      </c>
      <c r="EW126">
        <v>7.1699600000000002E-2</v>
      </c>
      <c r="EX126">
        <v>7.12835E-2</v>
      </c>
      <c r="EY126">
        <v>7.1643399999999996E-2</v>
      </c>
      <c r="EZ126">
        <v>7.1563100000000004E-2</v>
      </c>
      <c r="FA126">
        <v>7.1634799999999998E-2</v>
      </c>
      <c r="FB126">
        <v>7.1176900000000001E-2</v>
      </c>
      <c r="FC126">
        <v>7.1325799999999995E-2</v>
      </c>
      <c r="FD126">
        <v>7.1471199999999999E-2</v>
      </c>
      <c r="FE126">
        <v>7.152E-2</v>
      </c>
      <c r="FF126">
        <v>7.0845699999999998E-2</v>
      </c>
      <c r="FG126">
        <v>7.1141499999999996E-2</v>
      </c>
      <c r="FH126">
        <v>7.1344900000000003E-2</v>
      </c>
      <c r="FI126">
        <v>7.1809999999999999E-2</v>
      </c>
      <c r="FJ126">
        <v>7.1539500000000006E-2</v>
      </c>
      <c r="FK126">
        <v>0.41479959999999999</v>
      </c>
      <c r="FL126">
        <v>0.17205870000000001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-0.46134819999999999</v>
      </c>
      <c r="FZ126">
        <v>0.96779579999999998</v>
      </c>
      <c r="GA126">
        <v>-0.1820147</v>
      </c>
      <c r="GB126">
        <v>-0.60376890000000005</v>
      </c>
      <c r="GC126">
        <v>0.39886640000000001</v>
      </c>
      <c r="GD126">
        <v>1.8711230000000001</v>
      </c>
      <c r="GE126">
        <v>1.4291910000000001</v>
      </c>
      <c r="GF126">
        <v>1.1647149999999999</v>
      </c>
      <c r="GG126">
        <v>-0.76144250000000002</v>
      </c>
      <c r="GH126">
        <v>3.838965</v>
      </c>
      <c r="GI126">
        <v>14.73766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0.31109969999999998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2.8792239999999998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  <c r="KN126">
        <v>1</v>
      </c>
      <c r="KO126">
        <v>1</v>
      </c>
      <c r="KP126">
        <v>1</v>
      </c>
      <c r="KQ126">
        <v>1</v>
      </c>
      <c r="KR126">
        <v>1</v>
      </c>
      <c r="KS126">
        <v>1</v>
      </c>
      <c r="KT126">
        <v>1</v>
      </c>
      <c r="KU126">
        <v>1</v>
      </c>
      <c r="KV126">
        <v>1</v>
      </c>
      <c r="KW126">
        <v>1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1</v>
      </c>
      <c r="LR126">
        <v>1</v>
      </c>
      <c r="LS126">
        <v>1</v>
      </c>
      <c r="LT126">
        <v>1</v>
      </c>
      <c r="LU126">
        <v>1</v>
      </c>
      <c r="LV126">
        <v>1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1</v>
      </c>
      <c r="MF126">
        <v>1</v>
      </c>
      <c r="MG126">
        <v>1</v>
      </c>
      <c r="MH126">
        <v>1</v>
      </c>
      <c r="MI126">
        <v>1</v>
      </c>
      <c r="MJ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1</v>
      </c>
      <c r="NJ126">
        <v>1</v>
      </c>
      <c r="NK126">
        <v>1</v>
      </c>
      <c r="NL126">
        <v>1</v>
      </c>
      <c r="NM126">
        <v>1</v>
      </c>
      <c r="NN126">
        <v>1</v>
      </c>
      <c r="NO126">
        <v>1</v>
      </c>
      <c r="NP126">
        <v>110.21559999999999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1</v>
      </c>
      <c r="NW126">
        <v>1</v>
      </c>
      <c r="NX126">
        <v>1</v>
      </c>
      <c r="NY126">
        <v>1</v>
      </c>
      <c r="NZ126">
        <v>1</v>
      </c>
      <c r="OA126">
        <v>1</v>
      </c>
      <c r="OB126">
        <v>1</v>
      </c>
      <c r="OC126">
        <v>18.5</v>
      </c>
      <c r="OD126">
        <v>36256.1</v>
      </c>
      <c r="OE126">
        <v>0.6</v>
      </c>
      <c r="OF126">
        <v>120.532</v>
      </c>
      <c r="OG126">
        <v>13.4</v>
      </c>
      <c r="OH126">
        <v>79.135000000000005</v>
      </c>
    </row>
    <row r="127" spans="1:398">
      <c r="A127">
        <v>12</v>
      </c>
      <c r="B127" t="s">
        <v>31</v>
      </c>
      <c r="C127" t="s">
        <v>30</v>
      </c>
      <c r="D127">
        <v>2014</v>
      </c>
      <c r="E127">
        <v>14.532999999999999</v>
      </c>
      <c r="F127">
        <v>2.7926000000000002</v>
      </c>
      <c r="G127">
        <v>500</v>
      </c>
      <c r="H127">
        <v>39.700000000000003</v>
      </c>
      <c r="I127">
        <v>80.8</v>
      </c>
      <c r="J127">
        <v>17.8</v>
      </c>
      <c r="K127">
        <v>11130.9</v>
      </c>
      <c r="L127">
        <v>0.8</v>
      </c>
      <c r="M127">
        <v>1.8</v>
      </c>
      <c r="N127">
        <v>488181</v>
      </c>
      <c r="O127">
        <v>69.069999999999993</v>
      </c>
      <c r="P127">
        <v>1.1599999999999999</v>
      </c>
      <c r="Q127">
        <v>5351.84</v>
      </c>
      <c r="R127">
        <v>36.799999999999997</v>
      </c>
      <c r="S127">
        <v>0.44228499999999998</v>
      </c>
      <c r="T127">
        <v>-0.45551639999999999</v>
      </c>
      <c r="U127">
        <v>1.0236529999999999</v>
      </c>
      <c r="V127">
        <v>-4.5350300000000003E-2</v>
      </c>
      <c r="W127">
        <v>0.3301983</v>
      </c>
      <c r="X127">
        <v>-0.3120791</v>
      </c>
      <c r="Y127">
        <v>1.5287379999999999</v>
      </c>
      <c r="Z127">
        <v>0.82934370000000002</v>
      </c>
      <c r="AA127">
        <v>0.361481</v>
      </c>
      <c r="AB127">
        <v>7.46251E-2</v>
      </c>
      <c r="AC127">
        <v>1.872754</v>
      </c>
      <c r="AD127">
        <v>1.1157109999999999</v>
      </c>
      <c r="AE127">
        <v>-0.77075760000000004</v>
      </c>
      <c r="AF127">
        <v>-7.2898000000000004E-2</v>
      </c>
      <c r="AG127">
        <v>2.9635630000000002</v>
      </c>
      <c r="AH127">
        <v>3.1508099999999999</v>
      </c>
      <c r="AI127">
        <v>2.6764220000000001</v>
      </c>
      <c r="AJ127">
        <v>1.0269729999999999</v>
      </c>
      <c r="AK127">
        <v>6.2146080000000001</v>
      </c>
      <c r="AL127">
        <v>4.3919769999999998</v>
      </c>
      <c r="AM127">
        <v>2.8791980000000001</v>
      </c>
      <c r="AN127">
        <v>9.3174799999999998</v>
      </c>
      <c r="AO127">
        <v>13.09844</v>
      </c>
      <c r="AP127">
        <v>0.14842</v>
      </c>
      <c r="AQ127">
        <v>8.5851959999999998</v>
      </c>
      <c r="AR127">
        <v>4.7966600000000001</v>
      </c>
      <c r="AS127">
        <v>2.5802200000000002</v>
      </c>
      <c r="AT127">
        <v>10.503500000000001</v>
      </c>
      <c r="AU127">
        <v>79.394000000000005</v>
      </c>
      <c r="AV127">
        <v>62.199300000000001</v>
      </c>
      <c r="AW127">
        <v>0.17697399999999999</v>
      </c>
      <c r="AX127" s="17">
        <v>5100000000</v>
      </c>
      <c r="AY127">
        <v>2.9068999999999998</v>
      </c>
      <c r="AZ127">
        <v>0.77</v>
      </c>
      <c r="BA127">
        <v>4.2351200000000002</v>
      </c>
      <c r="BB127">
        <v>4.2351203000000002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3.9220999999999999E-2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8.5156999999999993E-3</v>
      </c>
      <c r="CG127">
        <v>0.59027560000000001</v>
      </c>
      <c r="CH127">
        <v>0.46725100000000003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2.6288819999999999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0.34842529999999999</v>
      </c>
      <c r="DI127">
        <v>6.9110230000000001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0.45451219999999998</v>
      </c>
      <c r="DW127">
        <v>2.0242390000000001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13.86774</v>
      </c>
      <c r="EW127">
        <v>7.1741100000000002E-2</v>
      </c>
      <c r="EX127">
        <v>7.1318900000000005E-2</v>
      </c>
      <c r="EY127">
        <v>7.16609E-2</v>
      </c>
      <c r="EZ127">
        <v>7.1595800000000001E-2</v>
      </c>
      <c r="FA127">
        <v>7.1652300000000002E-2</v>
      </c>
      <c r="FB127">
        <v>7.1204600000000007E-2</v>
      </c>
      <c r="FC127">
        <v>7.11537E-2</v>
      </c>
      <c r="FD127">
        <v>7.1575200000000005E-2</v>
      </c>
      <c r="FE127">
        <v>7.1564699999999995E-2</v>
      </c>
      <c r="FF127">
        <v>7.0908600000000002E-2</v>
      </c>
      <c r="FG127">
        <v>7.0776199999999997E-2</v>
      </c>
      <c r="FH127">
        <v>7.1401500000000007E-2</v>
      </c>
      <c r="FI127">
        <v>7.1853899999999998E-2</v>
      </c>
      <c r="FJ127">
        <v>7.1592600000000006E-2</v>
      </c>
      <c r="FK127">
        <v>0.44183210000000001</v>
      </c>
      <c r="FL127">
        <v>0.19521559999999999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-0.45551639999999999</v>
      </c>
      <c r="FZ127">
        <v>1.0236529999999999</v>
      </c>
      <c r="GA127">
        <v>-4.5350300000000003E-2</v>
      </c>
      <c r="GB127">
        <v>-0.3120791</v>
      </c>
      <c r="GC127">
        <v>0.82934370000000002</v>
      </c>
      <c r="GD127">
        <v>1.872754</v>
      </c>
      <c r="GE127">
        <v>2.9635630000000002</v>
      </c>
      <c r="GF127">
        <v>1.1157109999999999</v>
      </c>
      <c r="GG127">
        <v>-0.77075760000000004</v>
      </c>
      <c r="GH127">
        <v>4.773911</v>
      </c>
      <c r="GI127">
        <v>22.790230000000001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0.34021069999999998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3.6759119999999998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1</v>
      </c>
      <c r="MI127">
        <v>1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110.3244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1</v>
      </c>
      <c r="NW127">
        <v>1</v>
      </c>
      <c r="NX127">
        <v>1</v>
      </c>
      <c r="NY127">
        <v>1</v>
      </c>
      <c r="NZ127">
        <v>1</v>
      </c>
      <c r="OA127">
        <v>1</v>
      </c>
      <c r="OB127">
        <v>1</v>
      </c>
      <c r="OC127">
        <v>18.3</v>
      </c>
      <c r="OD127">
        <v>36444.400000000001</v>
      </c>
      <c r="OE127">
        <v>1.04</v>
      </c>
      <c r="OF127">
        <v>121.105</v>
      </c>
      <c r="OG127">
        <v>13.2</v>
      </c>
      <c r="OH127">
        <v>79.394000000000005</v>
      </c>
    </row>
    <row r="128" spans="1:398">
      <c r="A128">
        <v>12</v>
      </c>
      <c r="B128" t="s">
        <v>31</v>
      </c>
      <c r="C128" t="s">
        <v>30</v>
      </c>
      <c r="D128">
        <v>2015</v>
      </c>
      <c r="E128">
        <v>13.553000000000001</v>
      </c>
      <c r="F128">
        <v>2.9815</v>
      </c>
      <c r="G128">
        <v>504</v>
      </c>
      <c r="H128">
        <v>40.700000000000003</v>
      </c>
      <c r="I128">
        <v>81.900000000000006</v>
      </c>
      <c r="J128">
        <v>18.8</v>
      </c>
      <c r="K128">
        <v>13625.4</v>
      </c>
      <c r="L128">
        <v>0.9</v>
      </c>
      <c r="M128">
        <v>1.8</v>
      </c>
      <c r="N128">
        <v>453890</v>
      </c>
      <c r="O128">
        <v>39.340000000000003</v>
      </c>
      <c r="P128">
        <v>1.1399999999999999</v>
      </c>
      <c r="Q128">
        <v>5484.69</v>
      </c>
      <c r="R128">
        <v>38.799999999999997</v>
      </c>
      <c r="S128">
        <v>0.43615700000000002</v>
      </c>
      <c r="T128">
        <v>-0.5745808</v>
      </c>
      <c r="U128">
        <v>1.20495</v>
      </c>
      <c r="V128">
        <v>-1.49804E-2</v>
      </c>
      <c r="W128">
        <v>0.39457120000000001</v>
      </c>
      <c r="X128">
        <v>-0.15928990000000001</v>
      </c>
      <c r="Y128">
        <v>1.688869</v>
      </c>
      <c r="Z128">
        <v>1.154854</v>
      </c>
      <c r="AA128">
        <v>0.6396153</v>
      </c>
      <c r="AB128">
        <v>7.46251E-2</v>
      </c>
      <c r="AC128">
        <v>1.690669</v>
      </c>
      <c r="AD128">
        <v>1.017703</v>
      </c>
      <c r="AE128">
        <v>-0.72699139999999995</v>
      </c>
      <c r="AF128">
        <v>3.24582E-2</v>
      </c>
      <c r="AG128">
        <v>1.4151279999999999</v>
      </c>
      <c r="AH128">
        <v>2.9933429999999999</v>
      </c>
      <c r="AI128">
        <v>2.606608</v>
      </c>
      <c r="AJ128">
        <v>1.092427</v>
      </c>
      <c r="AK128">
        <v>6.2225760000000001</v>
      </c>
      <c r="AL128">
        <v>4.4054989999999998</v>
      </c>
      <c r="AM128">
        <v>2.9338570000000002</v>
      </c>
      <c r="AN128">
        <v>9.5196909999999999</v>
      </c>
      <c r="AO128">
        <v>13.02561</v>
      </c>
      <c r="AP128">
        <v>0.13102820000000001</v>
      </c>
      <c r="AQ128">
        <v>8.6097149999999996</v>
      </c>
      <c r="AR128">
        <v>4.8002200000000004</v>
      </c>
      <c r="AS128">
        <v>2.5877599999999998</v>
      </c>
      <c r="AT128">
        <v>10.5106</v>
      </c>
      <c r="AU128">
        <v>79.655000000000001</v>
      </c>
      <c r="AV128">
        <v>63.5047</v>
      </c>
      <c r="AW128">
        <v>1.76596</v>
      </c>
      <c r="AX128" s="17">
        <v>43000000000</v>
      </c>
      <c r="AY128">
        <v>2.9601000000000002</v>
      </c>
      <c r="AZ128">
        <v>0.8</v>
      </c>
      <c r="BA128">
        <v>3.6722419999999998</v>
      </c>
      <c r="BB128">
        <v>3.6722418999999999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-0.52763300000000002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8.6789999999999992E-3</v>
      </c>
      <c r="CG128">
        <v>0.59798929999999995</v>
      </c>
      <c r="CH128">
        <v>0.449322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2.7908390000000001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0.3575912</v>
      </c>
      <c r="DI128">
        <v>7.7887839999999997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0.47839140000000002</v>
      </c>
      <c r="DW128">
        <v>2.2326709999999999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13.87143</v>
      </c>
      <c r="EW128">
        <v>7.1743699999999994E-2</v>
      </c>
      <c r="EX128">
        <v>7.12647E-2</v>
      </c>
      <c r="EY128">
        <v>7.1638800000000002E-2</v>
      </c>
      <c r="EZ128">
        <v>7.1568999999999994E-2</v>
      </c>
      <c r="FA128">
        <v>7.1622699999999997E-2</v>
      </c>
      <c r="FB128">
        <v>7.1158200000000005E-2</v>
      </c>
      <c r="FC128">
        <v>7.0998900000000004E-2</v>
      </c>
      <c r="FD128">
        <v>7.1501800000000004E-2</v>
      </c>
      <c r="FE128">
        <v>7.1549600000000005E-2</v>
      </c>
      <c r="FF128">
        <v>7.0971800000000002E-2</v>
      </c>
      <c r="FG128">
        <v>7.1200299999999994E-2</v>
      </c>
      <c r="FH128">
        <v>7.1406800000000006E-2</v>
      </c>
      <c r="FI128">
        <v>7.18255E-2</v>
      </c>
      <c r="FJ128">
        <v>7.1548200000000006E-2</v>
      </c>
      <c r="FK128">
        <v>0.43588060000000001</v>
      </c>
      <c r="FL128">
        <v>0.18999189999999999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-0.5745808</v>
      </c>
      <c r="FZ128">
        <v>1.20495</v>
      </c>
      <c r="GA128">
        <v>-1.49804E-2</v>
      </c>
      <c r="GB128">
        <v>-0.15928990000000001</v>
      </c>
      <c r="GC128">
        <v>1.154854</v>
      </c>
      <c r="GD128">
        <v>1.690669</v>
      </c>
      <c r="GE128">
        <v>1.4151279999999999</v>
      </c>
      <c r="GF128">
        <v>1.017703</v>
      </c>
      <c r="GG128">
        <v>-0.72699139999999995</v>
      </c>
      <c r="GH128">
        <v>4.4375879999999999</v>
      </c>
      <c r="GI128">
        <v>19.69219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0.34870449999999997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3.550071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110.4727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19.3</v>
      </c>
      <c r="OD128">
        <v>36702.400000000001</v>
      </c>
      <c r="OE128">
        <v>0.59</v>
      </c>
      <c r="OF128">
        <v>121.53700000000001</v>
      </c>
      <c r="OG128">
        <v>13.3</v>
      </c>
      <c r="OH128">
        <v>79.655000000000001</v>
      </c>
    </row>
    <row r="129" spans="1:398">
      <c r="A129">
        <v>12</v>
      </c>
      <c r="B129" t="s">
        <v>31</v>
      </c>
      <c r="C129" t="s">
        <v>30</v>
      </c>
      <c r="D129">
        <v>2016</v>
      </c>
      <c r="E129">
        <v>13.778</v>
      </c>
      <c r="F129">
        <v>3.0510000000000002</v>
      </c>
      <c r="G129">
        <v>510</v>
      </c>
      <c r="H129">
        <v>39.700000000000003</v>
      </c>
      <c r="I129">
        <v>81.900000000000006</v>
      </c>
      <c r="J129">
        <v>19.3</v>
      </c>
      <c r="K129">
        <v>19405.3</v>
      </c>
      <c r="L129">
        <v>0.9</v>
      </c>
      <c r="M129">
        <v>1.6</v>
      </c>
      <c r="N129">
        <v>470463</v>
      </c>
      <c r="O129">
        <v>36.880000000000003</v>
      </c>
      <c r="P129">
        <v>1.1499999999999999</v>
      </c>
      <c r="Q129">
        <v>5303.94</v>
      </c>
      <c r="R129">
        <v>39.4</v>
      </c>
      <c r="S129">
        <v>0.44642799999999999</v>
      </c>
      <c r="T129">
        <v>-0.54724470000000003</v>
      </c>
      <c r="U129">
        <v>1.2716529999999999</v>
      </c>
      <c r="V129">
        <v>3.0574400000000002E-2</v>
      </c>
      <c r="W129">
        <v>0.3301983</v>
      </c>
      <c r="X129">
        <v>-0.15928990000000001</v>
      </c>
      <c r="Y129">
        <v>1.768934</v>
      </c>
      <c r="Z129">
        <v>1.9090800000000001</v>
      </c>
      <c r="AA129">
        <v>0.6396153</v>
      </c>
      <c r="AB129">
        <v>-0.18922800000000001</v>
      </c>
      <c r="AC129">
        <v>1.7786709999999999</v>
      </c>
      <c r="AD129">
        <v>1.0667070000000001</v>
      </c>
      <c r="AE129">
        <v>-0.78654089999999999</v>
      </c>
      <c r="AF129">
        <v>6.4065200000000003E-2</v>
      </c>
      <c r="AG129">
        <v>1.2870029999999999</v>
      </c>
      <c r="AH129">
        <v>3.2807300000000001</v>
      </c>
      <c r="AI129">
        <v>2.6230730000000002</v>
      </c>
      <c r="AJ129">
        <v>1.115469</v>
      </c>
      <c r="AK129">
        <v>6.2344109999999997</v>
      </c>
      <c r="AL129">
        <v>4.4054989999999998</v>
      </c>
      <c r="AM129">
        <v>2.960105</v>
      </c>
      <c r="AN129">
        <v>9.8733020000000007</v>
      </c>
      <c r="AO129">
        <v>13.06147</v>
      </c>
      <c r="AP129">
        <v>0.13976189999999999</v>
      </c>
      <c r="AQ129">
        <v>8.5762040000000006</v>
      </c>
      <c r="AR129">
        <v>4.8028599999999999</v>
      </c>
      <c r="AS129">
        <v>2.6532399999999998</v>
      </c>
      <c r="AT129">
        <v>10.516500000000001</v>
      </c>
      <c r="AU129">
        <v>79.917000000000002</v>
      </c>
      <c r="AV129">
        <v>63.342799999999997</v>
      </c>
      <c r="AW129">
        <v>1.4419999999999999</v>
      </c>
      <c r="AX129" s="17">
        <v>36000000000</v>
      </c>
      <c r="AY129">
        <v>2.91777</v>
      </c>
      <c r="AZ129">
        <v>0.8</v>
      </c>
      <c r="BA129">
        <v>3.607669</v>
      </c>
      <c r="BB129">
        <v>3.6076693999999998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-0.59783699999999995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8.3712000000000005E-3</v>
      </c>
      <c r="CG129">
        <v>0.59960959999999996</v>
      </c>
      <c r="CH129">
        <v>0.48432900000000001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2.8657409999999999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0.35953160000000001</v>
      </c>
      <c r="DI129">
        <v>8.2124699999999997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0.47968769999999999</v>
      </c>
      <c r="DW129">
        <v>2.2925930000000001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13.8691</v>
      </c>
      <c r="EW129">
        <v>7.17526E-2</v>
      </c>
      <c r="EX129">
        <v>7.1270600000000003E-2</v>
      </c>
      <c r="EY129">
        <v>7.1645200000000006E-2</v>
      </c>
      <c r="EZ129">
        <v>7.1595699999999998E-2</v>
      </c>
      <c r="FA129">
        <v>7.1637500000000007E-2</v>
      </c>
      <c r="FB129">
        <v>7.1163699999999996E-2</v>
      </c>
      <c r="FC129">
        <v>7.0724700000000001E-2</v>
      </c>
      <c r="FD129">
        <v>7.1518399999999996E-2</v>
      </c>
      <c r="FE129">
        <v>7.1631399999999998E-2</v>
      </c>
      <c r="FF129">
        <v>7.0973999999999995E-2</v>
      </c>
      <c r="FG129">
        <v>7.1262000000000006E-2</v>
      </c>
      <c r="FH129">
        <v>7.1416599999999997E-2</v>
      </c>
      <c r="FI129">
        <v>7.1851999999999999E-2</v>
      </c>
      <c r="FJ129">
        <v>7.1555599999999997E-2</v>
      </c>
      <c r="FK129">
        <v>0.44603710000000002</v>
      </c>
      <c r="FL129">
        <v>0.19894909999999999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-0.54724470000000003</v>
      </c>
      <c r="FZ129">
        <v>1.2716529999999999</v>
      </c>
      <c r="GA129">
        <v>3.0574400000000002E-2</v>
      </c>
      <c r="GB129">
        <v>-0.15928990000000001</v>
      </c>
      <c r="GC129">
        <v>1.9090800000000001</v>
      </c>
      <c r="GD129">
        <v>1.7786709999999999</v>
      </c>
      <c r="GE129">
        <v>1.2870029999999999</v>
      </c>
      <c r="GF129">
        <v>1.0667070000000001</v>
      </c>
      <c r="GG129">
        <v>-0.78654089999999999</v>
      </c>
      <c r="GH129">
        <v>4.8483710000000002</v>
      </c>
      <c r="GI129">
        <v>23.506699999999999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0.35682960000000002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3.8786969999999998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1</v>
      </c>
      <c r="LT129">
        <v>1</v>
      </c>
      <c r="LU129">
        <v>1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1</v>
      </c>
      <c r="NJ129">
        <v>1</v>
      </c>
      <c r="NK129">
        <v>1</v>
      </c>
      <c r="NL129">
        <v>1</v>
      </c>
      <c r="NM129">
        <v>1</v>
      </c>
      <c r="NN129">
        <v>1</v>
      </c>
      <c r="NO129">
        <v>1</v>
      </c>
      <c r="NP129">
        <v>110.5972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1</v>
      </c>
      <c r="NW129">
        <v>1</v>
      </c>
      <c r="NX129">
        <v>1</v>
      </c>
      <c r="NY129">
        <v>1</v>
      </c>
      <c r="NZ129">
        <v>1</v>
      </c>
      <c r="OA129">
        <v>1</v>
      </c>
      <c r="OB129">
        <v>1</v>
      </c>
      <c r="OC129">
        <v>18.5</v>
      </c>
      <c r="OD129">
        <v>36920.5</v>
      </c>
      <c r="OE129">
        <v>0.55000000000000004</v>
      </c>
      <c r="OF129">
        <v>121.858</v>
      </c>
      <c r="OG129">
        <v>14.2</v>
      </c>
      <c r="OH129">
        <v>79.917000000000002</v>
      </c>
    </row>
    <row r="130" spans="1:398">
      <c r="A130">
        <v>12</v>
      </c>
      <c r="B130" t="s">
        <v>31</v>
      </c>
      <c r="C130" t="s">
        <v>30</v>
      </c>
      <c r="D130">
        <v>2017</v>
      </c>
      <c r="E130">
        <v>14.528</v>
      </c>
      <c r="F130">
        <v>2.8744000000000001</v>
      </c>
      <c r="G130">
        <v>551</v>
      </c>
      <c r="H130">
        <v>40.200000000000003</v>
      </c>
      <c r="I130">
        <v>81.900000000000006</v>
      </c>
      <c r="J130">
        <v>18.7</v>
      </c>
      <c r="K130">
        <v>13003.8</v>
      </c>
      <c r="L130">
        <v>0.9</v>
      </c>
      <c r="M130">
        <v>1.8</v>
      </c>
      <c r="N130">
        <v>515908</v>
      </c>
      <c r="O130">
        <v>38.46</v>
      </c>
      <c r="P130">
        <v>1.1299999999999999</v>
      </c>
      <c r="Q130">
        <v>5159.84</v>
      </c>
      <c r="R130">
        <v>38.200000000000003</v>
      </c>
      <c r="S130">
        <v>0.44158399999999998</v>
      </c>
      <c r="T130">
        <v>-0.45612390000000003</v>
      </c>
      <c r="U130">
        <v>1.1021609999999999</v>
      </c>
      <c r="V130">
        <v>0.34186549999999999</v>
      </c>
      <c r="W130">
        <v>0.36238480000000001</v>
      </c>
      <c r="X130">
        <v>-0.15928990000000001</v>
      </c>
      <c r="Y130">
        <v>1.6728559999999999</v>
      </c>
      <c r="Z130">
        <v>1.0737399999999999</v>
      </c>
      <c r="AA130">
        <v>0.6396153</v>
      </c>
      <c r="AB130">
        <v>7.46251E-2</v>
      </c>
      <c r="AC130">
        <v>2.0199829999999999</v>
      </c>
      <c r="AD130">
        <v>0.96869859999999997</v>
      </c>
      <c r="AE130">
        <v>-0.83401340000000002</v>
      </c>
      <c r="AF130">
        <v>8.5139999999999999E-4</v>
      </c>
      <c r="AG130">
        <v>1.3692949999999999</v>
      </c>
      <c r="AH130">
        <v>2.9713669999999999</v>
      </c>
      <c r="AI130">
        <v>2.676078</v>
      </c>
      <c r="AJ130">
        <v>1.055844</v>
      </c>
      <c r="AK130">
        <v>6.3117349999999997</v>
      </c>
      <c r="AL130">
        <v>4.4054989999999998</v>
      </c>
      <c r="AM130">
        <v>2.9285239999999999</v>
      </c>
      <c r="AN130">
        <v>9.4729969999999994</v>
      </c>
      <c r="AO130">
        <v>13.15368</v>
      </c>
      <c r="AP130">
        <v>0.1222176</v>
      </c>
      <c r="AQ130">
        <v>8.5486620000000002</v>
      </c>
      <c r="AR130">
        <v>4.8057600000000003</v>
      </c>
      <c r="AS130">
        <v>2.6461700000000001</v>
      </c>
      <c r="AT130">
        <v>10.5342</v>
      </c>
      <c r="AU130">
        <v>80.180000000000007</v>
      </c>
      <c r="AV130">
        <v>65.395899999999997</v>
      </c>
      <c r="AW130">
        <v>1.6892799999999999</v>
      </c>
      <c r="AX130" s="17">
        <v>44000000000</v>
      </c>
      <c r="AY130">
        <v>2.9496899999999999</v>
      </c>
      <c r="AZ130">
        <v>0.83</v>
      </c>
      <c r="BA130">
        <v>3.6496189999999999</v>
      </c>
      <c r="BB130">
        <v>3.6496186000000002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-0.56211900000000004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8.4173000000000008E-3</v>
      </c>
      <c r="CG130">
        <v>0.60160619999999998</v>
      </c>
      <c r="CH130">
        <v>0.45856200000000003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2.7257769999999999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0.36192999999999997</v>
      </c>
      <c r="DI130">
        <v>7.4298609999999998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0.49933309999999997</v>
      </c>
      <c r="DW130">
        <v>2.2623950000000002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13.87341</v>
      </c>
      <c r="EW130">
        <v>7.1716600000000005E-2</v>
      </c>
      <c r="EX130">
        <v>7.1298299999999995E-2</v>
      </c>
      <c r="EY130">
        <v>7.1570599999999998E-2</v>
      </c>
      <c r="EZ130">
        <v>7.1571200000000001E-2</v>
      </c>
      <c r="FA130">
        <v>7.1618000000000001E-2</v>
      </c>
      <c r="FB130">
        <v>7.1177199999999996E-2</v>
      </c>
      <c r="FC130">
        <v>7.1066199999999996E-2</v>
      </c>
      <c r="FD130">
        <v>7.15007E-2</v>
      </c>
      <c r="FE130">
        <v>7.1546399999999996E-2</v>
      </c>
      <c r="FF130">
        <v>7.0895600000000003E-2</v>
      </c>
      <c r="FG130">
        <v>7.1225499999999997E-2</v>
      </c>
      <c r="FH130">
        <v>7.1417900000000006E-2</v>
      </c>
      <c r="FI130">
        <v>7.18414E-2</v>
      </c>
      <c r="FJ130">
        <v>7.1554199999999998E-2</v>
      </c>
      <c r="FK130">
        <v>0.44127559999999999</v>
      </c>
      <c r="FL130">
        <v>0.19472410000000001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-0.45612390000000003</v>
      </c>
      <c r="FZ130">
        <v>1.1021609999999999</v>
      </c>
      <c r="GA130">
        <v>0.34186549999999999</v>
      </c>
      <c r="GB130">
        <v>-0.15928990000000001</v>
      </c>
      <c r="GC130">
        <v>1.0737399999999999</v>
      </c>
      <c r="GD130">
        <v>2.0199829999999999</v>
      </c>
      <c r="GE130">
        <v>1.3692949999999999</v>
      </c>
      <c r="GF130">
        <v>0.96869859999999997</v>
      </c>
      <c r="GG130">
        <v>-0.83401340000000002</v>
      </c>
      <c r="GH130">
        <v>4.4395280000000001</v>
      </c>
      <c r="GI130">
        <v>19.709399999999999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0.36625869999999999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3.6848079999999999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1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110.97020000000001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1</v>
      </c>
      <c r="NW130">
        <v>1</v>
      </c>
      <c r="NX130">
        <v>1</v>
      </c>
      <c r="NY130">
        <v>1</v>
      </c>
      <c r="NZ130">
        <v>1</v>
      </c>
      <c r="OA130">
        <v>1</v>
      </c>
      <c r="OB130">
        <v>1</v>
      </c>
      <c r="OC130">
        <v>19.100000000000001</v>
      </c>
      <c r="OD130">
        <v>37580.6</v>
      </c>
      <c r="OE130">
        <v>0.56999999999999995</v>
      </c>
      <c r="OF130">
        <v>122.212</v>
      </c>
      <c r="OG130">
        <v>14.1</v>
      </c>
      <c r="OH130">
        <v>80.180000000000007</v>
      </c>
    </row>
    <row r="131" spans="1:398">
      <c r="A131">
        <v>12</v>
      </c>
      <c r="B131" t="s">
        <v>31</v>
      </c>
      <c r="C131" t="s">
        <v>30</v>
      </c>
      <c r="D131">
        <v>2018</v>
      </c>
      <c r="E131">
        <v>14.301</v>
      </c>
      <c r="F131">
        <v>2.9617</v>
      </c>
      <c r="G131">
        <v>566</v>
      </c>
      <c r="H131">
        <v>40.700000000000003</v>
      </c>
      <c r="I131">
        <v>74.2</v>
      </c>
      <c r="J131">
        <v>19.5</v>
      </c>
      <c r="K131">
        <v>14802.1</v>
      </c>
      <c r="L131">
        <v>0.8</v>
      </c>
      <c r="M131">
        <v>1.7</v>
      </c>
      <c r="N131">
        <v>518745</v>
      </c>
      <c r="O131">
        <v>37.159999999999997</v>
      </c>
      <c r="P131">
        <v>1.1399999999999999</v>
      </c>
      <c r="Q131">
        <v>4622.26</v>
      </c>
      <c r="R131">
        <v>38.6</v>
      </c>
      <c r="S131">
        <v>0.43560900000000002</v>
      </c>
      <c r="T131">
        <v>-0.4837032</v>
      </c>
      <c r="U131">
        <v>1.1859470000000001</v>
      </c>
      <c r="V131">
        <v>0.4557524</v>
      </c>
      <c r="W131">
        <v>0.39457120000000001</v>
      </c>
      <c r="X131">
        <v>-1.228817</v>
      </c>
      <c r="Y131">
        <v>1.800961</v>
      </c>
      <c r="Z131">
        <v>1.308403</v>
      </c>
      <c r="AA131">
        <v>0.361481</v>
      </c>
      <c r="AB131">
        <v>-5.7301400000000002E-2</v>
      </c>
      <c r="AC131">
        <v>2.0350480000000002</v>
      </c>
      <c r="AD131">
        <v>1.017703</v>
      </c>
      <c r="AE131">
        <v>-1.0111239999999999</v>
      </c>
      <c r="AF131">
        <v>2.1922500000000001E-2</v>
      </c>
      <c r="AG131">
        <v>1.301587</v>
      </c>
      <c r="AH131">
        <v>3.1892399999999999</v>
      </c>
      <c r="AI131">
        <v>2.6603289999999999</v>
      </c>
      <c r="AJ131">
        <v>1.085763</v>
      </c>
      <c r="AK131">
        <v>6.3385939999999996</v>
      </c>
      <c r="AL131">
        <v>4.3067640000000003</v>
      </c>
      <c r="AM131">
        <v>2.9704139999999999</v>
      </c>
      <c r="AN131">
        <v>9.602525</v>
      </c>
      <c r="AO131">
        <v>13.15917</v>
      </c>
      <c r="AP131">
        <v>0.13102820000000001</v>
      </c>
      <c r="AQ131">
        <v>8.4386399999999995</v>
      </c>
      <c r="AR131">
        <v>4.8093399999999997</v>
      </c>
      <c r="AS131">
        <v>2.7212999999999998</v>
      </c>
      <c r="AT131">
        <v>10.547000000000001</v>
      </c>
      <c r="AU131">
        <v>80.444000000000003</v>
      </c>
      <c r="AV131">
        <v>66.802300000000002</v>
      </c>
      <c r="AW131">
        <v>2.7859400000000001</v>
      </c>
      <c r="AX131" s="17">
        <v>77000000000</v>
      </c>
      <c r="AY131">
        <v>2.9549099999999999</v>
      </c>
      <c r="AZ131">
        <v>0.82</v>
      </c>
      <c r="BA131">
        <v>3.6152329999999999</v>
      </c>
      <c r="BB131">
        <v>3.6152329000000001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-0.59783699999999995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8.4615999999999997E-3</v>
      </c>
      <c r="CG131">
        <v>0.59043650000000003</v>
      </c>
      <c r="CH131">
        <v>0.46812599999999999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2.8544779999999998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0.34861530000000002</v>
      </c>
      <c r="DI131">
        <v>8.1480440000000005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0.48415789999999997</v>
      </c>
      <c r="DW131">
        <v>2.3406720000000001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13.87557</v>
      </c>
      <c r="EW131">
        <v>7.1711700000000003E-2</v>
      </c>
      <c r="EX131">
        <v>7.1276199999999998E-2</v>
      </c>
      <c r="EY131">
        <v>7.1543399999999993E-2</v>
      </c>
      <c r="EZ131">
        <v>7.1557999999999997E-2</v>
      </c>
      <c r="FA131">
        <v>7.17034E-2</v>
      </c>
      <c r="FB131">
        <v>7.1148100000000006E-2</v>
      </c>
      <c r="FC131">
        <v>7.0972300000000002E-2</v>
      </c>
      <c r="FD131">
        <v>7.1550900000000001E-2</v>
      </c>
      <c r="FE131">
        <v>7.1571200000000001E-2</v>
      </c>
      <c r="FF131">
        <v>7.0901599999999995E-2</v>
      </c>
      <c r="FG131">
        <v>7.1244799999999997E-2</v>
      </c>
      <c r="FH131">
        <v>7.1404300000000004E-2</v>
      </c>
      <c r="FI131">
        <v>7.1873000000000006E-2</v>
      </c>
      <c r="FJ131">
        <v>7.1541099999999996E-2</v>
      </c>
      <c r="FK131">
        <v>0.43519910000000001</v>
      </c>
      <c r="FL131">
        <v>0.18939819999999999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-0.4837032</v>
      </c>
      <c r="FZ131">
        <v>1.1859470000000001</v>
      </c>
      <c r="GA131">
        <v>0.4557524</v>
      </c>
      <c r="GB131">
        <v>-1.228817</v>
      </c>
      <c r="GC131">
        <v>1.308403</v>
      </c>
      <c r="GD131">
        <v>2.0350480000000002</v>
      </c>
      <c r="GE131">
        <v>1.301587</v>
      </c>
      <c r="GF131">
        <v>1.017703</v>
      </c>
      <c r="GG131">
        <v>-1.0111239999999999</v>
      </c>
      <c r="GH131">
        <v>4.7574750000000003</v>
      </c>
      <c r="GI131">
        <v>22.633569999999999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0.35686319999999999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3.9011290000000001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G131">
        <v>1</v>
      </c>
      <c r="MH131">
        <v>1</v>
      </c>
      <c r="MI131">
        <v>1</v>
      </c>
      <c r="MJ131">
        <v>1</v>
      </c>
      <c r="MK131">
        <v>1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1</v>
      </c>
      <c r="NK131">
        <v>1</v>
      </c>
      <c r="NL131">
        <v>1</v>
      </c>
      <c r="NM131">
        <v>1</v>
      </c>
      <c r="NN131">
        <v>1</v>
      </c>
      <c r="NO131">
        <v>1</v>
      </c>
      <c r="NP131">
        <v>111.2388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1</v>
      </c>
      <c r="NW131">
        <v>1</v>
      </c>
      <c r="NX131">
        <v>1</v>
      </c>
      <c r="NY131">
        <v>1</v>
      </c>
      <c r="NZ131">
        <v>1</v>
      </c>
      <c r="OA131">
        <v>1</v>
      </c>
      <c r="OB131">
        <v>1</v>
      </c>
      <c r="OC131">
        <v>19.2</v>
      </c>
      <c r="OD131">
        <v>38062.400000000001</v>
      </c>
      <c r="OE131">
        <v>0.55000000000000004</v>
      </c>
      <c r="OF131">
        <v>122.651</v>
      </c>
      <c r="OG131">
        <v>15.2</v>
      </c>
      <c r="OH131">
        <v>80.444000000000003</v>
      </c>
    </row>
    <row r="132" spans="1:398">
      <c r="A132">
        <v>12</v>
      </c>
      <c r="B132" t="s">
        <v>31</v>
      </c>
      <c r="C132" t="s">
        <v>30</v>
      </c>
      <c r="D132">
        <v>2019</v>
      </c>
      <c r="E132">
        <v>14.329000000000001</v>
      </c>
      <c r="F132">
        <v>2.9371999999999998</v>
      </c>
      <c r="G132">
        <v>609</v>
      </c>
      <c r="H132">
        <v>41</v>
      </c>
      <c r="I132">
        <v>76.5</v>
      </c>
      <c r="J132">
        <v>17.100000000000001</v>
      </c>
      <c r="K132">
        <v>9718.5</v>
      </c>
      <c r="L132">
        <v>0.8</v>
      </c>
      <c r="M132">
        <v>1.6</v>
      </c>
      <c r="N132">
        <v>524507</v>
      </c>
      <c r="O132">
        <v>52.41</v>
      </c>
      <c r="P132">
        <v>1.1200000000000001</v>
      </c>
      <c r="Q132">
        <v>4084.68</v>
      </c>
      <c r="R132">
        <v>37.5</v>
      </c>
      <c r="S132">
        <v>0.43163400000000002</v>
      </c>
      <c r="T132">
        <v>-0.48030119999999998</v>
      </c>
      <c r="U132">
        <v>1.162433</v>
      </c>
      <c r="V132">
        <v>0.78222849999999999</v>
      </c>
      <c r="W132">
        <v>0.413883</v>
      </c>
      <c r="X132">
        <v>-0.90934729999999997</v>
      </c>
      <c r="Y132">
        <v>1.416647</v>
      </c>
      <c r="Z132">
        <v>0.64503790000000005</v>
      </c>
      <c r="AA132">
        <v>0.361481</v>
      </c>
      <c r="AB132">
        <v>-0.18922800000000001</v>
      </c>
      <c r="AC132">
        <v>2.0656439999999998</v>
      </c>
      <c r="AD132">
        <v>0.91969449999999997</v>
      </c>
      <c r="AE132">
        <v>-1.1882360000000001</v>
      </c>
      <c r="AF132">
        <v>-3.6023300000000001E-2</v>
      </c>
      <c r="AG132">
        <v>2.0958559999999999</v>
      </c>
      <c r="AH132">
        <v>3.000321</v>
      </c>
      <c r="AI132">
        <v>2.6622859999999999</v>
      </c>
      <c r="AJ132">
        <v>1.0774570000000001</v>
      </c>
      <c r="AK132">
        <v>6.4118190000000004</v>
      </c>
      <c r="AL132">
        <v>4.3372909999999996</v>
      </c>
      <c r="AM132">
        <v>2.8390780000000002</v>
      </c>
      <c r="AN132">
        <v>9.1817869999999999</v>
      </c>
      <c r="AO132">
        <v>13.170210000000001</v>
      </c>
      <c r="AP132">
        <v>0.1133287</v>
      </c>
      <c r="AQ132">
        <v>8.3149999999999995</v>
      </c>
      <c r="AR132">
        <v>4.8126600000000002</v>
      </c>
      <c r="AS132">
        <v>2.7408399999999999</v>
      </c>
      <c r="AT132">
        <v>10.563700000000001</v>
      </c>
      <c r="AU132">
        <v>80.709000000000003</v>
      </c>
      <c r="AV132">
        <v>66.429000000000002</v>
      </c>
      <c r="AW132">
        <v>1.9648699999999999</v>
      </c>
      <c r="AX132" s="17">
        <v>53000000000</v>
      </c>
      <c r="AY132">
        <v>2.99072</v>
      </c>
      <c r="AZ132">
        <v>0.81</v>
      </c>
      <c r="BA132">
        <v>3.9590969999999999</v>
      </c>
      <c r="BB132">
        <v>3.9590974000000001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-0.24846099999999999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8.4588000000000007E-3</v>
      </c>
      <c r="CG132">
        <v>0.58184259999999999</v>
      </c>
      <c r="CH132">
        <v>0.449405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2.6266829999999999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0.33854079999999998</v>
      </c>
      <c r="DI132">
        <v>6.8994650000000002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0.4712925</v>
      </c>
      <c r="DW132">
        <v>2.1276139999999999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13.879390000000001</v>
      </c>
      <c r="EW132">
        <v>7.1692900000000004E-2</v>
      </c>
      <c r="EX132">
        <v>7.1270799999999995E-2</v>
      </c>
      <c r="EY132">
        <v>7.1473300000000003E-2</v>
      </c>
      <c r="EZ132">
        <v>7.1538400000000002E-2</v>
      </c>
      <c r="FA132">
        <v>7.1656700000000004E-2</v>
      </c>
      <c r="FB132">
        <v>7.12309E-2</v>
      </c>
      <c r="FC132">
        <v>7.1258100000000005E-2</v>
      </c>
      <c r="FD132">
        <v>7.1534700000000007E-2</v>
      </c>
      <c r="FE132">
        <v>7.1587499999999998E-2</v>
      </c>
      <c r="FF132">
        <v>7.0893800000000007E-2</v>
      </c>
      <c r="FG132">
        <v>7.1016700000000002E-2</v>
      </c>
      <c r="FH132">
        <v>7.1407600000000002E-2</v>
      </c>
      <c r="FI132">
        <v>7.1898100000000006E-2</v>
      </c>
      <c r="FJ132">
        <v>7.1540400000000004E-2</v>
      </c>
      <c r="FK132">
        <v>0.43119429999999997</v>
      </c>
      <c r="FL132">
        <v>0.1859286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-0.48030119999999998</v>
      </c>
      <c r="FZ132">
        <v>1.162433</v>
      </c>
      <c r="GA132">
        <v>0.78222849999999999</v>
      </c>
      <c r="GB132">
        <v>-0.90934729999999997</v>
      </c>
      <c r="GC132">
        <v>0.64503790000000005</v>
      </c>
      <c r="GD132">
        <v>2.0656439999999998</v>
      </c>
      <c r="GE132">
        <v>2.0958559999999999</v>
      </c>
      <c r="GF132">
        <v>0.91969449999999997</v>
      </c>
      <c r="GG132">
        <v>-1.1882360000000001</v>
      </c>
      <c r="GH132">
        <v>4.5392070000000002</v>
      </c>
      <c r="GI132">
        <v>20.604399999999998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0.34926740000000001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3.676758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1</v>
      </c>
      <c r="MI132">
        <v>1</v>
      </c>
      <c r="MJ132">
        <v>1</v>
      </c>
      <c r="MK132">
        <v>1</v>
      </c>
      <c r="ML132">
        <v>1</v>
      </c>
      <c r="MM132">
        <v>1</v>
      </c>
      <c r="MN132">
        <v>1</v>
      </c>
      <c r="MO132">
        <v>1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1</v>
      </c>
      <c r="NK132">
        <v>1</v>
      </c>
      <c r="NL132">
        <v>1</v>
      </c>
      <c r="NM132">
        <v>1</v>
      </c>
      <c r="NN132">
        <v>1</v>
      </c>
      <c r="NO132">
        <v>1</v>
      </c>
      <c r="NP132">
        <v>111.5924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1</v>
      </c>
      <c r="NW132">
        <v>1</v>
      </c>
      <c r="NX132">
        <v>1</v>
      </c>
      <c r="NY132">
        <v>1</v>
      </c>
      <c r="NZ132">
        <v>1</v>
      </c>
      <c r="OA132">
        <v>1</v>
      </c>
      <c r="OB132">
        <v>1</v>
      </c>
      <c r="OC132">
        <v>19.899999999999999</v>
      </c>
      <c r="OD132">
        <v>38705.199999999997</v>
      </c>
      <c r="OE132">
        <v>0.78</v>
      </c>
      <c r="OF132">
        <v>123.059</v>
      </c>
      <c r="OG132">
        <v>15.5</v>
      </c>
      <c r="OH132">
        <v>80.709000000000003</v>
      </c>
    </row>
    <row r="133" spans="1:398">
      <c r="A133">
        <v>12</v>
      </c>
      <c r="B133" t="s">
        <v>31</v>
      </c>
      <c r="C133" t="s">
        <v>30</v>
      </c>
      <c r="D133">
        <v>2020</v>
      </c>
      <c r="E133">
        <v>45.67</v>
      </c>
      <c r="F133">
        <v>2.988</v>
      </c>
      <c r="G133">
        <v>630</v>
      </c>
      <c r="H133">
        <v>41.7</v>
      </c>
      <c r="I133">
        <v>79.8</v>
      </c>
      <c r="J133">
        <v>16.2</v>
      </c>
      <c r="K133">
        <v>7103.1</v>
      </c>
      <c r="L133">
        <v>0.9</v>
      </c>
      <c r="M133">
        <v>1.7</v>
      </c>
      <c r="N133">
        <v>521357</v>
      </c>
      <c r="O133">
        <v>27.09</v>
      </c>
      <c r="P133">
        <v>1.07</v>
      </c>
      <c r="Q133">
        <v>3547.1</v>
      </c>
      <c r="R133">
        <v>36.700000000000003</v>
      </c>
      <c r="S133">
        <v>0.45416099999999998</v>
      </c>
      <c r="T133">
        <v>3.3274539999999999</v>
      </c>
      <c r="U133">
        <v>1.2111879999999999</v>
      </c>
      <c r="V133">
        <v>0.94167020000000001</v>
      </c>
      <c r="W133">
        <v>0.45894410000000002</v>
      </c>
      <c r="X133">
        <v>-0.45097860000000001</v>
      </c>
      <c r="Y133">
        <v>1.272529</v>
      </c>
      <c r="Z133">
        <v>0.3037514</v>
      </c>
      <c r="AA133">
        <v>0.6396153</v>
      </c>
      <c r="AB133">
        <v>-5.7301400000000002E-2</v>
      </c>
      <c r="AC133">
        <v>2.0489169999999999</v>
      </c>
      <c r="AD133">
        <v>0.67467390000000005</v>
      </c>
      <c r="AE133">
        <v>-1.3653470000000001</v>
      </c>
      <c r="AF133">
        <v>-7.8165799999999994E-2</v>
      </c>
      <c r="AG133">
        <v>0.77710849999999998</v>
      </c>
      <c r="AH133">
        <v>1.9849479999999999</v>
      </c>
      <c r="AI133">
        <v>3.8214419999999998</v>
      </c>
      <c r="AJ133">
        <v>1.0946039999999999</v>
      </c>
      <c r="AK133">
        <v>6.4457199999999997</v>
      </c>
      <c r="AL133">
        <v>4.379524</v>
      </c>
      <c r="AM133">
        <v>2.7850109999999999</v>
      </c>
      <c r="AN133">
        <v>8.8682859999999994</v>
      </c>
      <c r="AO133">
        <v>13.16419</v>
      </c>
      <c r="AP133">
        <v>6.7658700000000002E-2</v>
      </c>
      <c r="AQ133">
        <v>8.1738859999999995</v>
      </c>
      <c r="AR133">
        <v>4.8159099999999997</v>
      </c>
      <c r="AS133">
        <v>2.82138</v>
      </c>
      <c r="AT133">
        <v>10.4832</v>
      </c>
      <c r="AU133">
        <v>80.974999999999994</v>
      </c>
      <c r="AV133">
        <v>58.838900000000002</v>
      </c>
      <c r="AW133">
        <v>0.73147200000000001</v>
      </c>
      <c r="AX133" s="17">
        <v>19000000000</v>
      </c>
      <c r="AY133">
        <v>3.0155400000000001</v>
      </c>
      <c r="AZ133">
        <v>0.81</v>
      </c>
      <c r="BA133">
        <v>3.2991649999999999</v>
      </c>
      <c r="BB133">
        <v>3.2991647999999998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-0.91629099999999997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8.5456000000000004E-3</v>
      </c>
      <c r="CG133">
        <v>0.62023200000000001</v>
      </c>
      <c r="CH133">
        <v>0.41611100000000001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2.0118490000000002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0.38468780000000002</v>
      </c>
      <c r="DI133">
        <v>4.0475380000000003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0.5023879</v>
      </c>
      <c r="DW133">
        <v>1.6295980000000001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13.8805</v>
      </c>
      <c r="EW133">
        <v>7.1171200000000004E-2</v>
      </c>
      <c r="EX133">
        <v>7.1262599999999995E-2</v>
      </c>
      <c r="EY133">
        <v>7.1446499999999996E-2</v>
      </c>
      <c r="EZ133">
        <v>7.1528599999999998E-2</v>
      </c>
      <c r="FA133">
        <v>7.1613099999999999E-2</v>
      </c>
      <c r="FB133">
        <v>7.1269399999999997E-2</v>
      </c>
      <c r="FC133">
        <v>7.1427500000000005E-2</v>
      </c>
      <c r="FD133">
        <v>7.1476300000000006E-2</v>
      </c>
      <c r="FE133">
        <v>7.1551900000000002E-2</v>
      </c>
      <c r="FF133">
        <v>7.0913400000000001E-2</v>
      </c>
      <c r="FG133">
        <v>7.1399799999999999E-2</v>
      </c>
      <c r="FH133">
        <v>7.1450200000000005E-2</v>
      </c>
      <c r="FI133">
        <v>7.1940299999999999E-2</v>
      </c>
      <c r="FJ133">
        <v>7.1549299999999996E-2</v>
      </c>
      <c r="FK133">
        <v>0.45366980000000001</v>
      </c>
      <c r="FL133">
        <v>0.20581630000000001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3.3274539999999999</v>
      </c>
      <c r="FZ133">
        <v>1.2111879999999999</v>
      </c>
      <c r="GA133">
        <v>0.94167020000000001</v>
      </c>
      <c r="GB133">
        <v>-0.45097860000000001</v>
      </c>
      <c r="GC133">
        <v>0.3037514</v>
      </c>
      <c r="GD133">
        <v>2.0489169999999999</v>
      </c>
      <c r="GE133">
        <v>0.77710849999999998</v>
      </c>
      <c r="GF133">
        <v>0.67467390000000005</v>
      </c>
      <c r="GG133">
        <v>-1.3653470000000001</v>
      </c>
      <c r="GH133">
        <v>3.0160830000000001</v>
      </c>
      <c r="GI133">
        <v>9.0967579999999995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0.36747249999999998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2.4430269999999998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1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G133">
        <v>1</v>
      </c>
      <c r="MH133">
        <v>1</v>
      </c>
      <c r="MI133">
        <v>1</v>
      </c>
      <c r="MJ133">
        <v>1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109.89660000000001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1</v>
      </c>
      <c r="NW133">
        <v>1</v>
      </c>
      <c r="NX133">
        <v>1</v>
      </c>
      <c r="NY133">
        <v>1</v>
      </c>
      <c r="NZ133">
        <v>1</v>
      </c>
      <c r="OA133">
        <v>1</v>
      </c>
      <c r="OB133">
        <v>1</v>
      </c>
      <c r="OC133">
        <v>20.399999999999999</v>
      </c>
      <c r="OD133">
        <v>35709.199999999997</v>
      </c>
      <c r="OE133">
        <v>0.4</v>
      </c>
      <c r="OF133">
        <v>123.459</v>
      </c>
      <c r="OG133">
        <v>16.8</v>
      </c>
      <c r="OH133">
        <v>80.974999999999994</v>
      </c>
    </row>
    <row r="134" spans="1:398">
      <c r="A134">
        <v>13</v>
      </c>
      <c r="B134" t="s">
        <v>29</v>
      </c>
      <c r="C134" t="s">
        <v>28</v>
      </c>
      <c r="D134">
        <v>2010</v>
      </c>
      <c r="E134">
        <v>13.129</v>
      </c>
      <c r="F134">
        <v>1.0183</v>
      </c>
      <c r="G134">
        <v>534</v>
      </c>
      <c r="H134">
        <v>4.0999999999999996</v>
      </c>
      <c r="I134">
        <v>77.3</v>
      </c>
      <c r="J134">
        <v>1.6</v>
      </c>
      <c r="K134">
        <v>143.69999999999999</v>
      </c>
      <c r="L134">
        <v>0.2</v>
      </c>
      <c r="M134">
        <v>1.3</v>
      </c>
      <c r="N134">
        <v>43225</v>
      </c>
      <c r="O134">
        <v>1</v>
      </c>
      <c r="P134">
        <v>0.96</v>
      </c>
      <c r="Q134">
        <v>4813.01</v>
      </c>
      <c r="R134">
        <v>26.8</v>
      </c>
      <c r="S134">
        <v>0.171874</v>
      </c>
      <c r="T134">
        <v>-0.62609459999999995</v>
      </c>
      <c r="U134">
        <v>-0.67923120000000003</v>
      </c>
      <c r="V134">
        <v>0.2127935</v>
      </c>
      <c r="W134">
        <v>-1.9614769999999999</v>
      </c>
      <c r="X134">
        <v>-0.79822729999999997</v>
      </c>
      <c r="Y134">
        <v>-1.065383</v>
      </c>
      <c r="Z134">
        <v>-0.60438860000000005</v>
      </c>
      <c r="AA134">
        <v>-1.3073250000000001</v>
      </c>
      <c r="AB134">
        <v>-0.58500799999999997</v>
      </c>
      <c r="AC134">
        <v>-0.4899522</v>
      </c>
      <c r="AD134">
        <v>0.13562759999999999</v>
      </c>
      <c r="AE134">
        <v>-0.94828219999999996</v>
      </c>
      <c r="AF134">
        <v>-0.59967930000000003</v>
      </c>
      <c r="AG134">
        <v>-0.58174320000000002</v>
      </c>
      <c r="AH134">
        <v>-2.342209</v>
      </c>
      <c r="AI134">
        <v>2.574824</v>
      </c>
      <c r="AJ134">
        <v>1.8134600000000001E-2</v>
      </c>
      <c r="AK134">
        <v>6.2803959999999996</v>
      </c>
      <c r="AL134">
        <v>4.3476939999999997</v>
      </c>
      <c r="AM134">
        <v>0.47000360000000002</v>
      </c>
      <c r="AN134">
        <v>4.9677280000000001</v>
      </c>
      <c r="AO134">
        <v>10.67417</v>
      </c>
      <c r="AP134">
        <v>-4.0821999999999997E-2</v>
      </c>
      <c r="AQ134">
        <v>8.4790770000000002</v>
      </c>
      <c r="AR134">
        <v>4.3406000000000002</v>
      </c>
      <c r="AS134">
        <v>3.3945099999999999</v>
      </c>
      <c r="AT134">
        <v>9.38978</v>
      </c>
      <c r="AU134">
        <v>55.155000000000001</v>
      </c>
      <c r="AV134">
        <v>72.6387</v>
      </c>
      <c r="AW134">
        <v>2.6195400000000002</v>
      </c>
      <c r="AX134" s="17">
        <v>1500000000</v>
      </c>
      <c r="AY134">
        <v>3.5263599999999999</v>
      </c>
      <c r="AZ134">
        <v>0.48</v>
      </c>
      <c r="BA134">
        <v>0</v>
      </c>
      <c r="BB134">
        <v>0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-1.4696800000000001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0</v>
      </c>
      <c r="CG134">
        <v>0.3591047</v>
      </c>
      <c r="CH134">
        <v>9.3267000000000003E-2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-2.2539539999999998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0.12895619999999999</v>
      </c>
      <c r="DI134">
        <v>5.0803070000000004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0.1723703</v>
      </c>
      <c r="DW134">
        <v>-1.081898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13.95407</v>
      </c>
      <c r="EW134">
        <v>7.1339299999999994E-2</v>
      </c>
      <c r="EX134">
        <v>7.1391999999999997E-2</v>
      </c>
      <c r="EY134">
        <v>7.1193400000000004E-2</v>
      </c>
      <c r="EZ134">
        <v>7.1663699999999997E-2</v>
      </c>
      <c r="FA134">
        <v>7.1267499999999998E-2</v>
      </c>
      <c r="FB134">
        <v>7.1625599999999998E-2</v>
      </c>
      <c r="FC134">
        <v>7.1640599999999999E-2</v>
      </c>
      <c r="FD134">
        <v>7.1561600000000003E-2</v>
      </c>
      <c r="FE134">
        <v>7.1311700000000006E-2</v>
      </c>
      <c r="FF134">
        <v>7.1513099999999996E-2</v>
      </c>
      <c r="FG134">
        <v>7.1540300000000001E-2</v>
      </c>
      <c r="FH134">
        <v>7.1175299999999997E-2</v>
      </c>
      <c r="FI134">
        <v>7.1454500000000004E-2</v>
      </c>
      <c r="FJ134">
        <v>7.1321300000000004E-2</v>
      </c>
      <c r="FK134">
        <v>0.17153750000000001</v>
      </c>
      <c r="FL134">
        <v>2.9425099999999999E-2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-0.62609459999999995</v>
      </c>
      <c r="FZ134">
        <v>-0.67923120000000003</v>
      </c>
      <c r="GA134">
        <v>0.2127935</v>
      </c>
      <c r="GB134">
        <v>-0.79822729999999997</v>
      </c>
      <c r="GC134">
        <v>-0.60438860000000005</v>
      </c>
      <c r="GD134">
        <v>-0.4899522</v>
      </c>
      <c r="GE134">
        <v>-0.58174320000000002</v>
      </c>
      <c r="GF134">
        <v>0.13562759999999999</v>
      </c>
      <c r="GG134">
        <v>-0.94828219999999996</v>
      </c>
      <c r="GH134">
        <v>-3.2282670000000002</v>
      </c>
      <c r="GI134">
        <v>10.421709999999999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8.2337999999999995E-2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-1.5495680000000001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1</v>
      </c>
      <c r="LI134">
        <v>1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1</v>
      </c>
      <c r="LT134">
        <v>1</v>
      </c>
      <c r="LU134">
        <v>1</v>
      </c>
      <c r="LV134">
        <v>1</v>
      </c>
      <c r="LW134">
        <v>1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1</v>
      </c>
      <c r="MG134">
        <v>1</v>
      </c>
      <c r="MH134">
        <v>1</v>
      </c>
      <c r="MI134">
        <v>1</v>
      </c>
      <c r="MJ134">
        <v>1</v>
      </c>
      <c r="MK134">
        <v>1</v>
      </c>
      <c r="ML134">
        <v>1</v>
      </c>
      <c r="MM134">
        <v>1</v>
      </c>
      <c r="MN134">
        <v>1</v>
      </c>
      <c r="MO134">
        <v>1</v>
      </c>
      <c r="MP134">
        <v>1</v>
      </c>
      <c r="MQ134">
        <v>1</v>
      </c>
      <c r="MR134">
        <v>1</v>
      </c>
      <c r="MS134">
        <v>1</v>
      </c>
      <c r="MT134">
        <v>1</v>
      </c>
      <c r="MU134">
        <v>1</v>
      </c>
      <c r="MV134">
        <v>1</v>
      </c>
      <c r="MW134">
        <v>1</v>
      </c>
      <c r="MX134">
        <v>1</v>
      </c>
      <c r="MY134">
        <v>1</v>
      </c>
      <c r="MZ134">
        <v>1</v>
      </c>
      <c r="NA134">
        <v>1</v>
      </c>
      <c r="NB134">
        <v>1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1</v>
      </c>
      <c r="NJ134">
        <v>1</v>
      </c>
      <c r="NK134">
        <v>1</v>
      </c>
      <c r="NL134">
        <v>1</v>
      </c>
      <c r="NM134">
        <v>1</v>
      </c>
      <c r="NN134">
        <v>1</v>
      </c>
      <c r="NO134">
        <v>1</v>
      </c>
      <c r="NP134">
        <v>88.168019999999999</v>
      </c>
      <c r="NQ134">
        <v>1</v>
      </c>
      <c r="NR134">
        <v>1</v>
      </c>
      <c r="NS134">
        <v>1</v>
      </c>
      <c r="NT134">
        <v>1</v>
      </c>
      <c r="NU134">
        <v>1</v>
      </c>
      <c r="NV134">
        <v>1</v>
      </c>
      <c r="NW134">
        <v>1</v>
      </c>
      <c r="NX134">
        <v>1</v>
      </c>
      <c r="NY134">
        <v>1</v>
      </c>
      <c r="NZ134">
        <v>1</v>
      </c>
      <c r="OA134">
        <v>1</v>
      </c>
      <c r="OB134">
        <v>1</v>
      </c>
      <c r="OC134">
        <v>34</v>
      </c>
      <c r="OD134">
        <v>11965.5</v>
      </c>
      <c r="OE134">
        <v>0.23</v>
      </c>
      <c r="OF134">
        <v>76.753399999999999</v>
      </c>
      <c r="OG134">
        <v>29.8</v>
      </c>
      <c r="OH134">
        <v>55.155000000000001</v>
      </c>
    </row>
    <row r="135" spans="1:398">
      <c r="A135">
        <v>13</v>
      </c>
      <c r="B135" t="s">
        <v>29</v>
      </c>
      <c r="C135" t="s">
        <v>28</v>
      </c>
      <c r="D135">
        <v>2011</v>
      </c>
      <c r="E135">
        <v>14.028</v>
      </c>
      <c r="F135">
        <v>1.0214000000000001</v>
      </c>
      <c r="G135">
        <v>534</v>
      </c>
      <c r="H135">
        <v>8.3000000000000007</v>
      </c>
      <c r="I135">
        <v>84.5</v>
      </c>
      <c r="J135">
        <v>2.4</v>
      </c>
      <c r="K135">
        <v>1261.3</v>
      </c>
      <c r="L135">
        <v>0.3</v>
      </c>
      <c r="M135">
        <v>1.4</v>
      </c>
      <c r="N135">
        <v>42060</v>
      </c>
      <c r="O135">
        <v>0.67</v>
      </c>
      <c r="P135">
        <v>0.95</v>
      </c>
      <c r="Q135">
        <v>4633.22</v>
      </c>
      <c r="R135">
        <v>27.3</v>
      </c>
      <c r="S135">
        <v>0.191943</v>
      </c>
      <c r="T135">
        <v>-0.51687110000000003</v>
      </c>
      <c r="U135">
        <v>-0.67625599999999997</v>
      </c>
      <c r="V135">
        <v>0.2127935</v>
      </c>
      <c r="W135">
        <v>-1.6911099999999999</v>
      </c>
      <c r="X135">
        <v>0.20184859999999999</v>
      </c>
      <c r="Y135">
        <v>-0.93727819999999995</v>
      </c>
      <c r="Z135">
        <v>-0.45855170000000001</v>
      </c>
      <c r="AA135">
        <v>-1.029191</v>
      </c>
      <c r="AB135">
        <v>-0.45308130000000002</v>
      </c>
      <c r="AC135">
        <v>-0.49613829999999998</v>
      </c>
      <c r="AD135">
        <v>8.6623500000000006E-2</v>
      </c>
      <c r="AE135">
        <v>-1.0075149999999999</v>
      </c>
      <c r="AF135">
        <v>-0.57334019999999997</v>
      </c>
      <c r="AG135">
        <v>-0.59893070000000004</v>
      </c>
      <c r="AH135">
        <v>-2.2022059999999999</v>
      </c>
      <c r="AI135">
        <v>2.6410550000000002</v>
      </c>
      <c r="AJ135">
        <v>2.1174200000000001E-2</v>
      </c>
      <c r="AK135">
        <v>6.2803959999999996</v>
      </c>
      <c r="AL135">
        <v>4.4367510000000001</v>
      </c>
      <c r="AM135">
        <v>0.87546880000000005</v>
      </c>
      <c r="AN135">
        <v>7.1398979999999996</v>
      </c>
      <c r="AO135">
        <v>10.646850000000001</v>
      </c>
      <c r="AP135">
        <v>-5.12933E-2</v>
      </c>
      <c r="AQ135">
        <v>8.4410080000000001</v>
      </c>
      <c r="AR135">
        <v>4.3371500000000003</v>
      </c>
      <c r="AS135">
        <v>3.30322</v>
      </c>
      <c r="AT135">
        <v>9.3922500000000007</v>
      </c>
      <c r="AU135">
        <v>55.322000000000003</v>
      </c>
      <c r="AV135">
        <v>77.765699999999995</v>
      </c>
      <c r="AW135">
        <v>1.9855400000000001</v>
      </c>
      <c r="AX135" s="17">
        <v>1200000000</v>
      </c>
      <c r="AY135">
        <v>3.5695299999999999</v>
      </c>
      <c r="AZ135">
        <v>0.48</v>
      </c>
      <c r="BA135">
        <v>-0.40047749999999999</v>
      </c>
      <c r="BB135">
        <v>-0.40047753000000003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-1.8325800000000001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9.5370000000000003E-4</v>
      </c>
      <c r="CG135">
        <v>0.38884809999999997</v>
      </c>
      <c r="CH135">
        <v>0.107058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-1.9425829999999999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0.1512028</v>
      </c>
      <c r="DI135">
        <v>3.7736299999999998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0.18664710000000001</v>
      </c>
      <c r="DW135">
        <v>-0.93244000000000005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13.947850000000001</v>
      </c>
      <c r="EW135">
        <v>7.1354600000000004E-2</v>
      </c>
      <c r="EX135">
        <v>7.1423799999999996E-2</v>
      </c>
      <c r="EY135">
        <v>7.1228100000000003E-2</v>
      </c>
      <c r="EZ135">
        <v>7.1612099999999998E-2</v>
      </c>
      <c r="FA135">
        <v>7.1217799999999998E-2</v>
      </c>
      <c r="FB135">
        <v>7.1597400000000005E-2</v>
      </c>
      <c r="FC135">
        <v>7.1545600000000001E-2</v>
      </c>
      <c r="FD135">
        <v>7.1512900000000004E-2</v>
      </c>
      <c r="FE135">
        <v>7.1310399999999996E-2</v>
      </c>
      <c r="FF135">
        <v>7.1548799999999996E-2</v>
      </c>
      <c r="FG135">
        <v>7.1581099999999995E-2</v>
      </c>
      <c r="FH135">
        <v>7.1219299999999999E-2</v>
      </c>
      <c r="FI135">
        <v>7.1501099999999998E-2</v>
      </c>
      <c r="FJ135">
        <v>7.1346800000000002E-2</v>
      </c>
      <c r="FK135">
        <v>0.19164819999999999</v>
      </c>
      <c r="FL135">
        <v>3.6728999999999998E-2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-0.51687110000000003</v>
      </c>
      <c r="FZ135">
        <v>-0.67625599999999997</v>
      </c>
      <c r="GA135">
        <v>0.2127935</v>
      </c>
      <c r="GB135">
        <v>0.20184859999999999</v>
      </c>
      <c r="GC135">
        <v>-0.45855170000000001</v>
      </c>
      <c r="GD135">
        <v>-0.49613829999999998</v>
      </c>
      <c r="GE135">
        <v>-0.59893070000000004</v>
      </c>
      <c r="GF135">
        <v>8.6623500000000006E-2</v>
      </c>
      <c r="GG135">
        <v>-1.0075149999999999</v>
      </c>
      <c r="GH135">
        <v>-3.037277</v>
      </c>
      <c r="GI135">
        <v>9.2250519999999998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9.1991100000000006E-2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-1.4578930000000001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1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1</v>
      </c>
      <c r="MG135">
        <v>1</v>
      </c>
      <c r="MH135">
        <v>1</v>
      </c>
      <c r="MI135">
        <v>1</v>
      </c>
      <c r="MJ135">
        <v>1</v>
      </c>
      <c r="MK135">
        <v>1</v>
      </c>
      <c r="ML135">
        <v>1</v>
      </c>
      <c r="MM135">
        <v>1</v>
      </c>
      <c r="MN135">
        <v>1</v>
      </c>
      <c r="MO135">
        <v>1</v>
      </c>
      <c r="MP135">
        <v>1</v>
      </c>
      <c r="MQ135">
        <v>1</v>
      </c>
      <c r="MR135">
        <v>1</v>
      </c>
      <c r="MS135">
        <v>1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1</v>
      </c>
      <c r="NJ135">
        <v>1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88.214429999999993</v>
      </c>
      <c r="NQ135">
        <v>1</v>
      </c>
      <c r="NR135">
        <v>1</v>
      </c>
      <c r="NS135">
        <v>1</v>
      </c>
      <c r="NT135">
        <v>1</v>
      </c>
      <c r="NU135">
        <v>1</v>
      </c>
      <c r="NV135">
        <v>1</v>
      </c>
      <c r="NW135">
        <v>1</v>
      </c>
      <c r="NX135">
        <v>1</v>
      </c>
      <c r="NY135">
        <v>1</v>
      </c>
      <c r="NZ135">
        <v>1</v>
      </c>
      <c r="OA135">
        <v>1</v>
      </c>
      <c r="OB135">
        <v>1</v>
      </c>
      <c r="OC135">
        <v>35.5</v>
      </c>
      <c r="OD135">
        <v>11995.1</v>
      </c>
      <c r="OE135">
        <v>0.16</v>
      </c>
      <c r="OF135">
        <v>76.488900000000001</v>
      </c>
      <c r="OG135">
        <v>27.2</v>
      </c>
      <c r="OH135">
        <v>55.322000000000003</v>
      </c>
    </row>
    <row r="136" spans="1:398">
      <c r="A136">
        <v>13</v>
      </c>
      <c r="B136" t="s">
        <v>29</v>
      </c>
      <c r="C136" t="s">
        <v>28</v>
      </c>
      <c r="D136">
        <v>2012</v>
      </c>
      <c r="E136">
        <v>12.949</v>
      </c>
      <c r="F136">
        <v>1.0851999999999999</v>
      </c>
      <c r="G136">
        <v>534</v>
      </c>
      <c r="H136">
        <v>14.7</v>
      </c>
      <c r="I136">
        <v>92.3</v>
      </c>
      <c r="J136">
        <v>3.5</v>
      </c>
      <c r="K136">
        <v>1237.2</v>
      </c>
      <c r="L136">
        <v>0.4</v>
      </c>
      <c r="M136">
        <v>1.5</v>
      </c>
      <c r="N136">
        <v>42218</v>
      </c>
      <c r="O136">
        <v>0.17</v>
      </c>
      <c r="P136">
        <v>0.96</v>
      </c>
      <c r="Q136">
        <v>4524.54</v>
      </c>
      <c r="R136">
        <v>28.4</v>
      </c>
      <c r="S136">
        <v>0.214777</v>
      </c>
      <c r="T136">
        <v>-0.64796350000000003</v>
      </c>
      <c r="U136">
        <v>-0.61502400000000002</v>
      </c>
      <c r="V136">
        <v>0.2127935</v>
      </c>
      <c r="W136">
        <v>-1.2791239999999999</v>
      </c>
      <c r="X136">
        <v>1.2852650000000001</v>
      </c>
      <c r="Y136">
        <v>-0.76113410000000004</v>
      </c>
      <c r="Z136">
        <v>-0.46169660000000001</v>
      </c>
      <c r="AA136">
        <v>-0.75105639999999996</v>
      </c>
      <c r="AB136">
        <v>-0.32115470000000002</v>
      </c>
      <c r="AC136">
        <v>-0.4952993</v>
      </c>
      <c r="AD136">
        <v>0.13562759999999999</v>
      </c>
      <c r="AE136">
        <v>-1.0433220000000001</v>
      </c>
      <c r="AF136">
        <v>-0.51539429999999997</v>
      </c>
      <c r="AG136">
        <v>-0.62497219999999998</v>
      </c>
      <c r="AH136">
        <v>-1.9663980000000001</v>
      </c>
      <c r="AI136">
        <v>2.5610189999999999</v>
      </c>
      <c r="AJ136">
        <v>8.1764299999999998E-2</v>
      </c>
      <c r="AK136">
        <v>6.2803959999999996</v>
      </c>
      <c r="AL136">
        <v>4.5250440000000003</v>
      </c>
      <c r="AM136">
        <v>1.2527630000000001</v>
      </c>
      <c r="AN136">
        <v>7.1206060000000004</v>
      </c>
      <c r="AO136">
        <v>10.650600000000001</v>
      </c>
      <c r="AP136">
        <v>-4.0821999999999997E-2</v>
      </c>
      <c r="AQ136">
        <v>8.4172709999999995</v>
      </c>
      <c r="AR136">
        <v>4.3323999999999998</v>
      </c>
      <c r="AS136">
        <v>3.3809999999999998</v>
      </c>
      <c r="AT136">
        <v>9.3742000000000001</v>
      </c>
      <c r="AU136">
        <v>55.506</v>
      </c>
      <c r="AV136">
        <v>79.002300000000005</v>
      </c>
      <c r="AW136">
        <v>2.5457000000000001</v>
      </c>
      <c r="AX136" s="17">
        <v>1500000000</v>
      </c>
      <c r="AY136">
        <v>3.6243400000000001</v>
      </c>
      <c r="AZ136">
        <v>0.5</v>
      </c>
      <c r="BA136">
        <v>-1.771957</v>
      </c>
      <c r="BB136">
        <v>-1.7719568000000001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-3.21888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2.4011000000000002E-3</v>
      </c>
      <c r="CG136">
        <v>0.40544019999999997</v>
      </c>
      <c r="CH136">
        <v>0.11837499999999999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-1.8660859999999999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0.16438179999999999</v>
      </c>
      <c r="DI136">
        <v>3.482278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0.20272009999999999</v>
      </c>
      <c r="DW136">
        <v>-0.93304310000000001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13.94303</v>
      </c>
      <c r="EW136">
        <v>7.1401999999999993E-2</v>
      </c>
      <c r="EX136">
        <v>7.1429999999999993E-2</v>
      </c>
      <c r="EY136">
        <v>7.1255499999999999E-2</v>
      </c>
      <c r="EZ136">
        <v>7.1538000000000004E-2</v>
      </c>
      <c r="FA136">
        <v>7.1160799999999996E-2</v>
      </c>
      <c r="FB136">
        <v>7.1550500000000003E-2</v>
      </c>
      <c r="FC136">
        <v>7.1572999999999998E-2</v>
      </c>
      <c r="FD136">
        <v>7.1465500000000001E-2</v>
      </c>
      <c r="FE136">
        <v>7.1303199999999997E-2</v>
      </c>
      <c r="FF136">
        <v>7.1573300000000006E-2</v>
      </c>
      <c r="FG136">
        <v>7.16194E-2</v>
      </c>
      <c r="FH136">
        <v>7.1237800000000004E-2</v>
      </c>
      <c r="FI136">
        <v>7.1534899999999998E-2</v>
      </c>
      <c r="FJ136">
        <v>7.1356100000000006E-2</v>
      </c>
      <c r="FK136">
        <v>0.2144694</v>
      </c>
      <c r="FL136">
        <v>4.5997099999999999E-2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-0.64796350000000003</v>
      </c>
      <c r="FZ136">
        <v>-0.61502400000000002</v>
      </c>
      <c r="GA136">
        <v>0.2127935</v>
      </c>
      <c r="GB136">
        <v>1.2852650000000001</v>
      </c>
      <c r="GC136">
        <v>-0.46169660000000001</v>
      </c>
      <c r="GD136">
        <v>-0.4952993</v>
      </c>
      <c r="GE136">
        <v>-0.62497219999999998</v>
      </c>
      <c r="GF136">
        <v>0.13562759999999999</v>
      </c>
      <c r="GG136">
        <v>-1.0433220000000001</v>
      </c>
      <c r="GH136">
        <v>-2.7189109999999999</v>
      </c>
      <c r="GI136">
        <v>7.3924750000000001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0.1072347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-1.3594550000000001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  <c r="KW136">
        <v>1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1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1</v>
      </c>
      <c r="LR136">
        <v>1</v>
      </c>
      <c r="LS136">
        <v>1</v>
      </c>
      <c r="LT136">
        <v>1</v>
      </c>
      <c r="LU136">
        <v>1</v>
      </c>
      <c r="LV136">
        <v>1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1</v>
      </c>
      <c r="MG136">
        <v>1</v>
      </c>
      <c r="MH136">
        <v>1</v>
      </c>
      <c r="MI136">
        <v>1</v>
      </c>
      <c r="MJ136">
        <v>1</v>
      </c>
      <c r="MK136">
        <v>1</v>
      </c>
      <c r="ML136">
        <v>1</v>
      </c>
      <c r="MM136">
        <v>1</v>
      </c>
      <c r="MN136">
        <v>1</v>
      </c>
      <c r="MO136">
        <v>1</v>
      </c>
      <c r="MP136">
        <v>1</v>
      </c>
      <c r="MQ136">
        <v>1</v>
      </c>
      <c r="MR136">
        <v>1</v>
      </c>
      <c r="MS136">
        <v>1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1</v>
      </c>
      <c r="NJ136">
        <v>1</v>
      </c>
      <c r="NK136">
        <v>1</v>
      </c>
      <c r="NL136">
        <v>1</v>
      </c>
      <c r="NM136">
        <v>1</v>
      </c>
      <c r="NN136">
        <v>1</v>
      </c>
      <c r="NO136">
        <v>1</v>
      </c>
      <c r="NP136">
        <v>87.875640000000004</v>
      </c>
      <c r="NQ136">
        <v>1</v>
      </c>
      <c r="NR136">
        <v>1</v>
      </c>
      <c r="NS136">
        <v>1</v>
      </c>
      <c r="NT136">
        <v>1</v>
      </c>
      <c r="NU136">
        <v>1</v>
      </c>
      <c r="NV136">
        <v>1</v>
      </c>
      <c r="NW136">
        <v>1</v>
      </c>
      <c r="NX136">
        <v>1</v>
      </c>
      <c r="NY136">
        <v>1</v>
      </c>
      <c r="NZ136">
        <v>1</v>
      </c>
      <c r="OA136">
        <v>1</v>
      </c>
      <c r="OB136">
        <v>1</v>
      </c>
      <c r="OC136">
        <v>37.5</v>
      </c>
      <c r="OD136">
        <v>11780.5</v>
      </c>
      <c r="OE136">
        <v>0.04</v>
      </c>
      <c r="OF136">
        <v>76.126900000000006</v>
      </c>
      <c r="OG136">
        <v>29.4</v>
      </c>
      <c r="OH136">
        <v>55.506</v>
      </c>
    </row>
    <row r="137" spans="1:398">
      <c r="A137">
        <v>13</v>
      </c>
      <c r="B137" t="s">
        <v>29</v>
      </c>
      <c r="C137" t="s">
        <v>28</v>
      </c>
      <c r="D137">
        <v>2013</v>
      </c>
      <c r="E137">
        <v>13.071</v>
      </c>
      <c r="F137">
        <v>1.0516000000000001</v>
      </c>
      <c r="G137">
        <v>527</v>
      </c>
      <c r="H137">
        <v>14.9</v>
      </c>
      <c r="I137">
        <v>97.4</v>
      </c>
      <c r="J137">
        <v>3.9</v>
      </c>
      <c r="K137">
        <v>1855.1</v>
      </c>
      <c r="L137">
        <v>0.5</v>
      </c>
      <c r="M137">
        <v>1.6</v>
      </c>
      <c r="N137">
        <v>42218</v>
      </c>
      <c r="O137">
        <v>0.66749999999999998</v>
      </c>
      <c r="P137">
        <v>0.97</v>
      </c>
      <c r="Q137">
        <v>4589.18</v>
      </c>
      <c r="R137">
        <v>27.6</v>
      </c>
      <c r="S137">
        <v>0.22647600000000001</v>
      </c>
      <c r="T137">
        <v>-0.63314119999999996</v>
      </c>
      <c r="U137">
        <v>-0.64727159999999995</v>
      </c>
      <c r="V137">
        <v>0.15964629999999999</v>
      </c>
      <c r="W137">
        <v>-1.2662500000000001</v>
      </c>
      <c r="X137">
        <v>1.993652</v>
      </c>
      <c r="Y137">
        <v>-0.69708170000000003</v>
      </c>
      <c r="Z137">
        <v>-0.38106610000000002</v>
      </c>
      <c r="AA137">
        <v>-0.47292210000000001</v>
      </c>
      <c r="AB137">
        <v>-0.18922800000000001</v>
      </c>
      <c r="AC137">
        <v>-0.4952993</v>
      </c>
      <c r="AD137">
        <v>0.18463199999999999</v>
      </c>
      <c r="AE137">
        <v>-1.022025</v>
      </c>
      <c r="AF137">
        <v>-0.5575367</v>
      </c>
      <c r="AG137">
        <v>-0.59906079999999995</v>
      </c>
      <c r="AH137">
        <v>-1.928437</v>
      </c>
      <c r="AI137">
        <v>2.5703960000000001</v>
      </c>
      <c r="AJ137">
        <v>5.0312799999999998E-2</v>
      </c>
      <c r="AK137">
        <v>6.2671999999999999</v>
      </c>
      <c r="AL137">
        <v>4.5788260000000003</v>
      </c>
      <c r="AM137">
        <v>1.3609770000000001</v>
      </c>
      <c r="AN137">
        <v>7.5256939999999997</v>
      </c>
      <c r="AO137">
        <v>10.650600000000001</v>
      </c>
      <c r="AP137">
        <v>-3.0459199999999999E-2</v>
      </c>
      <c r="AQ137">
        <v>8.431457</v>
      </c>
      <c r="AR137">
        <v>4.3261799999999999</v>
      </c>
      <c r="AS137">
        <v>3.4904299999999999</v>
      </c>
      <c r="AT137">
        <v>9.3791700000000002</v>
      </c>
      <c r="AU137">
        <v>55.706000000000003</v>
      </c>
      <c r="AV137">
        <v>80.910499999999999</v>
      </c>
      <c r="AW137">
        <v>1.59378</v>
      </c>
      <c r="AX137" s="17">
        <v>950000000</v>
      </c>
      <c r="AY137">
        <v>3.6109200000000001</v>
      </c>
      <c r="AZ137">
        <v>0.49</v>
      </c>
      <c r="BA137">
        <v>-0.40421590000000002</v>
      </c>
      <c r="BB137">
        <v>-0.40421586999999998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-2.5776400000000002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2.4404000000000001E-3</v>
      </c>
      <c r="CG137">
        <v>0.4220487</v>
      </c>
      <c r="CH137">
        <v>0.12650700000000001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-1.563598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0.17812510000000001</v>
      </c>
      <c r="DI137">
        <v>2.444839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0.20680390000000001</v>
      </c>
      <c r="DW137">
        <v>-0.76616309999999999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13.93998</v>
      </c>
      <c r="EW137">
        <v>7.1416400000000005E-2</v>
      </c>
      <c r="EX137">
        <v>7.1456699999999998E-2</v>
      </c>
      <c r="EY137">
        <v>7.1282799999999993E-2</v>
      </c>
      <c r="EZ137">
        <v>7.1551199999999995E-2</v>
      </c>
      <c r="FA137">
        <v>7.11281E-2</v>
      </c>
      <c r="FB137">
        <v>7.1542300000000003E-2</v>
      </c>
      <c r="FC137">
        <v>7.1529700000000002E-2</v>
      </c>
      <c r="FD137">
        <v>7.1414699999999998E-2</v>
      </c>
      <c r="FE137">
        <v>7.1288400000000002E-2</v>
      </c>
      <c r="FF137">
        <v>7.1589200000000006E-2</v>
      </c>
      <c r="FG137">
        <v>7.1621799999999999E-2</v>
      </c>
      <c r="FH137">
        <v>7.1247500000000005E-2</v>
      </c>
      <c r="FI137">
        <v>7.1545700000000004E-2</v>
      </c>
      <c r="FJ137">
        <v>7.1385500000000005E-2</v>
      </c>
      <c r="FK137">
        <v>0.2261553</v>
      </c>
      <c r="FL137">
        <v>5.1146200000000003E-2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-0.63314119999999996</v>
      </c>
      <c r="FZ137">
        <v>-0.64727159999999995</v>
      </c>
      <c r="GA137">
        <v>0.15964629999999999</v>
      </c>
      <c r="GB137">
        <v>1.993652</v>
      </c>
      <c r="GC137">
        <v>-0.38106610000000002</v>
      </c>
      <c r="GD137">
        <v>-0.4952993</v>
      </c>
      <c r="GE137">
        <v>-0.59906079999999995</v>
      </c>
      <c r="GF137">
        <v>0.18463199999999999</v>
      </c>
      <c r="GG137">
        <v>-1.022025</v>
      </c>
      <c r="GH137">
        <v>-2.6566770000000002</v>
      </c>
      <c r="GI137">
        <v>7.0579330000000002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0.1108161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-1.3017719999999999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1</v>
      </c>
      <c r="LG137">
        <v>1</v>
      </c>
      <c r="LH137">
        <v>1</v>
      </c>
      <c r="LI137">
        <v>1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1</v>
      </c>
      <c r="LR137">
        <v>1</v>
      </c>
      <c r="LS137">
        <v>1</v>
      </c>
      <c r="LT137">
        <v>1</v>
      </c>
      <c r="LU137">
        <v>1</v>
      </c>
      <c r="LV137">
        <v>1</v>
      </c>
      <c r="LW137">
        <v>1</v>
      </c>
      <c r="LX137">
        <v>1</v>
      </c>
      <c r="LY137">
        <v>1</v>
      </c>
      <c r="LZ137">
        <v>1</v>
      </c>
      <c r="MA137">
        <v>1</v>
      </c>
      <c r="MB137">
        <v>1</v>
      </c>
      <c r="MC137">
        <v>1</v>
      </c>
      <c r="MD137">
        <v>1</v>
      </c>
      <c r="ME137">
        <v>1</v>
      </c>
      <c r="MF137">
        <v>1</v>
      </c>
      <c r="MG137">
        <v>1</v>
      </c>
      <c r="MH137">
        <v>1</v>
      </c>
      <c r="MI137">
        <v>1</v>
      </c>
      <c r="MJ137">
        <v>1</v>
      </c>
      <c r="MK137">
        <v>1</v>
      </c>
      <c r="ML137">
        <v>1</v>
      </c>
      <c r="MM137">
        <v>1</v>
      </c>
      <c r="MN137">
        <v>1</v>
      </c>
      <c r="MO137">
        <v>1</v>
      </c>
      <c r="MP137">
        <v>1</v>
      </c>
      <c r="MQ137">
        <v>1</v>
      </c>
      <c r="MR137">
        <v>1</v>
      </c>
      <c r="MS137">
        <v>1</v>
      </c>
      <c r="MT137">
        <v>1</v>
      </c>
      <c r="MU137">
        <v>1</v>
      </c>
      <c r="MV137">
        <v>1</v>
      </c>
      <c r="MW137">
        <v>1</v>
      </c>
      <c r="MX137">
        <v>1</v>
      </c>
      <c r="MY137">
        <v>1</v>
      </c>
      <c r="MZ137">
        <v>1</v>
      </c>
      <c r="NA137">
        <v>1</v>
      </c>
      <c r="NB137">
        <v>1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1</v>
      </c>
      <c r="NJ137">
        <v>1</v>
      </c>
      <c r="NK137">
        <v>1</v>
      </c>
      <c r="NL137">
        <v>1</v>
      </c>
      <c r="NM137">
        <v>1</v>
      </c>
      <c r="NN137">
        <v>1</v>
      </c>
      <c r="NO137">
        <v>1</v>
      </c>
      <c r="NP137">
        <v>87.968860000000006</v>
      </c>
      <c r="NQ137">
        <v>1</v>
      </c>
      <c r="NR137">
        <v>1</v>
      </c>
      <c r="NS137">
        <v>1</v>
      </c>
      <c r="NT137">
        <v>1</v>
      </c>
      <c r="NU137">
        <v>1</v>
      </c>
      <c r="NV137">
        <v>1</v>
      </c>
      <c r="NW137">
        <v>1</v>
      </c>
      <c r="NX137">
        <v>1</v>
      </c>
      <c r="NY137">
        <v>1</v>
      </c>
      <c r="NZ137">
        <v>1</v>
      </c>
      <c r="OA137">
        <v>1</v>
      </c>
      <c r="OB137">
        <v>1</v>
      </c>
      <c r="OC137">
        <v>37</v>
      </c>
      <c r="OD137">
        <v>11839.2</v>
      </c>
      <c r="OE137">
        <v>0</v>
      </c>
      <c r="OF137">
        <v>75.654399999999995</v>
      </c>
      <c r="OG137">
        <v>32.799999999999997</v>
      </c>
      <c r="OH137">
        <v>55.706000000000003</v>
      </c>
    </row>
    <row r="138" spans="1:398">
      <c r="A138">
        <v>13</v>
      </c>
      <c r="B138" t="s">
        <v>29</v>
      </c>
      <c r="C138" t="s">
        <v>28</v>
      </c>
      <c r="D138">
        <v>2014</v>
      </c>
      <c r="E138">
        <v>11.771000000000001</v>
      </c>
      <c r="F138">
        <v>1.1405000000000001</v>
      </c>
      <c r="G138">
        <v>520</v>
      </c>
      <c r="H138">
        <v>16.399999999999999</v>
      </c>
      <c r="I138">
        <v>95.7</v>
      </c>
      <c r="J138">
        <v>4.8</v>
      </c>
      <c r="K138">
        <v>2129.1999999999998</v>
      </c>
      <c r="L138">
        <v>0.6</v>
      </c>
      <c r="M138">
        <v>1.8</v>
      </c>
      <c r="N138">
        <v>45261</v>
      </c>
      <c r="O138">
        <v>1.165</v>
      </c>
      <c r="P138">
        <v>0.98</v>
      </c>
      <c r="Q138">
        <v>4624.07</v>
      </c>
      <c r="R138">
        <v>28.3</v>
      </c>
      <c r="S138">
        <v>0.23640600000000001</v>
      </c>
      <c r="T138">
        <v>-0.79108389999999995</v>
      </c>
      <c r="U138">
        <v>-0.56194980000000005</v>
      </c>
      <c r="V138">
        <v>0.106499</v>
      </c>
      <c r="W138">
        <v>-1.1696899999999999</v>
      </c>
      <c r="X138">
        <v>1.757522</v>
      </c>
      <c r="Y138">
        <v>-0.55296389999999995</v>
      </c>
      <c r="Z138">
        <v>-0.34529850000000001</v>
      </c>
      <c r="AA138">
        <v>-0.19478770000000001</v>
      </c>
      <c r="AB138">
        <v>7.46251E-2</v>
      </c>
      <c r="AC138">
        <v>-0.47914109999999999</v>
      </c>
      <c r="AD138">
        <v>0.23363619999999999</v>
      </c>
      <c r="AE138">
        <v>-1.010529</v>
      </c>
      <c r="AF138">
        <v>-0.52066210000000002</v>
      </c>
      <c r="AG138">
        <v>-0.57314940000000003</v>
      </c>
      <c r="AH138">
        <v>-1.6471420000000001</v>
      </c>
      <c r="AI138">
        <v>2.4656389999999999</v>
      </c>
      <c r="AJ138">
        <v>0.13146669999999999</v>
      </c>
      <c r="AK138">
        <v>6.2538289999999996</v>
      </c>
      <c r="AL138">
        <v>4.5612180000000002</v>
      </c>
      <c r="AM138">
        <v>1.568616</v>
      </c>
      <c r="AN138">
        <v>7.6635020000000003</v>
      </c>
      <c r="AO138">
        <v>10.7202</v>
      </c>
      <c r="AP138">
        <v>-2.0202700000000001E-2</v>
      </c>
      <c r="AQ138">
        <v>8.4390319999999992</v>
      </c>
      <c r="AR138">
        <v>4.3185099999999998</v>
      </c>
      <c r="AS138">
        <v>3.5145300000000002</v>
      </c>
      <c r="AT138">
        <v>9.3812599999999993</v>
      </c>
      <c r="AU138">
        <v>55.923000000000002</v>
      </c>
      <c r="AV138">
        <v>85.209199999999996</v>
      </c>
      <c r="AW138">
        <v>5.3474700000000004</v>
      </c>
      <c r="AX138" s="17">
        <v>3200000000</v>
      </c>
      <c r="AY138">
        <v>3.6243400000000001</v>
      </c>
      <c r="AZ138">
        <v>0.49</v>
      </c>
      <c r="BA138">
        <v>0.152721</v>
      </c>
      <c r="BB138">
        <v>0.15272105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-1.9363999999999999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2.7715999999999999E-3</v>
      </c>
      <c r="CG138">
        <v>0.43320940000000002</v>
      </c>
      <c r="CH138">
        <v>0.13786799999999999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-1.1554850000000001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0.18767039999999999</v>
      </c>
      <c r="DI138">
        <v>1.3351459999999999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0.21227260000000001</v>
      </c>
      <c r="DW138">
        <v>-0.56618769999999996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13.93688</v>
      </c>
      <c r="EW138">
        <v>7.1459400000000006E-2</v>
      </c>
      <c r="EX138">
        <v>7.1446999999999997E-2</v>
      </c>
      <c r="EY138">
        <v>7.1310200000000004E-2</v>
      </c>
      <c r="EZ138">
        <v>7.1546399999999996E-2</v>
      </c>
      <c r="FA138">
        <v>7.1166099999999996E-2</v>
      </c>
      <c r="FB138">
        <v>7.1506700000000006E-2</v>
      </c>
      <c r="FC138">
        <v>7.1521199999999993E-2</v>
      </c>
      <c r="FD138">
        <v>7.1368799999999996E-2</v>
      </c>
      <c r="FE138">
        <v>7.1244100000000005E-2</v>
      </c>
      <c r="FF138">
        <v>7.1596099999999996E-2</v>
      </c>
      <c r="FG138">
        <v>7.1624900000000005E-2</v>
      </c>
      <c r="FH138">
        <v>7.1257500000000001E-2</v>
      </c>
      <c r="FI138">
        <v>7.1559300000000006E-2</v>
      </c>
      <c r="FJ138">
        <v>7.1392200000000003E-2</v>
      </c>
      <c r="FK138">
        <v>0.23612130000000001</v>
      </c>
      <c r="FL138">
        <v>5.5753200000000003E-2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-0.79108389999999995</v>
      </c>
      <c r="FZ138">
        <v>-0.56194980000000005</v>
      </c>
      <c r="GA138">
        <v>0.106499</v>
      </c>
      <c r="GB138">
        <v>1.757522</v>
      </c>
      <c r="GC138">
        <v>-0.34529850000000001</v>
      </c>
      <c r="GD138">
        <v>-0.47914109999999999</v>
      </c>
      <c r="GE138">
        <v>-0.57314940000000003</v>
      </c>
      <c r="GF138">
        <v>0.23363619999999999</v>
      </c>
      <c r="GG138">
        <v>-1.010529</v>
      </c>
      <c r="GH138">
        <v>-2.262721</v>
      </c>
      <c r="GI138">
        <v>5.1199079999999997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0.11569939999999999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-1.108733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1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1</v>
      </c>
      <c r="JX138">
        <v>1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1</v>
      </c>
      <c r="KQ138">
        <v>1</v>
      </c>
      <c r="KR138">
        <v>1</v>
      </c>
      <c r="KS138">
        <v>1</v>
      </c>
      <c r="KT138">
        <v>1</v>
      </c>
      <c r="KU138">
        <v>1</v>
      </c>
      <c r="KV138">
        <v>1</v>
      </c>
      <c r="KW138">
        <v>1</v>
      </c>
      <c r="KX138">
        <v>1</v>
      </c>
      <c r="KY138">
        <v>1</v>
      </c>
      <c r="KZ138">
        <v>1</v>
      </c>
      <c r="LA138">
        <v>1</v>
      </c>
      <c r="LB138">
        <v>1</v>
      </c>
      <c r="LC138">
        <v>1</v>
      </c>
      <c r="LD138">
        <v>1</v>
      </c>
      <c r="LE138">
        <v>1</v>
      </c>
      <c r="LF138">
        <v>1</v>
      </c>
      <c r="LG138">
        <v>1</v>
      </c>
      <c r="LH138">
        <v>1</v>
      </c>
      <c r="LI138">
        <v>1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1</v>
      </c>
      <c r="LS138">
        <v>1</v>
      </c>
      <c r="LT138">
        <v>1</v>
      </c>
      <c r="LU138">
        <v>1</v>
      </c>
      <c r="LV138">
        <v>1</v>
      </c>
      <c r="LW138">
        <v>1</v>
      </c>
      <c r="LX138">
        <v>1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1</v>
      </c>
      <c r="ME138">
        <v>1</v>
      </c>
      <c r="MF138">
        <v>1</v>
      </c>
      <c r="MG138">
        <v>1</v>
      </c>
      <c r="MH138">
        <v>1</v>
      </c>
      <c r="MI138">
        <v>1</v>
      </c>
      <c r="MJ138">
        <v>1</v>
      </c>
      <c r="MK138">
        <v>1</v>
      </c>
      <c r="ML138">
        <v>1</v>
      </c>
      <c r="MM138">
        <v>1</v>
      </c>
      <c r="MN138">
        <v>1</v>
      </c>
      <c r="MO138">
        <v>1</v>
      </c>
      <c r="MP138">
        <v>1</v>
      </c>
      <c r="MQ138">
        <v>1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1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1</v>
      </c>
      <c r="NO138">
        <v>1</v>
      </c>
      <c r="NP138">
        <v>88.007949999999994</v>
      </c>
      <c r="NQ138">
        <v>1</v>
      </c>
      <c r="NR138">
        <v>1</v>
      </c>
      <c r="NS138">
        <v>1</v>
      </c>
      <c r="NT138">
        <v>1</v>
      </c>
      <c r="NU138">
        <v>1</v>
      </c>
      <c r="NV138">
        <v>1</v>
      </c>
      <c r="NW138">
        <v>1</v>
      </c>
      <c r="NX138">
        <v>1</v>
      </c>
      <c r="NY138">
        <v>1</v>
      </c>
      <c r="NZ138">
        <v>1</v>
      </c>
      <c r="OA138">
        <v>1</v>
      </c>
      <c r="OB138">
        <v>1</v>
      </c>
      <c r="OC138">
        <v>37.5</v>
      </c>
      <c r="OD138">
        <v>11863.9</v>
      </c>
      <c r="OE138">
        <v>0</v>
      </c>
      <c r="OF138">
        <v>75.076800000000006</v>
      </c>
      <c r="OG138">
        <v>33.6</v>
      </c>
      <c r="OH138">
        <v>55.923000000000002</v>
      </c>
    </row>
    <row r="139" spans="1:398">
      <c r="A139">
        <v>13</v>
      </c>
      <c r="B139" t="s">
        <v>29</v>
      </c>
      <c r="C139" t="s">
        <v>28</v>
      </c>
      <c r="D139">
        <v>2015</v>
      </c>
      <c r="E139">
        <v>13.605</v>
      </c>
      <c r="F139">
        <v>1.1072</v>
      </c>
      <c r="G139">
        <v>517</v>
      </c>
      <c r="H139">
        <v>18</v>
      </c>
      <c r="I139">
        <v>92.5</v>
      </c>
      <c r="J139">
        <v>4.5999999999999996</v>
      </c>
      <c r="K139">
        <v>2509.6999999999998</v>
      </c>
      <c r="L139">
        <v>0.6</v>
      </c>
      <c r="M139">
        <v>1.8</v>
      </c>
      <c r="N139">
        <v>44872</v>
      </c>
      <c r="O139">
        <v>1.6625000000000001</v>
      </c>
      <c r="P139">
        <v>0.98</v>
      </c>
      <c r="Q139">
        <v>4885.8999999999996</v>
      </c>
      <c r="R139">
        <v>29.5</v>
      </c>
      <c r="S139">
        <v>0.239229</v>
      </c>
      <c r="T139">
        <v>-0.56826319999999997</v>
      </c>
      <c r="U139">
        <v>-0.59390940000000003</v>
      </c>
      <c r="V139">
        <v>8.3721599999999993E-2</v>
      </c>
      <c r="W139">
        <v>-1.066694</v>
      </c>
      <c r="X139">
        <v>1.3130440000000001</v>
      </c>
      <c r="Y139">
        <v>-0.58499009999999996</v>
      </c>
      <c r="Z139">
        <v>-0.29564659999999998</v>
      </c>
      <c r="AA139">
        <v>-0.19478770000000001</v>
      </c>
      <c r="AB139">
        <v>7.46251E-2</v>
      </c>
      <c r="AC139">
        <v>-0.48120669999999999</v>
      </c>
      <c r="AD139">
        <v>0.23363619999999999</v>
      </c>
      <c r="AE139">
        <v>-0.92426649999999999</v>
      </c>
      <c r="AF139">
        <v>-0.45744829999999997</v>
      </c>
      <c r="AG139">
        <v>-0.547238</v>
      </c>
      <c r="AH139">
        <v>-1.5667949999999999</v>
      </c>
      <c r="AI139">
        <v>2.6104370000000001</v>
      </c>
      <c r="AJ139">
        <v>0.1018343</v>
      </c>
      <c r="AK139">
        <v>6.248043</v>
      </c>
      <c r="AL139">
        <v>4.527209</v>
      </c>
      <c r="AM139">
        <v>1.5260560000000001</v>
      </c>
      <c r="AN139">
        <v>7.8279189999999996</v>
      </c>
      <c r="AO139">
        <v>10.71157</v>
      </c>
      <c r="AP139">
        <v>-2.0202700000000001E-2</v>
      </c>
      <c r="AQ139">
        <v>8.4941089999999999</v>
      </c>
      <c r="AR139">
        <v>4.3065699999999998</v>
      </c>
      <c r="AS139">
        <v>3.49953</v>
      </c>
      <c r="AT139">
        <v>9.4161599999999996</v>
      </c>
      <c r="AU139">
        <v>56.155000000000001</v>
      </c>
      <c r="AV139">
        <v>90.640900000000002</v>
      </c>
      <c r="AW139">
        <v>0.95805099999999999</v>
      </c>
      <c r="AX139" s="17">
        <v>490000000</v>
      </c>
      <c r="AY139">
        <v>3.6506599999999998</v>
      </c>
      <c r="AZ139">
        <v>0.48</v>
      </c>
      <c r="BA139">
        <v>0.50832259999999996</v>
      </c>
      <c r="BB139">
        <v>0.50832259999999996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-1.2951600000000001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3.1224E-3</v>
      </c>
      <c r="CG139">
        <v>0.4411139</v>
      </c>
      <c r="CH139">
        <v>0.14183399999999999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-1.0521529999999999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0.19458149999999999</v>
      </c>
      <c r="DI139">
        <v>1.107027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0.2117347</v>
      </c>
      <c r="DW139">
        <v>-0.50503359999999997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13.936019999999999</v>
      </c>
      <c r="EW139">
        <v>7.1428599999999995E-2</v>
      </c>
      <c r="EX139">
        <v>7.1462399999999995E-2</v>
      </c>
      <c r="EY139">
        <v>7.1320900000000007E-2</v>
      </c>
      <c r="EZ139">
        <v>7.1529499999999996E-2</v>
      </c>
      <c r="FA139">
        <v>7.1207699999999999E-2</v>
      </c>
      <c r="FB139">
        <v>7.1523100000000006E-2</v>
      </c>
      <c r="FC139">
        <v>7.1493000000000001E-2</v>
      </c>
      <c r="FD139">
        <v>7.1375099999999997E-2</v>
      </c>
      <c r="FE139">
        <v>7.1251900000000007E-2</v>
      </c>
      <c r="FF139">
        <v>7.1601999999999999E-2</v>
      </c>
      <c r="FG139">
        <v>7.1616799999999994E-2</v>
      </c>
      <c r="FH139">
        <v>7.1265099999999998E-2</v>
      </c>
      <c r="FI139">
        <v>7.1543700000000002E-2</v>
      </c>
      <c r="FJ139">
        <v>7.1380299999999994E-2</v>
      </c>
      <c r="FK139">
        <v>0.23898639999999999</v>
      </c>
      <c r="FL139">
        <v>5.7114499999999999E-2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-0.56826319999999997</v>
      </c>
      <c r="FZ139">
        <v>-0.59390940000000003</v>
      </c>
      <c r="GA139">
        <v>8.3721599999999993E-2</v>
      </c>
      <c r="GB139">
        <v>1.3130440000000001</v>
      </c>
      <c r="GC139">
        <v>-0.29564659999999998</v>
      </c>
      <c r="GD139">
        <v>-0.48120669999999999</v>
      </c>
      <c r="GE139">
        <v>-0.547238</v>
      </c>
      <c r="GF139">
        <v>0.23363619999999999</v>
      </c>
      <c r="GG139">
        <v>-0.92426649999999999</v>
      </c>
      <c r="GH139">
        <v>-2.1618189999999999</v>
      </c>
      <c r="GI139">
        <v>4.6734629999999999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0.1147135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-1.0376730000000001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1</v>
      </c>
      <c r="JL139">
        <v>1</v>
      </c>
      <c r="JM139">
        <v>1</v>
      </c>
      <c r="JN139">
        <v>1</v>
      </c>
      <c r="JO139">
        <v>1</v>
      </c>
      <c r="JP139">
        <v>1</v>
      </c>
      <c r="JQ139">
        <v>1</v>
      </c>
      <c r="JR139">
        <v>1</v>
      </c>
      <c r="JS139">
        <v>1</v>
      </c>
      <c r="JT139">
        <v>1</v>
      </c>
      <c r="JU139">
        <v>1</v>
      </c>
      <c r="JV139">
        <v>1</v>
      </c>
      <c r="JW139">
        <v>1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M139">
        <v>1</v>
      </c>
      <c r="KN139">
        <v>1</v>
      </c>
      <c r="KO139">
        <v>1</v>
      </c>
      <c r="KP139">
        <v>1</v>
      </c>
      <c r="KQ139">
        <v>1</v>
      </c>
      <c r="KR139">
        <v>1</v>
      </c>
      <c r="KS139">
        <v>1</v>
      </c>
      <c r="KT139">
        <v>1</v>
      </c>
      <c r="KU139">
        <v>1</v>
      </c>
      <c r="KV139">
        <v>1</v>
      </c>
      <c r="KW139">
        <v>1</v>
      </c>
      <c r="KX139">
        <v>1</v>
      </c>
      <c r="KY139">
        <v>1</v>
      </c>
      <c r="KZ139">
        <v>1</v>
      </c>
      <c r="LA139">
        <v>1</v>
      </c>
      <c r="LB139">
        <v>1</v>
      </c>
      <c r="LC139">
        <v>1</v>
      </c>
      <c r="LD139">
        <v>1</v>
      </c>
      <c r="LE139">
        <v>1</v>
      </c>
      <c r="LF139">
        <v>1</v>
      </c>
      <c r="LG139">
        <v>1</v>
      </c>
      <c r="LH139">
        <v>1</v>
      </c>
      <c r="LI139">
        <v>1</v>
      </c>
      <c r="LJ139">
        <v>1</v>
      </c>
      <c r="LK139">
        <v>1</v>
      </c>
      <c r="LL139">
        <v>1</v>
      </c>
      <c r="LM139">
        <v>1</v>
      </c>
      <c r="LN139">
        <v>1</v>
      </c>
      <c r="LO139">
        <v>1</v>
      </c>
      <c r="LP139">
        <v>1</v>
      </c>
      <c r="LQ139">
        <v>1</v>
      </c>
      <c r="LR139">
        <v>1</v>
      </c>
      <c r="LS139">
        <v>1</v>
      </c>
      <c r="LT139">
        <v>1</v>
      </c>
      <c r="LU139">
        <v>1</v>
      </c>
      <c r="LV139">
        <v>1</v>
      </c>
      <c r="LW139">
        <v>1</v>
      </c>
      <c r="LX139">
        <v>1</v>
      </c>
      <c r="LY139">
        <v>1</v>
      </c>
      <c r="LZ139">
        <v>1</v>
      </c>
      <c r="MA139">
        <v>1</v>
      </c>
      <c r="MB139">
        <v>1</v>
      </c>
      <c r="MC139">
        <v>1</v>
      </c>
      <c r="MD139">
        <v>1</v>
      </c>
      <c r="ME139">
        <v>1</v>
      </c>
      <c r="MF139">
        <v>1</v>
      </c>
      <c r="MG139">
        <v>1</v>
      </c>
      <c r="MH139">
        <v>1</v>
      </c>
      <c r="MI139">
        <v>1</v>
      </c>
      <c r="MJ139">
        <v>1</v>
      </c>
      <c r="MK139">
        <v>1</v>
      </c>
      <c r="ML139">
        <v>1</v>
      </c>
      <c r="MM139">
        <v>1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88.664050000000003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38.5</v>
      </c>
      <c r="OD139">
        <v>12285.3</v>
      </c>
      <c r="OE139">
        <v>0</v>
      </c>
      <c r="OF139">
        <v>74.185599999999994</v>
      </c>
      <c r="OG139">
        <v>33.1</v>
      </c>
      <c r="OH139">
        <v>56.155000000000001</v>
      </c>
    </row>
    <row r="140" spans="1:398">
      <c r="A140">
        <v>13</v>
      </c>
      <c r="B140" t="s">
        <v>29</v>
      </c>
      <c r="C140" t="s">
        <v>28</v>
      </c>
      <c r="D140">
        <v>2016</v>
      </c>
      <c r="E140">
        <v>13.266</v>
      </c>
      <c r="F140">
        <v>1.1203000000000001</v>
      </c>
      <c r="G140">
        <v>516</v>
      </c>
      <c r="H140">
        <v>21</v>
      </c>
      <c r="I140">
        <v>96.3</v>
      </c>
      <c r="J140">
        <v>4.5999999999999996</v>
      </c>
      <c r="K140">
        <v>2638.9</v>
      </c>
      <c r="L140">
        <v>0.6</v>
      </c>
      <c r="M140">
        <v>1.9</v>
      </c>
      <c r="N140">
        <v>44088</v>
      </c>
      <c r="O140">
        <v>2.16</v>
      </c>
      <c r="P140">
        <v>0.98</v>
      </c>
      <c r="Q140">
        <v>4679.7299999999996</v>
      </c>
      <c r="R140">
        <v>31</v>
      </c>
      <c r="S140">
        <v>0.24782599999999999</v>
      </c>
      <c r="T140">
        <v>-0.60944980000000004</v>
      </c>
      <c r="U140">
        <v>-0.58133670000000004</v>
      </c>
      <c r="V140">
        <v>7.6129199999999994E-2</v>
      </c>
      <c r="W140">
        <v>-0.87357490000000004</v>
      </c>
      <c r="X140">
        <v>1.8408629999999999</v>
      </c>
      <c r="Y140">
        <v>-0.58499009999999996</v>
      </c>
      <c r="Z140">
        <v>-0.27878710000000001</v>
      </c>
      <c r="AA140">
        <v>-0.19478770000000001</v>
      </c>
      <c r="AB140">
        <v>0.2065517</v>
      </c>
      <c r="AC140">
        <v>-0.48536970000000002</v>
      </c>
      <c r="AD140">
        <v>0.23363619999999999</v>
      </c>
      <c r="AE140">
        <v>-0.99219250000000003</v>
      </c>
      <c r="AF140">
        <v>-0.37843110000000002</v>
      </c>
      <c r="AG140">
        <v>-0.52132659999999997</v>
      </c>
      <c r="AH140">
        <v>-1.5101720000000001</v>
      </c>
      <c r="AI140">
        <v>2.5852040000000001</v>
      </c>
      <c r="AJ140">
        <v>0.11359660000000001</v>
      </c>
      <c r="AK140">
        <v>6.2461070000000003</v>
      </c>
      <c r="AL140">
        <v>4.5674679999999999</v>
      </c>
      <c r="AM140">
        <v>1.5260560000000001</v>
      </c>
      <c r="AN140">
        <v>7.8781179999999997</v>
      </c>
      <c r="AO140">
        <v>10.69394</v>
      </c>
      <c r="AP140">
        <v>-2.0202700000000001E-2</v>
      </c>
      <c r="AQ140">
        <v>8.4509950000000007</v>
      </c>
      <c r="AR140">
        <v>4.2957099999999997</v>
      </c>
      <c r="AS140">
        <v>3.45947</v>
      </c>
      <c r="AT140">
        <v>9.4610400000000006</v>
      </c>
      <c r="AU140">
        <v>56.402999999999999</v>
      </c>
      <c r="AV140">
        <v>92.130799999999994</v>
      </c>
      <c r="AW140">
        <v>2.9901399999999998</v>
      </c>
      <c r="AX140" s="17">
        <v>1600000000</v>
      </c>
      <c r="AY140">
        <v>3.6216699999999999</v>
      </c>
      <c r="AZ140">
        <v>0.5</v>
      </c>
      <c r="BA140">
        <v>0.77010829999999997</v>
      </c>
      <c r="BB140">
        <v>0.77010827999999998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-0.65392600000000001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3.7818999999999999E-3</v>
      </c>
      <c r="CG140">
        <v>0.44868999999999998</v>
      </c>
      <c r="CH140">
        <v>0.14576700000000001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-0.93840800000000002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0.20132269999999999</v>
      </c>
      <c r="DI140">
        <v>0.88060959999999999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0.22434499999999999</v>
      </c>
      <c r="DW140">
        <v>-0.46920400000000001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13.9345</v>
      </c>
      <c r="EW140">
        <v>7.1444300000000002E-2</v>
      </c>
      <c r="EX140">
        <v>7.1467299999999997E-2</v>
      </c>
      <c r="EY140">
        <v>7.1332400000000004E-2</v>
      </c>
      <c r="EZ140">
        <v>7.1498500000000006E-2</v>
      </c>
      <c r="FA140">
        <v>7.1180999999999994E-2</v>
      </c>
      <c r="FB140">
        <v>7.1531499999999998E-2</v>
      </c>
      <c r="FC140">
        <v>7.1490600000000001E-2</v>
      </c>
      <c r="FD140">
        <v>7.1384600000000006E-2</v>
      </c>
      <c r="FE140">
        <v>7.1233099999999994E-2</v>
      </c>
      <c r="FF140">
        <v>7.1612400000000007E-2</v>
      </c>
      <c r="FG140">
        <v>7.1612499999999996E-2</v>
      </c>
      <c r="FH140">
        <v>7.1276000000000006E-2</v>
      </c>
      <c r="FI140">
        <v>7.1568000000000007E-2</v>
      </c>
      <c r="FJ140">
        <v>7.1367899999999998E-2</v>
      </c>
      <c r="FK140">
        <v>0.247562</v>
      </c>
      <c r="FL140">
        <v>6.1286899999999998E-2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-0.60944980000000004</v>
      </c>
      <c r="FZ140">
        <v>-0.58133670000000004</v>
      </c>
      <c r="GA140">
        <v>7.6129199999999994E-2</v>
      </c>
      <c r="GB140">
        <v>1.8408629999999999</v>
      </c>
      <c r="GC140">
        <v>-0.27878710000000001</v>
      </c>
      <c r="GD140">
        <v>-0.48536970000000002</v>
      </c>
      <c r="GE140">
        <v>-0.52132659999999997</v>
      </c>
      <c r="GF140">
        <v>0.23363619999999999</v>
      </c>
      <c r="GG140">
        <v>-0.99219250000000003</v>
      </c>
      <c r="GH140">
        <v>-2.0993219999999999</v>
      </c>
      <c r="GI140">
        <v>4.4071530000000001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0.123781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-1.049661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1</v>
      </c>
      <c r="JQ140">
        <v>1</v>
      </c>
      <c r="JR140">
        <v>1</v>
      </c>
      <c r="JS140">
        <v>1</v>
      </c>
      <c r="JT140">
        <v>1</v>
      </c>
      <c r="JU140">
        <v>1</v>
      </c>
      <c r="JV140">
        <v>1</v>
      </c>
      <c r="JW140">
        <v>1</v>
      </c>
      <c r="JX140">
        <v>1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1</v>
      </c>
      <c r="KP140">
        <v>1</v>
      </c>
      <c r="KQ140">
        <v>1</v>
      </c>
      <c r="KR140">
        <v>1</v>
      </c>
      <c r="KS140">
        <v>1</v>
      </c>
      <c r="KT140">
        <v>1</v>
      </c>
      <c r="KU140">
        <v>1</v>
      </c>
      <c r="KV140">
        <v>1</v>
      </c>
      <c r="KW140">
        <v>1</v>
      </c>
      <c r="KX140">
        <v>1</v>
      </c>
      <c r="KY140">
        <v>1</v>
      </c>
      <c r="KZ140">
        <v>1</v>
      </c>
      <c r="LA140">
        <v>1</v>
      </c>
      <c r="LB140">
        <v>1</v>
      </c>
      <c r="LC140">
        <v>1</v>
      </c>
      <c r="LD140">
        <v>1</v>
      </c>
      <c r="LE140">
        <v>1</v>
      </c>
      <c r="LF140">
        <v>1</v>
      </c>
      <c r="LG140">
        <v>1</v>
      </c>
      <c r="LH140">
        <v>1</v>
      </c>
      <c r="LI140">
        <v>1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1</v>
      </c>
      <c r="LP140">
        <v>1</v>
      </c>
      <c r="LQ140">
        <v>1</v>
      </c>
      <c r="LR140">
        <v>1</v>
      </c>
      <c r="LS140">
        <v>1</v>
      </c>
      <c r="LT140">
        <v>1</v>
      </c>
      <c r="LU140">
        <v>1</v>
      </c>
      <c r="LV140">
        <v>1</v>
      </c>
      <c r="LW140">
        <v>1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1</v>
      </c>
      <c r="MD140">
        <v>1</v>
      </c>
      <c r="ME140">
        <v>1</v>
      </c>
      <c r="MF140">
        <v>1</v>
      </c>
      <c r="MG140">
        <v>1</v>
      </c>
      <c r="MH140">
        <v>1</v>
      </c>
      <c r="MI140">
        <v>1</v>
      </c>
      <c r="MJ140">
        <v>1</v>
      </c>
      <c r="MK140">
        <v>1</v>
      </c>
      <c r="ML140">
        <v>1</v>
      </c>
      <c r="MM140">
        <v>1</v>
      </c>
      <c r="MN140">
        <v>1</v>
      </c>
      <c r="MO140">
        <v>1</v>
      </c>
      <c r="MP140">
        <v>1</v>
      </c>
      <c r="MQ140">
        <v>1</v>
      </c>
      <c r="MR140">
        <v>1</v>
      </c>
      <c r="MS140">
        <v>1</v>
      </c>
      <c r="MT140">
        <v>1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1</v>
      </c>
      <c r="NI140">
        <v>1</v>
      </c>
      <c r="NJ140">
        <v>1</v>
      </c>
      <c r="NK140">
        <v>1</v>
      </c>
      <c r="NL140">
        <v>1</v>
      </c>
      <c r="NM140">
        <v>1</v>
      </c>
      <c r="NN140">
        <v>1</v>
      </c>
      <c r="NO140">
        <v>1</v>
      </c>
      <c r="NP140">
        <v>89.511359999999996</v>
      </c>
      <c r="NQ140">
        <v>1</v>
      </c>
      <c r="NR140">
        <v>1</v>
      </c>
      <c r="NS140">
        <v>1</v>
      </c>
      <c r="NT140">
        <v>1</v>
      </c>
      <c r="NU140">
        <v>1</v>
      </c>
      <c r="NV140">
        <v>1</v>
      </c>
      <c r="NW140">
        <v>1</v>
      </c>
      <c r="NX140">
        <v>1</v>
      </c>
      <c r="NY140">
        <v>1</v>
      </c>
      <c r="NZ140">
        <v>1</v>
      </c>
      <c r="OA140">
        <v>1</v>
      </c>
      <c r="OB140">
        <v>1</v>
      </c>
      <c r="OC140">
        <v>37.4</v>
      </c>
      <c r="OD140">
        <v>12849.3</v>
      </c>
      <c r="OE140">
        <v>0.52</v>
      </c>
      <c r="OF140">
        <v>73.384100000000004</v>
      </c>
      <c r="OG140">
        <v>31.8</v>
      </c>
      <c r="OH140">
        <v>56.402999999999999</v>
      </c>
    </row>
    <row r="141" spans="1:398">
      <c r="A141">
        <v>13</v>
      </c>
      <c r="B141" t="s">
        <v>29</v>
      </c>
      <c r="C141" t="s">
        <v>28</v>
      </c>
      <c r="D141">
        <v>2017</v>
      </c>
      <c r="E141">
        <v>13.731999999999999</v>
      </c>
      <c r="F141">
        <v>1.1726000000000001</v>
      </c>
      <c r="G141">
        <v>553</v>
      </c>
      <c r="H141">
        <v>23.6</v>
      </c>
      <c r="I141">
        <v>95.2</v>
      </c>
      <c r="J141">
        <v>5.0999999999999996</v>
      </c>
      <c r="K141">
        <v>3144</v>
      </c>
      <c r="L141">
        <v>0.7</v>
      </c>
      <c r="M141">
        <v>1.9</v>
      </c>
      <c r="N141">
        <v>46104</v>
      </c>
      <c r="O141">
        <v>2.6575000000000002</v>
      </c>
      <c r="P141">
        <v>0.99</v>
      </c>
      <c r="Q141">
        <v>4775.09</v>
      </c>
      <c r="R141">
        <v>31.8</v>
      </c>
      <c r="S141">
        <v>0.26369399999999998</v>
      </c>
      <c r="T141">
        <v>-0.55283340000000003</v>
      </c>
      <c r="U141">
        <v>-0.5311418</v>
      </c>
      <c r="V141">
        <v>0.35705039999999999</v>
      </c>
      <c r="W141">
        <v>-0.70620530000000004</v>
      </c>
      <c r="X141">
        <v>1.6880729999999999</v>
      </c>
      <c r="Y141">
        <v>-0.5049247</v>
      </c>
      <c r="Z141">
        <v>-0.21287610000000001</v>
      </c>
      <c r="AA141">
        <v>8.3346600000000007E-2</v>
      </c>
      <c r="AB141">
        <v>0.2065517</v>
      </c>
      <c r="AC141">
        <v>-0.4746648</v>
      </c>
      <c r="AD141">
        <v>0.28264030000000001</v>
      </c>
      <c r="AE141">
        <v>-0.96077460000000003</v>
      </c>
      <c r="AF141">
        <v>-0.3362887</v>
      </c>
      <c r="AG141">
        <v>-0.4954152</v>
      </c>
      <c r="AH141">
        <v>-1.2327650000000001</v>
      </c>
      <c r="AI141">
        <v>2.619729</v>
      </c>
      <c r="AJ141">
        <v>0.15922349999999999</v>
      </c>
      <c r="AK141">
        <v>6.3153579999999998</v>
      </c>
      <c r="AL141">
        <v>4.5559799999999999</v>
      </c>
      <c r="AM141">
        <v>1.6292409999999999</v>
      </c>
      <c r="AN141">
        <v>8.0532509999999995</v>
      </c>
      <c r="AO141">
        <v>10.738659999999999</v>
      </c>
      <c r="AP141">
        <v>-1.00503E-2</v>
      </c>
      <c r="AQ141">
        <v>8.4711689999999997</v>
      </c>
      <c r="AR141">
        <v>4.2796399999999997</v>
      </c>
      <c r="AS141">
        <v>3.3945099999999999</v>
      </c>
      <c r="AT141">
        <v>9.5093999999999994</v>
      </c>
      <c r="AU141">
        <v>56.667000000000002</v>
      </c>
      <c r="AV141">
        <v>97.221299999999999</v>
      </c>
      <c r="AW141">
        <v>3.24</v>
      </c>
      <c r="AX141" s="17">
        <v>1800000000</v>
      </c>
      <c r="AY141">
        <v>3.6428400000000001</v>
      </c>
      <c r="AZ141">
        <v>0.5</v>
      </c>
      <c r="BA141">
        <v>0.97738579999999997</v>
      </c>
      <c r="BB141">
        <v>0.97738581999999996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-1.2689000000000001E-2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4.3448000000000002E-3</v>
      </c>
      <c r="CG141">
        <v>0.46636339999999998</v>
      </c>
      <c r="CH141">
        <v>0.15917200000000001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-0.630911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0.21749479999999999</v>
      </c>
      <c r="DI141">
        <v>0.39804869999999998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0.23318169999999999</v>
      </c>
      <c r="DW141">
        <v>-0.3154555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13.931100000000001</v>
      </c>
      <c r="EW141">
        <v>7.1453900000000001E-2</v>
      </c>
      <c r="EX141">
        <v>7.1470500000000006E-2</v>
      </c>
      <c r="EY141">
        <v>7.1305999999999994E-2</v>
      </c>
      <c r="EZ141">
        <v>7.1483900000000003E-2</v>
      </c>
      <c r="FA141">
        <v>7.1213899999999997E-2</v>
      </c>
      <c r="FB141">
        <v>7.1521799999999996E-2</v>
      </c>
      <c r="FC141">
        <v>7.1467100000000006E-2</v>
      </c>
      <c r="FD141">
        <v>7.1344699999999997E-2</v>
      </c>
      <c r="FE141">
        <v>7.1254100000000001E-2</v>
      </c>
      <c r="FF141">
        <v>7.1624099999999996E-2</v>
      </c>
      <c r="FG141">
        <v>7.1618000000000001E-2</v>
      </c>
      <c r="FH141">
        <v>7.1287799999999998E-2</v>
      </c>
      <c r="FI141">
        <v>7.1578500000000003E-2</v>
      </c>
      <c r="FJ141">
        <v>7.13757E-2</v>
      </c>
      <c r="FK141">
        <v>0.26343759999999999</v>
      </c>
      <c r="FL141">
        <v>6.93994E-2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-0.55283340000000003</v>
      </c>
      <c r="FZ141">
        <v>-0.5311418</v>
      </c>
      <c r="GA141">
        <v>0.35705039999999999</v>
      </c>
      <c r="GB141">
        <v>1.6880729999999999</v>
      </c>
      <c r="GC141">
        <v>-0.21287610000000001</v>
      </c>
      <c r="GD141">
        <v>-0.4746648</v>
      </c>
      <c r="GE141">
        <v>-0.4954152</v>
      </c>
      <c r="GF141">
        <v>0.28264030000000001</v>
      </c>
      <c r="GG141">
        <v>-0.96077460000000003</v>
      </c>
      <c r="GH141">
        <v>-1.7058610000000001</v>
      </c>
      <c r="GI141">
        <v>2.9099620000000002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0.1317188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-0.85293059999999998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1</v>
      </c>
      <c r="KQ141">
        <v>1</v>
      </c>
      <c r="KR141">
        <v>1</v>
      </c>
      <c r="KS141">
        <v>1</v>
      </c>
      <c r="KT141">
        <v>1</v>
      </c>
      <c r="KU141">
        <v>1</v>
      </c>
      <c r="KV141">
        <v>1</v>
      </c>
      <c r="KW141">
        <v>1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1</v>
      </c>
      <c r="LG141">
        <v>1</v>
      </c>
      <c r="LH141">
        <v>1</v>
      </c>
      <c r="LI141">
        <v>1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1</v>
      </c>
      <c r="LS141">
        <v>1</v>
      </c>
      <c r="LT141">
        <v>1</v>
      </c>
      <c r="LU141">
        <v>1</v>
      </c>
      <c r="LV141">
        <v>1</v>
      </c>
      <c r="LW141">
        <v>1</v>
      </c>
      <c r="LX141">
        <v>1</v>
      </c>
      <c r="LY141">
        <v>1</v>
      </c>
      <c r="LZ141">
        <v>1</v>
      </c>
      <c r="MA141">
        <v>1</v>
      </c>
      <c r="MB141">
        <v>1</v>
      </c>
      <c r="MC141">
        <v>1</v>
      </c>
      <c r="MD141">
        <v>1</v>
      </c>
      <c r="ME141">
        <v>1</v>
      </c>
      <c r="MF141">
        <v>1</v>
      </c>
      <c r="MG141">
        <v>1</v>
      </c>
      <c r="MH141">
        <v>1</v>
      </c>
      <c r="MI141">
        <v>1</v>
      </c>
      <c r="MJ141">
        <v>1</v>
      </c>
      <c r="MK141">
        <v>1</v>
      </c>
      <c r="ML141">
        <v>1</v>
      </c>
      <c r="MM141">
        <v>1</v>
      </c>
      <c r="MN141">
        <v>1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1</v>
      </c>
      <c r="NP141">
        <v>90.428700000000006</v>
      </c>
      <c r="NQ141">
        <v>1</v>
      </c>
      <c r="NR141">
        <v>1</v>
      </c>
      <c r="NS141">
        <v>1</v>
      </c>
      <c r="NT141">
        <v>1</v>
      </c>
      <c r="NU141">
        <v>1</v>
      </c>
      <c r="NV141">
        <v>1</v>
      </c>
      <c r="NW141">
        <v>1</v>
      </c>
      <c r="NX141">
        <v>1</v>
      </c>
      <c r="NY141">
        <v>1</v>
      </c>
      <c r="NZ141">
        <v>1</v>
      </c>
      <c r="OA141">
        <v>1</v>
      </c>
      <c r="OB141">
        <v>1</v>
      </c>
      <c r="OC141">
        <v>38.200000000000003</v>
      </c>
      <c r="OD141">
        <v>13485.9</v>
      </c>
      <c r="OE141">
        <v>0</v>
      </c>
      <c r="OF141">
        <v>72.214399999999998</v>
      </c>
      <c r="OG141">
        <v>29.8</v>
      </c>
      <c r="OH141">
        <v>56.667000000000002</v>
      </c>
    </row>
    <row r="142" spans="1:398">
      <c r="A142">
        <v>13</v>
      </c>
      <c r="B142" t="s">
        <v>29</v>
      </c>
      <c r="C142" t="s">
        <v>28</v>
      </c>
      <c r="D142">
        <v>2018</v>
      </c>
      <c r="E142">
        <v>13.914999999999999</v>
      </c>
      <c r="F142">
        <v>1.1776</v>
      </c>
      <c r="G142">
        <v>558</v>
      </c>
      <c r="H142">
        <v>25.3</v>
      </c>
      <c r="I142">
        <v>91.2</v>
      </c>
      <c r="J142">
        <v>5</v>
      </c>
      <c r="K142">
        <v>3314.5</v>
      </c>
      <c r="L142">
        <v>0.8</v>
      </c>
      <c r="M142">
        <v>2.4</v>
      </c>
      <c r="N142">
        <v>51368</v>
      </c>
      <c r="O142">
        <v>3.1549999999999998</v>
      </c>
      <c r="P142">
        <v>0.99</v>
      </c>
      <c r="Q142">
        <v>4637.58</v>
      </c>
      <c r="R142">
        <v>31.4</v>
      </c>
      <c r="S142">
        <v>0.27198299999999997</v>
      </c>
      <c r="T142">
        <v>-0.53059999999999996</v>
      </c>
      <c r="U142">
        <v>-0.52634300000000001</v>
      </c>
      <c r="V142">
        <v>0.39501269999999999</v>
      </c>
      <c r="W142">
        <v>-0.59677139999999995</v>
      </c>
      <c r="X142">
        <v>1.1324749999999999</v>
      </c>
      <c r="Y142">
        <v>-0.52093769999999995</v>
      </c>
      <c r="Z142">
        <v>-0.1906273</v>
      </c>
      <c r="AA142">
        <v>0.361481</v>
      </c>
      <c r="AB142">
        <v>0.86618490000000004</v>
      </c>
      <c r="AC142">
        <v>-0.44671309999999997</v>
      </c>
      <c r="AD142">
        <v>0.28264030000000001</v>
      </c>
      <c r="AE142">
        <v>-1.006078</v>
      </c>
      <c r="AF142">
        <v>-0.35735990000000001</v>
      </c>
      <c r="AG142">
        <v>-0.46950380000000003</v>
      </c>
      <c r="AH142">
        <v>-1.063823</v>
      </c>
      <c r="AI142">
        <v>2.6329669999999998</v>
      </c>
      <c r="AJ142">
        <v>0.1634785</v>
      </c>
      <c r="AK142">
        <v>6.3243590000000003</v>
      </c>
      <c r="AL142">
        <v>4.5130549999999996</v>
      </c>
      <c r="AM142">
        <v>1.6094379999999999</v>
      </c>
      <c r="AN142">
        <v>8.1060619999999997</v>
      </c>
      <c r="AO142">
        <v>10.846769999999999</v>
      </c>
      <c r="AP142">
        <v>-1.00503E-2</v>
      </c>
      <c r="AQ142">
        <v>8.4419489999999993</v>
      </c>
      <c r="AR142">
        <v>4.2665300000000004</v>
      </c>
      <c r="AS142">
        <v>3.4904299999999999</v>
      </c>
      <c r="AT142">
        <v>9.5511400000000002</v>
      </c>
      <c r="AU142">
        <v>56.947000000000003</v>
      </c>
      <c r="AV142">
        <v>99.067800000000005</v>
      </c>
      <c r="AW142">
        <v>2.6691099999999999</v>
      </c>
      <c r="AX142" s="17">
        <v>1600000000</v>
      </c>
      <c r="AY142">
        <v>3.6454499999999999</v>
      </c>
      <c r="AZ142">
        <v>0.48</v>
      </c>
      <c r="BA142">
        <v>1.148989</v>
      </c>
      <c r="BB142">
        <v>1.1489886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0.628548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4.7013999999999997E-3</v>
      </c>
      <c r="CG142">
        <v>0.47597410000000001</v>
      </c>
      <c r="CH142">
        <v>0.16728299999999999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-0.45308769999999998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0.22655140000000001</v>
      </c>
      <c r="DI142">
        <v>0.20528840000000001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0.22846759999999999</v>
      </c>
      <c r="DW142">
        <v>-0.21748210000000001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13.928570000000001</v>
      </c>
      <c r="EW142">
        <v>7.1464600000000003E-2</v>
      </c>
      <c r="EX142">
        <v>7.14833E-2</v>
      </c>
      <c r="EY142">
        <v>7.1315799999999999E-2</v>
      </c>
      <c r="EZ142">
        <v>7.1477100000000002E-2</v>
      </c>
      <c r="FA142">
        <v>7.1271299999999996E-2</v>
      </c>
      <c r="FB142">
        <v>7.1541099999999996E-2</v>
      </c>
      <c r="FC142">
        <v>7.1467600000000006E-2</v>
      </c>
      <c r="FD142">
        <v>7.1303800000000001E-2</v>
      </c>
      <c r="FE142">
        <v>7.1131E-2</v>
      </c>
      <c r="FF142">
        <v>7.1622000000000005E-2</v>
      </c>
      <c r="FG142">
        <v>7.16194E-2</v>
      </c>
      <c r="FH142">
        <v>7.1303900000000003E-2</v>
      </c>
      <c r="FI142">
        <v>7.1602600000000002E-2</v>
      </c>
      <c r="FJ142">
        <v>7.1396500000000002E-2</v>
      </c>
      <c r="FK142">
        <v>0.27172649999999998</v>
      </c>
      <c r="FL142">
        <v>7.3835300000000006E-2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-0.53059999999999996</v>
      </c>
      <c r="FZ142">
        <v>-0.52634300000000001</v>
      </c>
      <c r="GA142">
        <v>0.39501269999999999</v>
      </c>
      <c r="GB142">
        <v>1.1324749999999999</v>
      </c>
      <c r="GC142">
        <v>-0.1906273</v>
      </c>
      <c r="GD142">
        <v>-0.44671309999999997</v>
      </c>
      <c r="GE142">
        <v>-0.46950380000000003</v>
      </c>
      <c r="GF142">
        <v>0.28264030000000001</v>
      </c>
      <c r="GG142">
        <v>-1.006078</v>
      </c>
      <c r="GH142">
        <v>-1.4492050000000001</v>
      </c>
      <c r="GI142">
        <v>2.1001940000000001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0.13042870000000001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-0.69561830000000002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1</v>
      </c>
      <c r="JX142">
        <v>1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1</v>
      </c>
      <c r="KT142">
        <v>1</v>
      </c>
      <c r="KU142">
        <v>1</v>
      </c>
      <c r="KV142">
        <v>1</v>
      </c>
      <c r="KW142">
        <v>1</v>
      </c>
      <c r="KX142">
        <v>1</v>
      </c>
      <c r="KY142">
        <v>1</v>
      </c>
      <c r="KZ142">
        <v>1</v>
      </c>
      <c r="LA142">
        <v>1</v>
      </c>
      <c r="LB142">
        <v>1</v>
      </c>
      <c r="LC142">
        <v>1</v>
      </c>
      <c r="LD142">
        <v>1</v>
      </c>
      <c r="LE142">
        <v>1</v>
      </c>
      <c r="LF142">
        <v>1</v>
      </c>
      <c r="LG142">
        <v>1</v>
      </c>
      <c r="LH142">
        <v>1</v>
      </c>
      <c r="LI142">
        <v>1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1</v>
      </c>
      <c r="LR142">
        <v>1</v>
      </c>
      <c r="LS142">
        <v>1</v>
      </c>
      <c r="LT142">
        <v>1</v>
      </c>
      <c r="LU142">
        <v>1</v>
      </c>
      <c r="LV142">
        <v>1</v>
      </c>
      <c r="LW142">
        <v>1</v>
      </c>
      <c r="LX142">
        <v>1</v>
      </c>
      <c r="LY142">
        <v>1</v>
      </c>
      <c r="LZ142">
        <v>1</v>
      </c>
      <c r="MA142">
        <v>1</v>
      </c>
      <c r="MB142">
        <v>1</v>
      </c>
      <c r="MC142">
        <v>1</v>
      </c>
      <c r="MD142">
        <v>1</v>
      </c>
      <c r="ME142">
        <v>1</v>
      </c>
      <c r="MF142">
        <v>1</v>
      </c>
      <c r="MG142">
        <v>1</v>
      </c>
      <c r="MH142">
        <v>1</v>
      </c>
      <c r="MI142">
        <v>1</v>
      </c>
      <c r="MJ142">
        <v>1</v>
      </c>
      <c r="MK142">
        <v>1</v>
      </c>
      <c r="ML142">
        <v>1</v>
      </c>
      <c r="MM142">
        <v>1</v>
      </c>
      <c r="MN142">
        <v>1</v>
      </c>
      <c r="MO142">
        <v>1</v>
      </c>
      <c r="MP142">
        <v>1</v>
      </c>
      <c r="MQ142">
        <v>1</v>
      </c>
      <c r="MR142">
        <v>1</v>
      </c>
      <c r="MS142">
        <v>1</v>
      </c>
      <c r="MT142">
        <v>1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1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1</v>
      </c>
      <c r="NP142">
        <v>91.224249999999998</v>
      </c>
      <c r="NQ142">
        <v>1</v>
      </c>
      <c r="NR142">
        <v>1</v>
      </c>
      <c r="NS142">
        <v>1</v>
      </c>
      <c r="NT142">
        <v>1</v>
      </c>
      <c r="NU142">
        <v>1</v>
      </c>
      <c r="NV142">
        <v>1</v>
      </c>
      <c r="NW142">
        <v>1</v>
      </c>
      <c r="NX142">
        <v>1</v>
      </c>
      <c r="NY142">
        <v>1</v>
      </c>
      <c r="NZ142">
        <v>1</v>
      </c>
      <c r="OA142">
        <v>1</v>
      </c>
      <c r="OB142">
        <v>1</v>
      </c>
      <c r="OC142">
        <v>38.299999999999997</v>
      </c>
      <c r="OD142">
        <v>14060.7</v>
      </c>
      <c r="OE142">
        <v>0</v>
      </c>
      <c r="OF142">
        <v>71.273899999999998</v>
      </c>
      <c r="OG142">
        <v>32.799999999999997</v>
      </c>
      <c r="OH142">
        <v>56.947000000000003</v>
      </c>
    </row>
    <row r="143" spans="1:398">
      <c r="A143">
        <v>13</v>
      </c>
      <c r="B143" t="s">
        <v>29</v>
      </c>
      <c r="C143" t="s">
        <v>28</v>
      </c>
      <c r="D143">
        <v>2019</v>
      </c>
      <c r="E143">
        <v>14.221</v>
      </c>
      <c r="F143">
        <v>1.1801999999999999</v>
      </c>
      <c r="G143">
        <v>557</v>
      </c>
      <c r="H143">
        <v>30.2</v>
      </c>
      <c r="I143">
        <v>92.3</v>
      </c>
      <c r="J143">
        <v>5.4</v>
      </c>
      <c r="K143">
        <v>2818.8</v>
      </c>
      <c r="L143">
        <v>0.6</v>
      </c>
      <c r="M143">
        <v>2.5</v>
      </c>
      <c r="N143">
        <v>58574</v>
      </c>
      <c r="O143">
        <v>3.6524999999999999</v>
      </c>
      <c r="P143">
        <v>0.97</v>
      </c>
      <c r="Q143">
        <v>6274.7</v>
      </c>
      <c r="R143">
        <v>32.700000000000003</v>
      </c>
      <c r="S143">
        <v>0.28195399999999998</v>
      </c>
      <c r="T143">
        <v>-0.49342269999999999</v>
      </c>
      <c r="U143">
        <v>-0.52384770000000003</v>
      </c>
      <c r="V143">
        <v>0.3874203</v>
      </c>
      <c r="W143">
        <v>-0.28134419999999999</v>
      </c>
      <c r="X143">
        <v>1.2852650000000001</v>
      </c>
      <c r="Y143">
        <v>-0.45688529999999999</v>
      </c>
      <c r="Z143">
        <v>-0.25531179999999998</v>
      </c>
      <c r="AA143">
        <v>-0.19478770000000001</v>
      </c>
      <c r="AB143">
        <v>0.99811139999999998</v>
      </c>
      <c r="AC143">
        <v>-0.40844940000000002</v>
      </c>
      <c r="AD143">
        <v>0.18463199999999999</v>
      </c>
      <c r="AE143">
        <v>-0.46671259999999998</v>
      </c>
      <c r="AF143">
        <v>-0.28887829999999998</v>
      </c>
      <c r="AG143">
        <v>-0.4435924</v>
      </c>
      <c r="AH143">
        <v>-1.0299309999999999</v>
      </c>
      <c r="AI143">
        <v>2.6547200000000002</v>
      </c>
      <c r="AJ143">
        <v>0.1656839</v>
      </c>
      <c r="AK143">
        <v>6.322565</v>
      </c>
      <c r="AL143">
        <v>4.5250440000000003</v>
      </c>
      <c r="AM143">
        <v>1.686399</v>
      </c>
      <c r="AN143">
        <v>7.9440670000000004</v>
      </c>
      <c r="AO143">
        <v>10.97805</v>
      </c>
      <c r="AP143">
        <v>-3.0459199999999999E-2</v>
      </c>
      <c r="AQ143">
        <v>8.7442820000000001</v>
      </c>
      <c r="AR143">
        <v>4.2566100000000002</v>
      </c>
      <c r="AS143">
        <v>3.45316</v>
      </c>
      <c r="AT143">
        <v>9.5915900000000001</v>
      </c>
      <c r="AU143">
        <v>57.241999999999997</v>
      </c>
      <c r="AV143">
        <v>101.38200000000001</v>
      </c>
      <c r="AW143">
        <v>6.4727699999999997</v>
      </c>
      <c r="AX143" s="17">
        <v>4000000000</v>
      </c>
      <c r="AY143">
        <v>3.67123</v>
      </c>
      <c r="AZ143">
        <v>0.49</v>
      </c>
      <c r="BA143">
        <v>1.295412</v>
      </c>
      <c r="BB143">
        <v>1.2954118999999999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1.26979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5.7546999999999997E-3</v>
      </c>
      <c r="CG143">
        <v>0.49063519999999999</v>
      </c>
      <c r="CH143">
        <v>0.17139099999999999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-0.38447799999999999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0.24072289999999999</v>
      </c>
      <c r="DI143">
        <v>0.14782329999999999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0.24041129999999999</v>
      </c>
      <c r="DW143">
        <v>-0.18839420000000001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13.92728</v>
      </c>
      <c r="EW143">
        <v>7.1466799999999997E-2</v>
      </c>
      <c r="EX143">
        <v>7.1490300000000007E-2</v>
      </c>
      <c r="EY143">
        <v>7.1326600000000004E-2</v>
      </c>
      <c r="EZ143">
        <v>7.1427199999999996E-2</v>
      </c>
      <c r="FA143">
        <v>7.1270399999999998E-2</v>
      </c>
      <c r="FB143">
        <v>7.1526900000000004E-2</v>
      </c>
      <c r="FC143">
        <v>7.1515599999999999E-2</v>
      </c>
      <c r="FD143">
        <v>7.1428000000000005E-2</v>
      </c>
      <c r="FE143">
        <v>7.1117399999999997E-2</v>
      </c>
      <c r="FF143">
        <v>7.16083E-2</v>
      </c>
      <c r="FG143">
        <v>7.16146E-2</v>
      </c>
      <c r="FH143">
        <v>7.13308E-2</v>
      </c>
      <c r="FI143">
        <v>7.1490200000000004E-2</v>
      </c>
      <c r="FJ143">
        <v>7.1386699999999997E-2</v>
      </c>
      <c r="FK143">
        <v>0.28172649999999999</v>
      </c>
      <c r="FL143">
        <v>7.9369800000000004E-2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-0.49342269999999999</v>
      </c>
      <c r="FZ143">
        <v>-0.52384770000000003</v>
      </c>
      <c r="GA143">
        <v>0.3874203</v>
      </c>
      <c r="GB143">
        <v>1.2852650000000001</v>
      </c>
      <c r="GC143">
        <v>-0.25531179999999998</v>
      </c>
      <c r="GD143">
        <v>-0.40844940000000002</v>
      </c>
      <c r="GE143">
        <v>-0.4435924</v>
      </c>
      <c r="GF143">
        <v>0.18463199999999999</v>
      </c>
      <c r="GG143">
        <v>-0.46671259999999998</v>
      </c>
      <c r="GH143">
        <v>-1.414218</v>
      </c>
      <c r="GI143">
        <v>2.000013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0.138046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-0.69296690000000005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1</v>
      </c>
      <c r="KQ143">
        <v>1</v>
      </c>
      <c r="KR143">
        <v>1</v>
      </c>
      <c r="KS143">
        <v>1</v>
      </c>
      <c r="KT143">
        <v>1</v>
      </c>
      <c r="KU143">
        <v>1</v>
      </c>
      <c r="KV143">
        <v>1</v>
      </c>
      <c r="KW143">
        <v>1</v>
      </c>
      <c r="KX143">
        <v>1</v>
      </c>
      <c r="KY143">
        <v>1</v>
      </c>
      <c r="KZ143">
        <v>1</v>
      </c>
      <c r="LA143">
        <v>1</v>
      </c>
      <c r="LB143">
        <v>1</v>
      </c>
      <c r="LC143">
        <v>1</v>
      </c>
      <c r="LD143">
        <v>1</v>
      </c>
      <c r="LE143">
        <v>1</v>
      </c>
      <c r="LF143">
        <v>1</v>
      </c>
      <c r="LG143">
        <v>1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1</v>
      </c>
      <c r="LR143">
        <v>1</v>
      </c>
      <c r="LS143">
        <v>1</v>
      </c>
      <c r="LT143">
        <v>1</v>
      </c>
      <c r="LU143">
        <v>1</v>
      </c>
      <c r="LV143">
        <v>1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1</v>
      </c>
      <c r="MC143">
        <v>1</v>
      </c>
      <c r="MD143">
        <v>1</v>
      </c>
      <c r="ME143">
        <v>1</v>
      </c>
      <c r="MF143">
        <v>1</v>
      </c>
      <c r="MG143">
        <v>1</v>
      </c>
      <c r="MH143">
        <v>1</v>
      </c>
      <c r="MI143">
        <v>1</v>
      </c>
      <c r="MJ143">
        <v>1</v>
      </c>
      <c r="MK143">
        <v>1</v>
      </c>
      <c r="ML143">
        <v>1</v>
      </c>
      <c r="MM143">
        <v>1</v>
      </c>
      <c r="MN143">
        <v>1</v>
      </c>
      <c r="MO143">
        <v>1</v>
      </c>
      <c r="MP143">
        <v>1</v>
      </c>
      <c r="MQ143">
        <v>1</v>
      </c>
      <c r="MR143">
        <v>1</v>
      </c>
      <c r="MS143">
        <v>1</v>
      </c>
      <c r="MT143">
        <v>1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1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1</v>
      </c>
      <c r="NP143">
        <v>91.998689999999996</v>
      </c>
      <c r="NQ143">
        <v>1</v>
      </c>
      <c r="NR143">
        <v>1</v>
      </c>
      <c r="NS143">
        <v>1</v>
      </c>
      <c r="NT143">
        <v>1</v>
      </c>
      <c r="NU143">
        <v>1</v>
      </c>
      <c r="NV143">
        <v>1</v>
      </c>
      <c r="NW143">
        <v>1</v>
      </c>
      <c r="NX143">
        <v>1</v>
      </c>
      <c r="NY143">
        <v>1</v>
      </c>
      <c r="NZ143">
        <v>1</v>
      </c>
      <c r="OA143">
        <v>1</v>
      </c>
      <c r="OB143">
        <v>1</v>
      </c>
      <c r="OC143">
        <v>39.299999999999997</v>
      </c>
      <c r="OD143">
        <v>14641.2</v>
      </c>
      <c r="OE143">
        <v>0</v>
      </c>
      <c r="OF143">
        <v>70.5702</v>
      </c>
      <c r="OG143">
        <v>31.6</v>
      </c>
      <c r="OH143">
        <v>57.241999999999997</v>
      </c>
    </row>
    <row r="144" spans="1:398">
      <c r="A144">
        <v>13</v>
      </c>
      <c r="B144" t="s">
        <v>29</v>
      </c>
      <c r="C144" t="s">
        <v>28</v>
      </c>
      <c r="D144">
        <v>2020</v>
      </c>
      <c r="E144">
        <v>13.231999999999999</v>
      </c>
      <c r="F144">
        <v>1.0625</v>
      </c>
      <c r="G144">
        <v>555</v>
      </c>
      <c r="H144">
        <v>29.5</v>
      </c>
      <c r="I144">
        <v>94.9</v>
      </c>
      <c r="J144">
        <v>5.5</v>
      </c>
      <c r="K144">
        <v>2889.1</v>
      </c>
      <c r="L144">
        <v>0.8</v>
      </c>
      <c r="M144">
        <v>2.4</v>
      </c>
      <c r="N144">
        <v>50818</v>
      </c>
      <c r="O144">
        <v>4.1500000000000004</v>
      </c>
      <c r="P144">
        <v>0.92</v>
      </c>
      <c r="Q144">
        <v>6376.39</v>
      </c>
      <c r="R144">
        <v>33.799999999999997</v>
      </c>
      <c r="S144">
        <v>0.28353499999999998</v>
      </c>
      <c r="T144">
        <v>-0.61358060000000003</v>
      </c>
      <c r="U144">
        <v>-0.63681030000000005</v>
      </c>
      <c r="V144">
        <v>0.37223529999999999</v>
      </c>
      <c r="W144">
        <v>-0.32640530000000001</v>
      </c>
      <c r="X144">
        <v>1.6464030000000001</v>
      </c>
      <c r="Y144">
        <v>-0.44087229999999999</v>
      </c>
      <c r="Z144">
        <v>-0.2461382</v>
      </c>
      <c r="AA144">
        <v>0.361481</v>
      </c>
      <c r="AB144">
        <v>0.86618490000000004</v>
      </c>
      <c r="AC144">
        <v>-0.44963350000000002</v>
      </c>
      <c r="AD144">
        <v>-6.0388900000000002E-2</v>
      </c>
      <c r="AE144">
        <v>-0.43321169999999998</v>
      </c>
      <c r="AF144">
        <v>-0.23093240000000001</v>
      </c>
      <c r="AG144">
        <v>-0.41768090000000002</v>
      </c>
      <c r="AH144">
        <v>-0.99993359999999998</v>
      </c>
      <c r="AI144">
        <v>2.5826380000000002</v>
      </c>
      <c r="AJ144">
        <v>6.0624600000000001E-2</v>
      </c>
      <c r="AK144">
        <v>6.3189679999999999</v>
      </c>
      <c r="AL144">
        <v>4.5528240000000002</v>
      </c>
      <c r="AM144">
        <v>1.7047479999999999</v>
      </c>
      <c r="AN144">
        <v>7.9687000000000001</v>
      </c>
      <c r="AO144">
        <v>10.83601</v>
      </c>
      <c r="AP144">
        <v>-8.33816E-2</v>
      </c>
      <c r="AQ144">
        <v>8.7603570000000008</v>
      </c>
      <c r="AR144">
        <v>4.2477299999999998</v>
      </c>
      <c r="AS144">
        <v>3.4781599999999999</v>
      </c>
      <c r="AT144">
        <v>9.5137699999999992</v>
      </c>
      <c r="AU144">
        <v>57.552999999999997</v>
      </c>
      <c r="AV144">
        <v>89.533500000000004</v>
      </c>
      <c r="AW144">
        <v>2.5390999999999999</v>
      </c>
      <c r="AX144" s="17">
        <v>1500000000</v>
      </c>
      <c r="AY144">
        <v>3.6863800000000002</v>
      </c>
      <c r="AZ144">
        <v>0.49</v>
      </c>
      <c r="BA144">
        <v>1.423108</v>
      </c>
      <c r="BB144">
        <v>1.4231083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1.9110199999999999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5.5691999999999998E-3</v>
      </c>
      <c r="CG144">
        <v>0.48924380000000001</v>
      </c>
      <c r="CH144">
        <v>0.171454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-0.33908680000000002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0.2393595</v>
      </c>
      <c r="DI144">
        <v>0.1149799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0.23972950000000001</v>
      </c>
      <c r="DW144">
        <v>-0.16615260000000001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13.92726</v>
      </c>
      <c r="EW144">
        <v>7.1487099999999998E-2</v>
      </c>
      <c r="EX144">
        <v>7.1525699999999998E-2</v>
      </c>
      <c r="EY144">
        <v>7.1332000000000007E-2</v>
      </c>
      <c r="EZ144">
        <v>7.1437100000000003E-2</v>
      </c>
      <c r="FA144">
        <v>7.1248500000000006E-2</v>
      </c>
      <c r="FB144">
        <v>7.1522500000000003E-2</v>
      </c>
      <c r="FC144">
        <v>7.1510900000000002E-2</v>
      </c>
      <c r="FD144">
        <v>7.1315799999999999E-2</v>
      </c>
      <c r="FE144">
        <v>7.1150000000000005E-2</v>
      </c>
      <c r="FF144">
        <v>7.1631E-2</v>
      </c>
      <c r="FG144">
        <v>7.1603600000000003E-2</v>
      </c>
      <c r="FH144">
        <v>7.1377399999999994E-2</v>
      </c>
      <c r="FI144">
        <v>7.1484599999999995E-2</v>
      </c>
      <c r="FJ144">
        <v>7.1373599999999995E-2</v>
      </c>
      <c r="FK144">
        <v>0.28330080000000002</v>
      </c>
      <c r="FL144">
        <v>8.0259399999999995E-2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-0.61358060000000003</v>
      </c>
      <c r="FZ144">
        <v>-0.63681030000000005</v>
      </c>
      <c r="GA144">
        <v>0.37223529999999999</v>
      </c>
      <c r="GB144">
        <v>1.6464030000000001</v>
      </c>
      <c r="GC144">
        <v>-0.2461382</v>
      </c>
      <c r="GD144">
        <v>-0.44963350000000002</v>
      </c>
      <c r="GE144">
        <v>-0.41768090000000002</v>
      </c>
      <c r="GF144">
        <v>-6.0388900000000002E-2</v>
      </c>
      <c r="GG144">
        <v>-0.43321169999999998</v>
      </c>
      <c r="GH144">
        <v>-1.3955090000000001</v>
      </c>
      <c r="GI144">
        <v>1.9474450000000001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0.13881740000000001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-0.68379939999999995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1</v>
      </c>
      <c r="KQ144">
        <v>1</v>
      </c>
      <c r="KR144">
        <v>1</v>
      </c>
      <c r="KS144">
        <v>1</v>
      </c>
      <c r="KT144">
        <v>1</v>
      </c>
      <c r="KU144">
        <v>1</v>
      </c>
      <c r="KV144">
        <v>1</v>
      </c>
      <c r="KW144">
        <v>1</v>
      </c>
      <c r="KX144">
        <v>1</v>
      </c>
      <c r="KY144">
        <v>1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1</v>
      </c>
      <c r="LF144">
        <v>1</v>
      </c>
      <c r="LG144">
        <v>1</v>
      </c>
      <c r="LH144">
        <v>1</v>
      </c>
      <c r="LI144">
        <v>1</v>
      </c>
      <c r="LJ144">
        <v>1</v>
      </c>
      <c r="LK144">
        <v>1</v>
      </c>
      <c r="LL144">
        <v>1</v>
      </c>
      <c r="LM144">
        <v>1</v>
      </c>
      <c r="LN144">
        <v>1</v>
      </c>
      <c r="LO144">
        <v>1</v>
      </c>
      <c r="LP144">
        <v>1</v>
      </c>
      <c r="LQ144">
        <v>1</v>
      </c>
      <c r="LR144">
        <v>1</v>
      </c>
      <c r="LS144">
        <v>1</v>
      </c>
      <c r="LT144">
        <v>1</v>
      </c>
      <c r="LU144">
        <v>1</v>
      </c>
      <c r="LV144">
        <v>1</v>
      </c>
      <c r="LW144">
        <v>1</v>
      </c>
      <c r="LX144">
        <v>1</v>
      </c>
      <c r="LY144">
        <v>1</v>
      </c>
      <c r="LZ144">
        <v>1</v>
      </c>
      <c r="MA144">
        <v>1</v>
      </c>
      <c r="MB144">
        <v>1</v>
      </c>
      <c r="MC144">
        <v>1</v>
      </c>
      <c r="MD144">
        <v>1</v>
      </c>
      <c r="ME144">
        <v>1</v>
      </c>
      <c r="MF144">
        <v>1</v>
      </c>
      <c r="MG144">
        <v>1</v>
      </c>
      <c r="MH144">
        <v>1</v>
      </c>
      <c r="MI144">
        <v>1</v>
      </c>
      <c r="MJ144">
        <v>1</v>
      </c>
      <c r="MK144">
        <v>1</v>
      </c>
      <c r="ML144">
        <v>1</v>
      </c>
      <c r="MM144">
        <v>1</v>
      </c>
      <c r="MN144">
        <v>1</v>
      </c>
      <c r="MO144">
        <v>1</v>
      </c>
      <c r="MP144">
        <v>1</v>
      </c>
      <c r="MQ144">
        <v>1</v>
      </c>
      <c r="MR144">
        <v>1</v>
      </c>
      <c r="MS144">
        <v>1</v>
      </c>
      <c r="MT144">
        <v>1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</v>
      </c>
      <c r="NA144">
        <v>1</v>
      </c>
      <c r="NB144">
        <v>1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1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1</v>
      </c>
      <c r="NP144">
        <v>90.511880000000005</v>
      </c>
      <c r="NQ144">
        <v>1</v>
      </c>
      <c r="NR144">
        <v>1</v>
      </c>
      <c r="NS144">
        <v>1</v>
      </c>
      <c r="NT144">
        <v>1</v>
      </c>
      <c r="NU144">
        <v>1</v>
      </c>
      <c r="NV144">
        <v>1</v>
      </c>
      <c r="NW144">
        <v>1</v>
      </c>
      <c r="NX144">
        <v>1</v>
      </c>
      <c r="NY144">
        <v>1</v>
      </c>
      <c r="NZ144">
        <v>1</v>
      </c>
      <c r="OA144">
        <v>1</v>
      </c>
      <c r="OB144">
        <v>1</v>
      </c>
      <c r="OC144">
        <v>39.9</v>
      </c>
      <c r="OD144">
        <v>13545</v>
      </c>
      <c r="OE144">
        <v>0</v>
      </c>
      <c r="OF144">
        <v>69.9465</v>
      </c>
      <c r="OG144">
        <v>32.4</v>
      </c>
      <c r="OH144">
        <v>57.552999999999997</v>
      </c>
    </row>
    <row r="145" spans="1:398">
      <c r="A145">
        <v>14</v>
      </c>
      <c r="B145" t="s">
        <v>27</v>
      </c>
      <c r="C145" t="s">
        <v>26</v>
      </c>
      <c r="D145">
        <v>2010</v>
      </c>
      <c r="E145">
        <v>9.2609999999999992</v>
      </c>
      <c r="F145">
        <v>1.0295000000000001</v>
      </c>
      <c r="G145">
        <v>399</v>
      </c>
      <c r="H145">
        <v>19.600000000000001</v>
      </c>
      <c r="I145">
        <v>82.3</v>
      </c>
      <c r="J145">
        <v>5.2</v>
      </c>
      <c r="K145">
        <v>306.10000000000002</v>
      </c>
      <c r="L145">
        <v>0.7</v>
      </c>
      <c r="M145">
        <v>3</v>
      </c>
      <c r="N145">
        <v>140978</v>
      </c>
      <c r="O145">
        <v>6.32</v>
      </c>
      <c r="P145">
        <v>0.68</v>
      </c>
      <c r="Q145">
        <v>5116.57</v>
      </c>
      <c r="R145">
        <v>28.9</v>
      </c>
      <c r="S145">
        <v>0.21405399999999999</v>
      </c>
      <c r="T145">
        <v>-1.0960350000000001</v>
      </c>
      <c r="U145">
        <v>-0.66848200000000002</v>
      </c>
      <c r="V145">
        <v>-0.8121893</v>
      </c>
      <c r="W145">
        <v>-0.96369680000000002</v>
      </c>
      <c r="X145">
        <v>-0.1037299</v>
      </c>
      <c r="Y145">
        <v>-0.4889116</v>
      </c>
      <c r="Z145">
        <v>-0.58319679999999996</v>
      </c>
      <c r="AA145">
        <v>8.3346600000000007E-2</v>
      </c>
      <c r="AB145">
        <v>1.657745</v>
      </c>
      <c r="AC145">
        <v>2.9113900000000002E-2</v>
      </c>
      <c r="AD145">
        <v>-1.2364889999999999</v>
      </c>
      <c r="AE145">
        <v>-0.84827050000000004</v>
      </c>
      <c r="AF145">
        <v>-0.48905520000000002</v>
      </c>
      <c r="AG145">
        <v>-0.3046603</v>
      </c>
      <c r="AH145">
        <v>-1.512624</v>
      </c>
      <c r="AI145">
        <v>2.2258119999999999</v>
      </c>
      <c r="AJ145">
        <v>2.90733E-2</v>
      </c>
      <c r="AK145">
        <v>5.9889609999999998</v>
      </c>
      <c r="AL145">
        <v>4.4103709999999996</v>
      </c>
      <c r="AM145">
        <v>1.6486590000000001</v>
      </c>
      <c r="AN145">
        <v>5.7239120000000003</v>
      </c>
      <c r="AO145">
        <v>11.85636</v>
      </c>
      <c r="AP145">
        <v>-0.38566250000000002</v>
      </c>
      <c r="AQ145">
        <v>8.5402389999999997</v>
      </c>
      <c r="AR145">
        <v>4.7046599999999996</v>
      </c>
      <c r="AS145">
        <v>2.6026899999999999</v>
      </c>
      <c r="AT145">
        <v>9.33324</v>
      </c>
      <c r="AU145">
        <v>68.911000000000001</v>
      </c>
      <c r="AV145">
        <v>157.465</v>
      </c>
      <c r="AW145">
        <v>-15.8522</v>
      </c>
      <c r="AX145" s="17">
        <v>-21000000000</v>
      </c>
      <c r="AY145">
        <v>3.4965099999999998</v>
      </c>
      <c r="AZ145">
        <v>0.56000000000000005</v>
      </c>
      <c r="BA145">
        <v>1.8437190000000001</v>
      </c>
      <c r="BB145">
        <v>1.8437192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-0.46203499999999997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3.3869999999999998E-3</v>
      </c>
      <c r="CG145">
        <v>0.40240680000000001</v>
      </c>
      <c r="CH145">
        <v>0.147064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-1.045763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0.1619312</v>
      </c>
      <c r="DI145">
        <v>1.09362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0.22534779999999999</v>
      </c>
      <c r="DW145">
        <v>-0.58562720000000001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13.939120000000001</v>
      </c>
      <c r="EW145">
        <v>7.1506600000000003E-2</v>
      </c>
      <c r="EX145">
        <v>7.1475499999999997E-2</v>
      </c>
      <c r="EY145">
        <v>7.1476200000000004E-2</v>
      </c>
      <c r="EZ145">
        <v>7.14978E-2</v>
      </c>
      <c r="FA145">
        <v>7.13202E-2</v>
      </c>
      <c r="FB145">
        <v>7.14785E-2</v>
      </c>
      <c r="FC145">
        <v>7.1697200000000003E-2</v>
      </c>
      <c r="FD145">
        <v>7.1313600000000005E-2</v>
      </c>
      <c r="FE145">
        <v>7.0945800000000003E-2</v>
      </c>
      <c r="FF145">
        <v>7.1341699999999994E-2</v>
      </c>
      <c r="FG145">
        <v>7.14949E-2</v>
      </c>
      <c r="FH145">
        <v>7.1553599999999995E-2</v>
      </c>
      <c r="FI145">
        <v>7.1513999999999994E-2</v>
      </c>
      <c r="FJ145">
        <v>7.1384400000000001E-2</v>
      </c>
      <c r="FK145">
        <v>0.21383769999999999</v>
      </c>
      <c r="FL145">
        <v>4.5726599999999999E-2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-1.0960350000000001</v>
      </c>
      <c r="FZ145">
        <v>-0.66848200000000002</v>
      </c>
      <c r="GA145">
        <v>-0.8121893</v>
      </c>
      <c r="GB145">
        <v>-0.1037299</v>
      </c>
      <c r="GC145">
        <v>-0.58319679999999996</v>
      </c>
      <c r="GD145">
        <v>2.9113900000000002E-2</v>
      </c>
      <c r="GE145">
        <v>-0.3046603</v>
      </c>
      <c r="GF145">
        <v>-1.2364889999999999</v>
      </c>
      <c r="GG145">
        <v>-0.84827050000000004</v>
      </c>
      <c r="GH145">
        <v>-2.052095</v>
      </c>
      <c r="GI145">
        <v>4.2110940000000001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0.1197491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-1.149173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1</v>
      </c>
      <c r="JU145">
        <v>1</v>
      </c>
      <c r="JV145">
        <v>1</v>
      </c>
      <c r="JW145">
        <v>1</v>
      </c>
      <c r="JX145">
        <v>1</v>
      </c>
      <c r="JY145">
        <v>1</v>
      </c>
      <c r="JZ145">
        <v>1</v>
      </c>
      <c r="KA145">
        <v>1</v>
      </c>
      <c r="KB145">
        <v>1</v>
      </c>
      <c r="KC145">
        <v>1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1</v>
      </c>
      <c r="KN145">
        <v>1</v>
      </c>
      <c r="KO145">
        <v>1</v>
      </c>
      <c r="KP145">
        <v>1</v>
      </c>
      <c r="KQ145">
        <v>1</v>
      </c>
      <c r="KR145">
        <v>1</v>
      </c>
      <c r="KS145">
        <v>1</v>
      </c>
      <c r="KT145">
        <v>1</v>
      </c>
      <c r="KU145">
        <v>1</v>
      </c>
      <c r="KV145">
        <v>1</v>
      </c>
      <c r="KW145">
        <v>1</v>
      </c>
      <c r="KX145">
        <v>1</v>
      </c>
      <c r="KY145">
        <v>1</v>
      </c>
      <c r="KZ145">
        <v>1</v>
      </c>
      <c r="LA145">
        <v>1</v>
      </c>
      <c r="LB145">
        <v>1</v>
      </c>
      <c r="LC145">
        <v>1</v>
      </c>
      <c r="LD145">
        <v>1</v>
      </c>
      <c r="LE145">
        <v>1</v>
      </c>
      <c r="LF145">
        <v>1</v>
      </c>
      <c r="LG145">
        <v>1</v>
      </c>
      <c r="LH145">
        <v>1</v>
      </c>
      <c r="LI145">
        <v>1</v>
      </c>
      <c r="LJ145">
        <v>1</v>
      </c>
      <c r="LK145">
        <v>1</v>
      </c>
      <c r="LL145">
        <v>1</v>
      </c>
      <c r="LM145">
        <v>1</v>
      </c>
      <c r="LN145">
        <v>1</v>
      </c>
      <c r="LO145">
        <v>1</v>
      </c>
      <c r="LP145">
        <v>1</v>
      </c>
      <c r="LQ145">
        <v>1</v>
      </c>
      <c r="LR145">
        <v>1</v>
      </c>
      <c r="LS145">
        <v>1</v>
      </c>
      <c r="LT145">
        <v>1</v>
      </c>
      <c r="LU145">
        <v>1</v>
      </c>
      <c r="LV145">
        <v>1</v>
      </c>
      <c r="LW145">
        <v>1</v>
      </c>
      <c r="LX145">
        <v>1</v>
      </c>
      <c r="LY145">
        <v>1</v>
      </c>
      <c r="LZ145">
        <v>1</v>
      </c>
      <c r="MA145">
        <v>1</v>
      </c>
      <c r="MB145">
        <v>1</v>
      </c>
      <c r="MC145">
        <v>1</v>
      </c>
      <c r="MD145">
        <v>1</v>
      </c>
      <c r="ME145">
        <v>1</v>
      </c>
      <c r="MF145">
        <v>1</v>
      </c>
      <c r="MG145">
        <v>1</v>
      </c>
      <c r="MH145">
        <v>1</v>
      </c>
      <c r="MI145">
        <v>1</v>
      </c>
      <c r="MJ145">
        <v>1</v>
      </c>
      <c r="MK145">
        <v>1</v>
      </c>
      <c r="ML145">
        <v>1</v>
      </c>
      <c r="MM145">
        <v>1</v>
      </c>
      <c r="MN145">
        <v>1</v>
      </c>
      <c r="MO145">
        <v>1</v>
      </c>
      <c r="MP145">
        <v>1</v>
      </c>
      <c r="MQ145">
        <v>1</v>
      </c>
      <c r="MR145">
        <v>1</v>
      </c>
      <c r="MS145">
        <v>1</v>
      </c>
      <c r="MT145">
        <v>1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1</v>
      </c>
      <c r="NI145">
        <v>1</v>
      </c>
      <c r="NJ145">
        <v>1</v>
      </c>
      <c r="NK145">
        <v>1</v>
      </c>
      <c r="NL145">
        <v>1</v>
      </c>
      <c r="NM145">
        <v>1</v>
      </c>
      <c r="NN145">
        <v>1</v>
      </c>
      <c r="NO145">
        <v>1</v>
      </c>
      <c r="NP145">
        <v>87.109359999999995</v>
      </c>
      <c r="NQ145">
        <v>1</v>
      </c>
      <c r="NR145">
        <v>1</v>
      </c>
      <c r="NS145">
        <v>1</v>
      </c>
      <c r="NT145">
        <v>1</v>
      </c>
      <c r="NU145">
        <v>1</v>
      </c>
      <c r="NV145">
        <v>1</v>
      </c>
      <c r="NW145">
        <v>1</v>
      </c>
      <c r="NX145">
        <v>1</v>
      </c>
      <c r="NY145">
        <v>1</v>
      </c>
      <c r="NZ145">
        <v>1</v>
      </c>
      <c r="OA145">
        <v>1</v>
      </c>
      <c r="OB145">
        <v>1</v>
      </c>
      <c r="OC145">
        <v>33</v>
      </c>
      <c r="OD145">
        <v>11307.7</v>
      </c>
      <c r="OE145">
        <v>0.63</v>
      </c>
      <c r="OF145">
        <v>110.461</v>
      </c>
      <c r="OG145">
        <v>13.5</v>
      </c>
      <c r="OH145">
        <v>68.911000000000001</v>
      </c>
    </row>
    <row r="146" spans="1:398">
      <c r="A146">
        <v>14</v>
      </c>
      <c r="B146" t="s">
        <v>27</v>
      </c>
      <c r="C146" t="s">
        <v>26</v>
      </c>
      <c r="D146">
        <v>2011</v>
      </c>
      <c r="E146">
        <v>9.0299999999999994</v>
      </c>
      <c r="F146">
        <v>1.0444</v>
      </c>
      <c r="G146">
        <v>415</v>
      </c>
      <c r="H146">
        <v>22</v>
      </c>
      <c r="I146">
        <v>87.7</v>
      </c>
      <c r="J146">
        <v>5.4</v>
      </c>
      <c r="K146">
        <v>663.5</v>
      </c>
      <c r="L146">
        <v>0.6</v>
      </c>
      <c r="M146">
        <v>2.7</v>
      </c>
      <c r="N146">
        <v>121637</v>
      </c>
      <c r="O146">
        <v>4.57</v>
      </c>
      <c r="P146">
        <v>0.69</v>
      </c>
      <c r="Q146">
        <v>4982.58</v>
      </c>
      <c r="R146">
        <v>29.5</v>
      </c>
      <c r="S146">
        <v>0.21546499999999999</v>
      </c>
      <c r="T146">
        <v>-1.1241000000000001</v>
      </c>
      <c r="U146">
        <v>-0.65418180000000004</v>
      </c>
      <c r="V146">
        <v>-0.69070980000000004</v>
      </c>
      <c r="W146">
        <v>-0.80920199999999998</v>
      </c>
      <c r="X146">
        <v>0.64632650000000003</v>
      </c>
      <c r="Y146">
        <v>-0.45688529999999999</v>
      </c>
      <c r="Z146">
        <v>-0.53655929999999996</v>
      </c>
      <c r="AA146">
        <v>-0.19478780000000001</v>
      </c>
      <c r="AB146">
        <v>1.261965</v>
      </c>
      <c r="AC146">
        <v>-7.3586299999999993E-2</v>
      </c>
      <c r="AD146">
        <v>-1.1874849999999999</v>
      </c>
      <c r="AE146">
        <v>-0.89241579999999998</v>
      </c>
      <c r="AF146">
        <v>-0.45744829999999997</v>
      </c>
      <c r="AG146">
        <v>-0.39580599999999999</v>
      </c>
      <c r="AH146">
        <v>-1.5892679999999999</v>
      </c>
      <c r="AI146">
        <v>2.2005520000000001</v>
      </c>
      <c r="AJ146">
        <v>4.3442500000000002E-2</v>
      </c>
      <c r="AK146">
        <v>6.0282780000000002</v>
      </c>
      <c r="AL146">
        <v>4.473922</v>
      </c>
      <c r="AM146">
        <v>1.686399</v>
      </c>
      <c r="AN146">
        <v>6.4975290000000001</v>
      </c>
      <c r="AO146">
        <v>11.7088</v>
      </c>
      <c r="AP146">
        <v>-0.3710637</v>
      </c>
      <c r="AQ146">
        <v>8.5137020000000003</v>
      </c>
      <c r="AR146">
        <v>4.7018300000000002</v>
      </c>
      <c r="AS146">
        <v>2.6878500000000001</v>
      </c>
      <c r="AT146">
        <v>9.3545700000000007</v>
      </c>
      <c r="AU146">
        <v>69.358000000000004</v>
      </c>
      <c r="AV146">
        <v>166.43299999999999</v>
      </c>
      <c r="AW146">
        <v>7.4423700000000004</v>
      </c>
      <c r="AX146" s="17">
        <v>11000000000</v>
      </c>
      <c r="AY146">
        <v>3.5409600000000001</v>
      </c>
      <c r="AZ146">
        <v>0.53</v>
      </c>
      <c r="BA146">
        <v>1.5195129999999999</v>
      </c>
      <c r="BB146">
        <v>1.5195132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-0.77652900000000002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3.8961999999999998E-3</v>
      </c>
      <c r="CG146">
        <v>0.40718989999999999</v>
      </c>
      <c r="CH146">
        <v>0.14218800000000001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-1.032527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0.1658036</v>
      </c>
      <c r="DI146">
        <v>1.066111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0.21581059999999999</v>
      </c>
      <c r="DW146">
        <v>-0.54723909999999998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13.94004</v>
      </c>
      <c r="EW146">
        <v>7.1507299999999996E-2</v>
      </c>
      <c r="EX146">
        <v>7.1467199999999995E-2</v>
      </c>
      <c r="EY146">
        <v>7.1449899999999997E-2</v>
      </c>
      <c r="EZ146">
        <v>7.1463499999999999E-2</v>
      </c>
      <c r="FA146">
        <v>7.1261599999999994E-2</v>
      </c>
      <c r="FB146">
        <v>7.1464E-2</v>
      </c>
      <c r="FC146">
        <v>7.1651300000000001E-2</v>
      </c>
      <c r="FD146">
        <v>7.1368699999999993E-2</v>
      </c>
      <c r="FE146">
        <v>7.1022500000000002E-2</v>
      </c>
      <c r="FF146">
        <v>7.1383799999999997E-2</v>
      </c>
      <c r="FG146">
        <v>7.1529400000000007E-2</v>
      </c>
      <c r="FH146">
        <v>7.1538299999999999E-2</v>
      </c>
      <c r="FI146">
        <v>7.1519899999999997E-2</v>
      </c>
      <c r="FJ146">
        <v>7.1372599999999994E-2</v>
      </c>
      <c r="FK146">
        <v>0.21527540000000001</v>
      </c>
      <c r="FL146">
        <v>4.6343500000000003E-2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-1.1241000000000001</v>
      </c>
      <c r="FZ146">
        <v>-0.65418180000000004</v>
      </c>
      <c r="GA146">
        <v>-0.69070980000000004</v>
      </c>
      <c r="GB146">
        <v>0.64632650000000003</v>
      </c>
      <c r="GC146">
        <v>-0.53655929999999996</v>
      </c>
      <c r="GD146">
        <v>-7.3586299999999993E-2</v>
      </c>
      <c r="GE146">
        <v>-0.39580599999999999</v>
      </c>
      <c r="GF146">
        <v>-1.1874849999999999</v>
      </c>
      <c r="GG146">
        <v>-0.89241579999999998</v>
      </c>
      <c r="GH146">
        <v>-2.1768260000000001</v>
      </c>
      <c r="GI146">
        <v>4.7385719999999996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0.114096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-1.153718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1</v>
      </c>
      <c r="KP146">
        <v>1</v>
      </c>
      <c r="KQ146">
        <v>1</v>
      </c>
      <c r="KR146">
        <v>1</v>
      </c>
      <c r="KS146">
        <v>1</v>
      </c>
      <c r="KT146">
        <v>1</v>
      </c>
      <c r="KU146">
        <v>1</v>
      </c>
      <c r="KV146">
        <v>1</v>
      </c>
      <c r="KW146">
        <v>1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1</v>
      </c>
      <c r="LE146">
        <v>1</v>
      </c>
      <c r="LF146">
        <v>1</v>
      </c>
      <c r="LG146">
        <v>1</v>
      </c>
      <c r="LH146">
        <v>1</v>
      </c>
      <c r="LI146">
        <v>1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1</v>
      </c>
      <c r="LR146">
        <v>1</v>
      </c>
      <c r="LS146">
        <v>1</v>
      </c>
      <c r="LT146">
        <v>1</v>
      </c>
      <c r="LU146">
        <v>1</v>
      </c>
      <c r="LV146">
        <v>1</v>
      </c>
      <c r="LW146">
        <v>1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1</v>
      </c>
      <c r="MD146">
        <v>1</v>
      </c>
      <c r="ME146">
        <v>1</v>
      </c>
      <c r="MF146">
        <v>1</v>
      </c>
      <c r="MG146">
        <v>1</v>
      </c>
      <c r="MH146">
        <v>1</v>
      </c>
      <c r="MI146">
        <v>1</v>
      </c>
      <c r="MJ146">
        <v>1</v>
      </c>
      <c r="MK146">
        <v>1</v>
      </c>
      <c r="ML146">
        <v>1</v>
      </c>
      <c r="MM146">
        <v>1</v>
      </c>
      <c r="MN146">
        <v>1</v>
      </c>
      <c r="MO146">
        <v>1</v>
      </c>
      <c r="MP146">
        <v>1</v>
      </c>
      <c r="MQ146">
        <v>1</v>
      </c>
      <c r="MR146">
        <v>1</v>
      </c>
      <c r="MS146">
        <v>1</v>
      </c>
      <c r="MT146">
        <v>1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1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1</v>
      </c>
      <c r="NP146">
        <v>87.507990000000007</v>
      </c>
      <c r="NQ146">
        <v>1</v>
      </c>
      <c r="NR146">
        <v>1</v>
      </c>
      <c r="NS146">
        <v>1</v>
      </c>
      <c r="NT146">
        <v>1</v>
      </c>
      <c r="NU146">
        <v>1</v>
      </c>
      <c r="NV146">
        <v>1</v>
      </c>
      <c r="NW146">
        <v>1</v>
      </c>
      <c r="NX146">
        <v>1</v>
      </c>
      <c r="NY146">
        <v>1</v>
      </c>
      <c r="NZ146">
        <v>1</v>
      </c>
      <c r="OA146">
        <v>1</v>
      </c>
      <c r="OB146">
        <v>1</v>
      </c>
      <c r="OC146">
        <v>34.5</v>
      </c>
      <c r="OD146">
        <v>11551.5</v>
      </c>
      <c r="OE146">
        <v>0.46</v>
      </c>
      <c r="OF146">
        <v>110.148</v>
      </c>
      <c r="OG146">
        <v>14.7</v>
      </c>
      <c r="OH146">
        <v>69.358000000000004</v>
      </c>
    </row>
    <row r="147" spans="1:398">
      <c r="A147">
        <v>14</v>
      </c>
      <c r="B147" t="s">
        <v>27</v>
      </c>
      <c r="C147" t="s">
        <v>26</v>
      </c>
      <c r="D147">
        <v>2012</v>
      </c>
      <c r="E147">
        <v>8.1809999999999992</v>
      </c>
      <c r="F147">
        <v>1.1774</v>
      </c>
      <c r="G147">
        <v>405</v>
      </c>
      <c r="H147">
        <v>25.5</v>
      </c>
      <c r="I147">
        <v>81.5</v>
      </c>
      <c r="J147">
        <v>6</v>
      </c>
      <c r="K147">
        <v>397.6</v>
      </c>
      <c r="L147">
        <v>0.5</v>
      </c>
      <c r="M147">
        <v>2.4</v>
      </c>
      <c r="N147">
        <v>112989</v>
      </c>
      <c r="O147">
        <v>3.4</v>
      </c>
      <c r="P147">
        <v>0.7</v>
      </c>
      <c r="Q147">
        <v>5101.18</v>
      </c>
      <c r="R147">
        <v>31.4</v>
      </c>
      <c r="S147">
        <v>0.20838799999999999</v>
      </c>
      <c r="T147">
        <v>-1.227249</v>
      </c>
      <c r="U147">
        <v>-0.52653499999999998</v>
      </c>
      <c r="V147">
        <v>-0.7666345</v>
      </c>
      <c r="W147">
        <v>-0.58389679999999999</v>
      </c>
      <c r="X147">
        <v>-0.21484990000000001</v>
      </c>
      <c r="Y147">
        <v>-0.36080679999999998</v>
      </c>
      <c r="Z147">
        <v>-0.57125689999999996</v>
      </c>
      <c r="AA147">
        <v>-0.47292210000000001</v>
      </c>
      <c r="AB147">
        <v>0.86618490000000004</v>
      </c>
      <c r="AC147">
        <v>-0.119507</v>
      </c>
      <c r="AD147">
        <v>-1.1384810000000001</v>
      </c>
      <c r="AE147">
        <v>-0.85334189999999999</v>
      </c>
      <c r="AF147">
        <v>-0.35735990000000001</v>
      </c>
      <c r="AG147">
        <v>-0.45674340000000002</v>
      </c>
      <c r="AH147">
        <v>-1.384781</v>
      </c>
      <c r="AI147">
        <v>2.1018140000000001</v>
      </c>
      <c r="AJ147">
        <v>0.1633086</v>
      </c>
      <c r="AK147">
        <v>6.0038869999999998</v>
      </c>
      <c r="AL147">
        <v>4.4006030000000003</v>
      </c>
      <c r="AM147">
        <v>1.7917590000000001</v>
      </c>
      <c r="AN147">
        <v>5.9854459999999996</v>
      </c>
      <c r="AO147">
        <v>11.63505</v>
      </c>
      <c r="AP147">
        <v>-0.35667500000000002</v>
      </c>
      <c r="AQ147">
        <v>8.5372269999999997</v>
      </c>
      <c r="AR147">
        <v>4.6966599999999996</v>
      </c>
      <c r="AS147">
        <v>2.8033600000000001</v>
      </c>
      <c r="AT147">
        <v>9.3471499999999992</v>
      </c>
      <c r="AU147">
        <v>69.677999999999997</v>
      </c>
      <c r="AV147">
        <v>165.649</v>
      </c>
      <c r="AW147">
        <v>8.2833199999999998</v>
      </c>
      <c r="AX147" s="17">
        <v>11000000000</v>
      </c>
      <c r="AY147">
        <v>3.6243400000000001</v>
      </c>
      <c r="AZ147">
        <v>0.47</v>
      </c>
      <c r="BA147">
        <v>1.223776</v>
      </c>
      <c r="BB147">
        <v>1.2237754999999999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-1.07881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4.6365E-3</v>
      </c>
      <c r="CG147">
        <v>0.3963373</v>
      </c>
      <c r="CH147">
        <v>0.13941899999999999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-0.87109720000000002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0.15708330000000001</v>
      </c>
      <c r="DI147">
        <v>0.75881030000000005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0.18627850000000001</v>
      </c>
      <c r="DW147">
        <v>-0.40941569999999999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13.94242</v>
      </c>
      <c r="EW147">
        <v>7.1513499999999994E-2</v>
      </c>
      <c r="EX147">
        <v>7.1417499999999995E-2</v>
      </c>
      <c r="EY147">
        <v>7.1452600000000005E-2</v>
      </c>
      <c r="EZ147">
        <v>7.1409700000000007E-2</v>
      </c>
      <c r="FA147">
        <v>7.1316599999999994E-2</v>
      </c>
      <c r="FB147">
        <v>7.1421600000000002E-2</v>
      </c>
      <c r="FC147">
        <v>7.1669200000000002E-2</v>
      </c>
      <c r="FD147">
        <v>7.1418400000000007E-2</v>
      </c>
      <c r="FE147">
        <v>7.1092299999999997E-2</v>
      </c>
      <c r="FF147">
        <v>7.1393700000000004E-2</v>
      </c>
      <c r="FG147">
        <v>7.1544499999999997E-2</v>
      </c>
      <c r="FH147">
        <v>7.1515700000000001E-2</v>
      </c>
      <c r="FI147">
        <v>7.1499400000000005E-2</v>
      </c>
      <c r="FJ147">
        <v>7.1335200000000001E-2</v>
      </c>
      <c r="FK147">
        <v>0.20824500000000001</v>
      </c>
      <c r="FL147">
        <v>4.3366000000000002E-2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-1.227249</v>
      </c>
      <c r="FZ147">
        <v>-0.52653499999999998</v>
      </c>
      <c r="GA147">
        <v>-0.7666345</v>
      </c>
      <c r="GB147">
        <v>-0.21484990000000001</v>
      </c>
      <c r="GC147">
        <v>-0.57125689999999996</v>
      </c>
      <c r="GD147">
        <v>-0.119507</v>
      </c>
      <c r="GE147">
        <v>-0.45674340000000002</v>
      </c>
      <c r="GF147">
        <v>-1.1384810000000001</v>
      </c>
      <c r="GG147">
        <v>-0.85334189999999999</v>
      </c>
      <c r="GH147">
        <v>-1.9148160000000001</v>
      </c>
      <c r="GI147">
        <v>3.6665209999999999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9.7875100000000007E-2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-0.89996359999999997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1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1</v>
      </c>
      <c r="NP147">
        <v>87.369209999999995</v>
      </c>
      <c r="NQ147">
        <v>1</v>
      </c>
      <c r="NR147">
        <v>1</v>
      </c>
      <c r="NS147">
        <v>1</v>
      </c>
      <c r="NT147">
        <v>1</v>
      </c>
      <c r="NU147">
        <v>1</v>
      </c>
      <c r="NV147">
        <v>1</v>
      </c>
      <c r="NW147">
        <v>1</v>
      </c>
      <c r="NX147">
        <v>1</v>
      </c>
      <c r="NY147">
        <v>1</v>
      </c>
      <c r="NZ147">
        <v>1</v>
      </c>
      <c r="OA147">
        <v>1</v>
      </c>
      <c r="OB147">
        <v>1</v>
      </c>
      <c r="OC147">
        <v>37.5</v>
      </c>
      <c r="OD147">
        <v>11466.1</v>
      </c>
      <c r="OE147">
        <v>0.34</v>
      </c>
      <c r="OF147">
        <v>109.581</v>
      </c>
      <c r="OG147">
        <v>16.5</v>
      </c>
      <c r="OH147">
        <v>69.677999999999997</v>
      </c>
    </row>
    <row r="148" spans="1:398">
      <c r="A148">
        <v>14</v>
      </c>
      <c r="B148" t="s">
        <v>27</v>
      </c>
      <c r="C148" t="s">
        <v>26</v>
      </c>
      <c r="D148">
        <v>2013</v>
      </c>
      <c r="E148">
        <v>9.6620000000000008</v>
      </c>
      <c r="F148">
        <v>1.0465</v>
      </c>
      <c r="G148">
        <v>379</v>
      </c>
      <c r="H148">
        <v>26.4</v>
      </c>
      <c r="I148">
        <v>87.7</v>
      </c>
      <c r="J148">
        <v>6.1</v>
      </c>
      <c r="K148">
        <v>809.7</v>
      </c>
      <c r="L148">
        <v>0.4</v>
      </c>
      <c r="M148">
        <v>2.1</v>
      </c>
      <c r="N148">
        <v>99999</v>
      </c>
      <c r="O148">
        <v>1.25</v>
      </c>
      <c r="P148">
        <v>0.7</v>
      </c>
      <c r="Q148">
        <v>5338.21</v>
      </c>
      <c r="R148">
        <v>30.2</v>
      </c>
      <c r="S148">
        <v>0.20343</v>
      </c>
      <c r="T148">
        <v>-1.0473159999999999</v>
      </c>
      <c r="U148">
        <v>-0.65216629999999998</v>
      </c>
      <c r="V148">
        <v>-0.96403859999999997</v>
      </c>
      <c r="W148">
        <v>-0.52596120000000002</v>
      </c>
      <c r="X148">
        <v>0.64632650000000003</v>
      </c>
      <c r="Y148">
        <v>-0.34479369999999998</v>
      </c>
      <c r="Z148">
        <v>-0.51748150000000004</v>
      </c>
      <c r="AA148">
        <v>-0.75105639999999996</v>
      </c>
      <c r="AB148">
        <v>0.47040490000000001</v>
      </c>
      <c r="AC148">
        <v>-0.1884836</v>
      </c>
      <c r="AD148">
        <v>-1.1384810000000001</v>
      </c>
      <c r="AE148">
        <v>-0.77524919999999997</v>
      </c>
      <c r="AF148">
        <v>-0.42057359999999999</v>
      </c>
      <c r="AG148">
        <v>-0.56872239999999996</v>
      </c>
      <c r="AH148">
        <v>-1.652042</v>
      </c>
      <c r="AI148">
        <v>2.2682009999999999</v>
      </c>
      <c r="AJ148">
        <v>4.5451199999999997E-2</v>
      </c>
      <c r="AK148">
        <v>5.9375359999999997</v>
      </c>
      <c r="AL148">
        <v>4.473922</v>
      </c>
      <c r="AM148">
        <v>1.808289</v>
      </c>
      <c r="AN148">
        <v>6.6966640000000002</v>
      </c>
      <c r="AO148">
        <v>11.512919999999999</v>
      </c>
      <c r="AP148">
        <v>-0.35667500000000002</v>
      </c>
      <c r="AQ148">
        <v>8.5826449999999994</v>
      </c>
      <c r="AR148">
        <v>4.6939099999999998</v>
      </c>
      <c r="AS148">
        <v>2.84491</v>
      </c>
      <c r="AT148">
        <v>9.3677700000000002</v>
      </c>
      <c r="AU148">
        <v>69.953000000000003</v>
      </c>
      <c r="AV148">
        <v>164.346</v>
      </c>
      <c r="AW148">
        <v>-2.7490899999999998</v>
      </c>
      <c r="AX148" s="17">
        <v>-3700000000</v>
      </c>
      <c r="AY148">
        <v>3.6243400000000001</v>
      </c>
      <c r="AZ148">
        <v>0.47</v>
      </c>
      <c r="BA148">
        <v>0.22314349999999999</v>
      </c>
      <c r="BB148">
        <v>0.22314355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-2.0402200000000001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4.8082000000000003E-3</v>
      </c>
      <c r="CG148">
        <v>0.39536690000000002</v>
      </c>
      <c r="CH148">
        <v>0.13042899999999999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-1.23055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0.15631500000000001</v>
      </c>
      <c r="DI148">
        <v>1.5142530000000001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0.1858224</v>
      </c>
      <c r="DW148">
        <v>-0.5783585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13.944660000000001</v>
      </c>
      <c r="EW148">
        <v>7.1471699999999999E-2</v>
      </c>
      <c r="EX148">
        <v>7.14447E-2</v>
      </c>
      <c r="EY148">
        <v>7.1479000000000001E-2</v>
      </c>
      <c r="EZ148">
        <v>7.1388800000000002E-2</v>
      </c>
      <c r="FA148">
        <v>7.1243200000000007E-2</v>
      </c>
      <c r="FB148">
        <v>7.14061E-2</v>
      </c>
      <c r="FC148">
        <v>7.1611999999999995E-2</v>
      </c>
      <c r="FD148">
        <v>7.1471699999999999E-2</v>
      </c>
      <c r="FE148">
        <v>7.11643E-2</v>
      </c>
      <c r="FF148">
        <v>7.1414900000000003E-2</v>
      </c>
      <c r="FG148">
        <v>7.1585300000000004E-2</v>
      </c>
      <c r="FH148">
        <v>7.1504700000000004E-2</v>
      </c>
      <c r="FI148">
        <v>7.1471199999999999E-2</v>
      </c>
      <c r="FJ148">
        <v>7.13424E-2</v>
      </c>
      <c r="FK148">
        <v>0.20328180000000001</v>
      </c>
      <c r="FL148">
        <v>4.1323499999999999E-2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-1.0473159999999999</v>
      </c>
      <c r="FZ148">
        <v>-0.65216629999999998</v>
      </c>
      <c r="GA148">
        <v>-0.96403859999999997</v>
      </c>
      <c r="GB148">
        <v>0.64632650000000003</v>
      </c>
      <c r="GC148">
        <v>-0.51748150000000004</v>
      </c>
      <c r="GD148">
        <v>-0.1884836</v>
      </c>
      <c r="GE148">
        <v>-0.56872239999999996</v>
      </c>
      <c r="GF148">
        <v>-1.1384810000000001</v>
      </c>
      <c r="GG148">
        <v>-0.77524919999999997</v>
      </c>
      <c r="GH148">
        <v>-2.29555</v>
      </c>
      <c r="GI148">
        <v>5.2695480000000003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9.55424E-2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-1.078908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1</v>
      </c>
      <c r="KQ148">
        <v>1</v>
      </c>
      <c r="KR148">
        <v>1</v>
      </c>
      <c r="KS148">
        <v>1</v>
      </c>
      <c r="KT148">
        <v>1</v>
      </c>
      <c r="KU148">
        <v>1</v>
      </c>
      <c r="KV148">
        <v>1</v>
      </c>
      <c r="KW148">
        <v>1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1</v>
      </c>
      <c r="LE148">
        <v>1</v>
      </c>
      <c r="LF148">
        <v>1</v>
      </c>
      <c r="LG148">
        <v>1</v>
      </c>
      <c r="LH148">
        <v>1</v>
      </c>
      <c r="LI148">
        <v>1</v>
      </c>
      <c r="LJ148">
        <v>1</v>
      </c>
      <c r="LK148">
        <v>1</v>
      </c>
      <c r="LL148">
        <v>1</v>
      </c>
      <c r="LM148">
        <v>1</v>
      </c>
      <c r="LN148">
        <v>1</v>
      </c>
      <c r="LO148">
        <v>1</v>
      </c>
      <c r="LP148">
        <v>1</v>
      </c>
      <c r="LQ148">
        <v>1</v>
      </c>
      <c r="LR148">
        <v>1</v>
      </c>
      <c r="LS148">
        <v>1</v>
      </c>
      <c r="LT148">
        <v>1</v>
      </c>
      <c r="LU148">
        <v>1</v>
      </c>
      <c r="LV148">
        <v>1</v>
      </c>
      <c r="LW148">
        <v>1</v>
      </c>
      <c r="LX148">
        <v>1</v>
      </c>
      <c r="LY148">
        <v>1</v>
      </c>
      <c r="LZ148">
        <v>1</v>
      </c>
      <c r="MA148">
        <v>1</v>
      </c>
      <c r="MB148">
        <v>1</v>
      </c>
      <c r="MC148">
        <v>1</v>
      </c>
      <c r="MD148">
        <v>1</v>
      </c>
      <c r="ME148">
        <v>1</v>
      </c>
      <c r="MF148">
        <v>1</v>
      </c>
      <c r="MG148">
        <v>1</v>
      </c>
      <c r="MH148">
        <v>1</v>
      </c>
      <c r="MI148">
        <v>1</v>
      </c>
      <c r="MJ148">
        <v>1</v>
      </c>
      <c r="MK148">
        <v>1</v>
      </c>
      <c r="ML148">
        <v>1</v>
      </c>
      <c r="MM148">
        <v>1</v>
      </c>
      <c r="MN148">
        <v>1</v>
      </c>
      <c r="MO148">
        <v>1</v>
      </c>
      <c r="MP148">
        <v>1</v>
      </c>
      <c r="MQ148">
        <v>1</v>
      </c>
      <c r="MR148">
        <v>1</v>
      </c>
      <c r="MS148">
        <v>1</v>
      </c>
      <c r="MT148">
        <v>1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</v>
      </c>
      <c r="NA148">
        <v>1</v>
      </c>
      <c r="NB148">
        <v>1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1</v>
      </c>
      <c r="NI148">
        <v>1</v>
      </c>
      <c r="NJ148">
        <v>1</v>
      </c>
      <c r="NK148">
        <v>1</v>
      </c>
      <c r="NL148">
        <v>1</v>
      </c>
      <c r="NM148">
        <v>1</v>
      </c>
      <c r="NN148">
        <v>1</v>
      </c>
      <c r="NO148">
        <v>1</v>
      </c>
      <c r="NP148">
        <v>87.755129999999994</v>
      </c>
      <c r="NQ148">
        <v>1</v>
      </c>
      <c r="NR148">
        <v>1</v>
      </c>
      <c r="NS148">
        <v>1</v>
      </c>
      <c r="NT148">
        <v>1</v>
      </c>
      <c r="NU148">
        <v>1</v>
      </c>
      <c r="NV148">
        <v>1</v>
      </c>
      <c r="NW148">
        <v>1</v>
      </c>
      <c r="NX148">
        <v>1</v>
      </c>
      <c r="NY148">
        <v>1</v>
      </c>
      <c r="NZ148">
        <v>1</v>
      </c>
      <c r="OA148">
        <v>1</v>
      </c>
      <c r="OB148">
        <v>1</v>
      </c>
      <c r="OC148">
        <v>37.5</v>
      </c>
      <c r="OD148">
        <v>11705</v>
      </c>
      <c r="OE148">
        <v>0.13</v>
      </c>
      <c r="OF148">
        <v>109.28</v>
      </c>
      <c r="OG148">
        <v>17.2</v>
      </c>
      <c r="OH148">
        <v>69.953000000000003</v>
      </c>
    </row>
    <row r="149" spans="1:398">
      <c r="A149">
        <v>14</v>
      </c>
      <c r="B149" t="s">
        <v>27</v>
      </c>
      <c r="C149" t="s">
        <v>26</v>
      </c>
      <c r="D149">
        <v>2014</v>
      </c>
      <c r="E149">
        <v>12.811</v>
      </c>
      <c r="F149">
        <v>0.84870000000000001</v>
      </c>
      <c r="G149">
        <v>384</v>
      </c>
      <c r="H149">
        <v>30.5</v>
      </c>
      <c r="I149">
        <v>87</v>
      </c>
      <c r="J149">
        <v>5.3</v>
      </c>
      <c r="K149">
        <v>819.4</v>
      </c>
      <c r="L149">
        <v>0.7</v>
      </c>
      <c r="M149">
        <v>1.9</v>
      </c>
      <c r="N149">
        <v>94592</v>
      </c>
      <c r="O149">
        <v>2.9</v>
      </c>
      <c r="P149">
        <v>0.71</v>
      </c>
      <c r="Q149">
        <v>5328.93</v>
      </c>
      <c r="R149">
        <v>27.5</v>
      </c>
      <c r="S149">
        <v>0.21365700000000001</v>
      </c>
      <c r="T149">
        <v>-0.66472980000000004</v>
      </c>
      <c r="U149">
        <v>-0.8420048</v>
      </c>
      <c r="V149">
        <v>-0.92607629999999996</v>
      </c>
      <c r="W149">
        <v>-0.2620324</v>
      </c>
      <c r="X149">
        <v>0.54909719999999995</v>
      </c>
      <c r="Y149">
        <v>-0.4728984</v>
      </c>
      <c r="Z149">
        <v>-0.51621570000000006</v>
      </c>
      <c r="AA149">
        <v>8.3346600000000007E-2</v>
      </c>
      <c r="AB149">
        <v>0.2065517</v>
      </c>
      <c r="AC149">
        <v>-0.21719459999999999</v>
      </c>
      <c r="AD149">
        <v>-1.089477</v>
      </c>
      <c r="AE149">
        <v>-0.77830730000000004</v>
      </c>
      <c r="AF149">
        <v>-0.56280450000000004</v>
      </c>
      <c r="AG149">
        <v>-0.48278500000000002</v>
      </c>
      <c r="AH149">
        <v>-1.5366919999999999</v>
      </c>
      <c r="AI149">
        <v>2.5503040000000001</v>
      </c>
      <c r="AJ149">
        <v>-0.16404949999999999</v>
      </c>
      <c r="AK149">
        <v>5.9506430000000003</v>
      </c>
      <c r="AL149">
        <v>4.4659079999999998</v>
      </c>
      <c r="AM149">
        <v>1.6677070000000001</v>
      </c>
      <c r="AN149">
        <v>6.7085720000000002</v>
      </c>
      <c r="AO149">
        <v>11.457330000000001</v>
      </c>
      <c r="AP149">
        <v>-0.34249030000000003</v>
      </c>
      <c r="AQ149">
        <v>8.5809049999999996</v>
      </c>
      <c r="AR149">
        <v>4.6831899999999997</v>
      </c>
      <c r="AS149">
        <v>2.75366</v>
      </c>
      <c r="AT149">
        <v>9.4119200000000003</v>
      </c>
      <c r="AU149">
        <v>70.227000000000004</v>
      </c>
      <c r="AV149">
        <v>168.39500000000001</v>
      </c>
      <c r="AW149">
        <v>9.1326400000000003</v>
      </c>
      <c r="AX149" s="17">
        <v>13000000000</v>
      </c>
      <c r="AY149">
        <v>3.6323099999999999</v>
      </c>
      <c r="AZ149">
        <v>0.43</v>
      </c>
      <c r="BA149">
        <v>1.064711</v>
      </c>
      <c r="BB149">
        <v>1.0647107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-1.23787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5.6600000000000001E-3</v>
      </c>
      <c r="CG149">
        <v>0.41195130000000002</v>
      </c>
      <c r="CH149">
        <v>0.133711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-1.067674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0.16970389999999999</v>
      </c>
      <c r="DI149">
        <v>1.1399269999999999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0.17713899999999999</v>
      </c>
      <c r="DW149">
        <v>-0.4590997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13.943009999999999</v>
      </c>
      <c r="EW149">
        <v>7.1418700000000002E-2</v>
      </c>
      <c r="EX149">
        <v>7.1513599999999997E-2</v>
      </c>
      <c r="EY149">
        <v>7.1480799999999997E-2</v>
      </c>
      <c r="EZ149">
        <v>7.1351600000000001E-2</v>
      </c>
      <c r="FA149">
        <v>7.1261500000000005E-2</v>
      </c>
      <c r="FB149">
        <v>7.1456800000000001E-2</v>
      </c>
      <c r="FC149">
        <v>7.1619600000000005E-2</v>
      </c>
      <c r="FD149">
        <v>7.1300500000000003E-2</v>
      </c>
      <c r="FE149">
        <v>7.1230600000000005E-2</v>
      </c>
      <c r="FF149">
        <v>7.1437700000000007E-2</v>
      </c>
      <c r="FG149">
        <v>7.1553699999999998E-2</v>
      </c>
      <c r="FH149">
        <v>7.1502899999999994E-2</v>
      </c>
      <c r="FI149">
        <v>7.14809E-2</v>
      </c>
      <c r="FJ149">
        <v>7.1391099999999999E-2</v>
      </c>
      <c r="FK149">
        <v>0.21350930000000001</v>
      </c>
      <c r="FL149">
        <v>4.55862E-2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-0.66472980000000004</v>
      </c>
      <c r="FZ149">
        <v>-0.8420048</v>
      </c>
      <c r="GA149">
        <v>-0.92607629999999996</v>
      </c>
      <c r="GB149">
        <v>0.54909719999999995</v>
      </c>
      <c r="GC149">
        <v>-0.51621570000000006</v>
      </c>
      <c r="GD149">
        <v>-0.21719459999999999</v>
      </c>
      <c r="GE149">
        <v>-0.48278500000000002</v>
      </c>
      <c r="GF149">
        <v>-1.089477</v>
      </c>
      <c r="GG149">
        <v>-0.77830730000000004</v>
      </c>
      <c r="GH149">
        <v>-2.0957210000000002</v>
      </c>
      <c r="GI149">
        <v>4.3920450000000004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9.1809000000000002E-2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-0.90115979999999996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1</v>
      </c>
      <c r="IU149">
        <v>1</v>
      </c>
      <c r="IV149">
        <v>1</v>
      </c>
      <c r="IW149">
        <v>1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1</v>
      </c>
      <c r="JR149">
        <v>1</v>
      </c>
      <c r="JS149">
        <v>1</v>
      </c>
      <c r="JT149">
        <v>1</v>
      </c>
      <c r="JU149">
        <v>1</v>
      </c>
      <c r="JV149">
        <v>1</v>
      </c>
      <c r="JW149">
        <v>1</v>
      </c>
      <c r="JX149">
        <v>1</v>
      </c>
      <c r="JY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1</v>
      </c>
      <c r="KQ149">
        <v>1</v>
      </c>
      <c r="KR149">
        <v>1</v>
      </c>
      <c r="KS149">
        <v>1</v>
      </c>
      <c r="KT149">
        <v>1</v>
      </c>
      <c r="KU149">
        <v>1</v>
      </c>
      <c r="KV149">
        <v>1</v>
      </c>
      <c r="KW149">
        <v>1</v>
      </c>
      <c r="KX149">
        <v>1</v>
      </c>
      <c r="KY149">
        <v>1</v>
      </c>
      <c r="KZ149">
        <v>1</v>
      </c>
      <c r="LA149">
        <v>1</v>
      </c>
      <c r="LB149">
        <v>1</v>
      </c>
      <c r="LC149">
        <v>1</v>
      </c>
      <c r="LD149">
        <v>1</v>
      </c>
      <c r="LE149">
        <v>1</v>
      </c>
      <c r="LF149">
        <v>1</v>
      </c>
      <c r="LG149">
        <v>1</v>
      </c>
      <c r="LH149">
        <v>1</v>
      </c>
      <c r="LI149">
        <v>1</v>
      </c>
      <c r="LJ149">
        <v>1</v>
      </c>
      <c r="LK149">
        <v>1</v>
      </c>
      <c r="LL149">
        <v>1</v>
      </c>
      <c r="LM149">
        <v>1</v>
      </c>
      <c r="LN149">
        <v>1</v>
      </c>
      <c r="LO149">
        <v>1</v>
      </c>
      <c r="LP149">
        <v>1</v>
      </c>
      <c r="LQ149">
        <v>1</v>
      </c>
      <c r="LR149">
        <v>1</v>
      </c>
      <c r="LS149">
        <v>1</v>
      </c>
      <c r="LT149">
        <v>1</v>
      </c>
      <c r="LU149">
        <v>1</v>
      </c>
      <c r="LV149">
        <v>1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1</v>
      </c>
      <c r="MC149">
        <v>1</v>
      </c>
      <c r="MD149">
        <v>1</v>
      </c>
      <c r="ME149">
        <v>1</v>
      </c>
      <c r="MF149">
        <v>1</v>
      </c>
      <c r="MG149">
        <v>1</v>
      </c>
      <c r="MH149">
        <v>1</v>
      </c>
      <c r="MI149">
        <v>1</v>
      </c>
      <c r="MJ149">
        <v>1</v>
      </c>
      <c r="MK149">
        <v>1</v>
      </c>
      <c r="ML149">
        <v>1</v>
      </c>
      <c r="MM149">
        <v>1</v>
      </c>
      <c r="MN149">
        <v>1</v>
      </c>
      <c r="MO149">
        <v>1</v>
      </c>
      <c r="MP149">
        <v>1</v>
      </c>
      <c r="MQ149">
        <v>1</v>
      </c>
      <c r="MR149">
        <v>1</v>
      </c>
      <c r="MS149">
        <v>1</v>
      </c>
      <c r="MT149">
        <v>1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1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1</v>
      </c>
      <c r="NI149">
        <v>1</v>
      </c>
      <c r="NJ149">
        <v>1</v>
      </c>
      <c r="NK149">
        <v>1</v>
      </c>
      <c r="NL149">
        <v>1</v>
      </c>
      <c r="NM149">
        <v>1</v>
      </c>
      <c r="NN149">
        <v>1</v>
      </c>
      <c r="NO149">
        <v>1</v>
      </c>
      <c r="NP149">
        <v>88.584180000000003</v>
      </c>
      <c r="NQ149">
        <v>1</v>
      </c>
      <c r="NR149">
        <v>1</v>
      </c>
      <c r="NS149">
        <v>1</v>
      </c>
      <c r="NT149">
        <v>1</v>
      </c>
      <c r="NU149">
        <v>1</v>
      </c>
      <c r="NV149">
        <v>1</v>
      </c>
      <c r="NW149">
        <v>1</v>
      </c>
      <c r="NX149">
        <v>1</v>
      </c>
      <c r="NY149">
        <v>1</v>
      </c>
      <c r="NZ149">
        <v>1</v>
      </c>
      <c r="OA149">
        <v>1</v>
      </c>
      <c r="OB149">
        <v>1</v>
      </c>
      <c r="OC149">
        <v>37.799999999999997</v>
      </c>
      <c r="OD149">
        <v>12233.3</v>
      </c>
      <c r="OE149">
        <v>0.28999999999999998</v>
      </c>
      <c r="OF149">
        <v>108.114</v>
      </c>
      <c r="OG149">
        <v>15.7</v>
      </c>
      <c r="OH149">
        <v>70.227000000000004</v>
      </c>
    </row>
    <row r="150" spans="1:398">
      <c r="A150">
        <v>14</v>
      </c>
      <c r="B150" t="s">
        <v>27</v>
      </c>
      <c r="C150" t="s">
        <v>26</v>
      </c>
      <c r="D150">
        <v>2015</v>
      </c>
      <c r="E150">
        <v>12.672000000000001</v>
      </c>
      <c r="F150">
        <v>0.89539999999999997</v>
      </c>
      <c r="G150">
        <v>391</v>
      </c>
      <c r="H150">
        <v>32.200000000000003</v>
      </c>
      <c r="I150">
        <v>83.3</v>
      </c>
      <c r="J150">
        <v>5.7</v>
      </c>
      <c r="K150">
        <v>758</v>
      </c>
      <c r="L150">
        <v>0.7</v>
      </c>
      <c r="M150">
        <v>1.8</v>
      </c>
      <c r="N150">
        <v>102645</v>
      </c>
      <c r="O150">
        <v>2.33</v>
      </c>
      <c r="P150">
        <v>0.73</v>
      </c>
      <c r="Q150">
        <v>5554.66</v>
      </c>
      <c r="R150">
        <v>26.7</v>
      </c>
      <c r="S150">
        <v>0.21545800000000001</v>
      </c>
      <c r="T150">
        <v>-0.68161749999999999</v>
      </c>
      <c r="U150">
        <v>-0.79718449999999996</v>
      </c>
      <c r="V150">
        <v>-0.87292899999999995</v>
      </c>
      <c r="W150">
        <v>-0.1525984</v>
      </c>
      <c r="X150">
        <v>3.5169600000000002E-2</v>
      </c>
      <c r="Y150">
        <v>-0.40884609999999999</v>
      </c>
      <c r="Z150">
        <v>-0.52422789999999997</v>
      </c>
      <c r="AA150">
        <v>8.3346600000000007E-2</v>
      </c>
      <c r="AB150">
        <v>7.46251E-2</v>
      </c>
      <c r="AC150">
        <v>-0.17443339999999999</v>
      </c>
      <c r="AD150">
        <v>-0.99146820000000002</v>
      </c>
      <c r="AE150">
        <v>-0.70393649999999997</v>
      </c>
      <c r="AF150">
        <v>-0.60494700000000001</v>
      </c>
      <c r="AG150">
        <v>-0.5124725</v>
      </c>
      <c r="AH150">
        <v>-1.3807830000000001</v>
      </c>
      <c r="AI150">
        <v>2.5393949999999998</v>
      </c>
      <c r="AJ150">
        <v>-0.11048470000000001</v>
      </c>
      <c r="AK150">
        <v>5.9687080000000003</v>
      </c>
      <c r="AL150">
        <v>4.4224490000000003</v>
      </c>
      <c r="AM150">
        <v>1.7404660000000001</v>
      </c>
      <c r="AN150">
        <v>6.6306830000000003</v>
      </c>
      <c r="AO150">
        <v>11.53903</v>
      </c>
      <c r="AP150">
        <v>-0.31471070000000001</v>
      </c>
      <c r="AQ150">
        <v>8.6223939999999999</v>
      </c>
      <c r="AR150">
        <v>4.6808100000000001</v>
      </c>
      <c r="AS150">
        <v>2.7472699999999999</v>
      </c>
      <c r="AT150">
        <v>9.4506999999999994</v>
      </c>
      <c r="AU150">
        <v>70.5</v>
      </c>
      <c r="AV150">
        <v>167.32</v>
      </c>
      <c r="AW150">
        <v>-4.3696999999999999</v>
      </c>
      <c r="AX150" s="17">
        <v>-5500000000</v>
      </c>
      <c r="AY150">
        <v>3.6635599999999999</v>
      </c>
      <c r="AZ150">
        <v>0.43</v>
      </c>
      <c r="BA150">
        <v>0.84586819999999996</v>
      </c>
      <c r="BB150">
        <v>0.84586823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-1.4271199999999999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5.9883999999999996E-3</v>
      </c>
      <c r="CG150">
        <v>0.4148907</v>
      </c>
      <c r="CH150">
        <v>0.13794899999999999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-0.92676239999999999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0.17213429999999999</v>
      </c>
      <c r="DI150">
        <v>0.8588886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0.17840300000000001</v>
      </c>
      <c r="DW150">
        <v>-0.39850780000000002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13.94295</v>
      </c>
      <c r="EW150">
        <v>7.1422700000000006E-2</v>
      </c>
      <c r="EX150">
        <v>7.1499999999999994E-2</v>
      </c>
      <c r="EY150">
        <v>7.1471800000000002E-2</v>
      </c>
      <c r="EZ150">
        <v>7.1334800000000004E-2</v>
      </c>
      <c r="FA150">
        <v>7.1302099999999993E-2</v>
      </c>
      <c r="FB150">
        <v>7.1437200000000006E-2</v>
      </c>
      <c r="FC150">
        <v>7.1626400000000007E-2</v>
      </c>
      <c r="FD150">
        <v>7.1303000000000005E-2</v>
      </c>
      <c r="FE150">
        <v>7.1261699999999997E-2</v>
      </c>
      <c r="FF150">
        <v>7.1419200000000002E-2</v>
      </c>
      <c r="FG150">
        <v>7.1567900000000004E-2</v>
      </c>
      <c r="FH150">
        <v>7.1482900000000002E-2</v>
      </c>
      <c r="FI150">
        <v>7.1465799999999996E-2</v>
      </c>
      <c r="FJ150">
        <v>7.1404400000000007E-2</v>
      </c>
      <c r="FK150">
        <v>0.2153302</v>
      </c>
      <c r="FL150">
        <v>4.6367100000000001E-2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-0.68161749999999999</v>
      </c>
      <c r="FZ150">
        <v>-0.79718449999999996</v>
      </c>
      <c r="GA150">
        <v>-0.87292899999999995</v>
      </c>
      <c r="GB150">
        <v>3.5169600000000002E-2</v>
      </c>
      <c r="GC150">
        <v>-0.52422789999999997</v>
      </c>
      <c r="GD150">
        <v>-0.17443339999999999</v>
      </c>
      <c r="GE150">
        <v>-0.5124725</v>
      </c>
      <c r="GF150">
        <v>-0.99146820000000002</v>
      </c>
      <c r="GG150">
        <v>-0.70393649999999997</v>
      </c>
      <c r="GH150">
        <v>-1.8585480000000001</v>
      </c>
      <c r="GI150">
        <v>3.454199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9.2591999999999994E-2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-0.79917539999999998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1</v>
      </c>
      <c r="KR150">
        <v>1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1</v>
      </c>
      <c r="LT150">
        <v>1</v>
      </c>
      <c r="LU150">
        <v>1</v>
      </c>
      <c r="LV150">
        <v>1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1</v>
      </c>
      <c r="MC150">
        <v>1</v>
      </c>
      <c r="MD150">
        <v>1</v>
      </c>
      <c r="ME150">
        <v>1</v>
      </c>
      <c r="MF150">
        <v>1</v>
      </c>
      <c r="MG150">
        <v>1</v>
      </c>
      <c r="MH150">
        <v>1</v>
      </c>
      <c r="MI150">
        <v>1</v>
      </c>
      <c r="MJ150">
        <v>1</v>
      </c>
      <c r="MK150">
        <v>1</v>
      </c>
      <c r="ML150">
        <v>1</v>
      </c>
      <c r="MM150">
        <v>1</v>
      </c>
      <c r="MN150">
        <v>1</v>
      </c>
      <c r="MO150">
        <v>1</v>
      </c>
      <c r="MP150">
        <v>1</v>
      </c>
      <c r="MQ150">
        <v>1</v>
      </c>
      <c r="MR150">
        <v>1</v>
      </c>
      <c r="MS150">
        <v>1</v>
      </c>
      <c r="MT150">
        <v>1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1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1</v>
      </c>
      <c r="NP150">
        <v>89.315640000000002</v>
      </c>
      <c r="NQ150">
        <v>1</v>
      </c>
      <c r="NR150">
        <v>1</v>
      </c>
      <c r="NS150">
        <v>1</v>
      </c>
      <c r="NT150">
        <v>1</v>
      </c>
      <c r="NU150">
        <v>1</v>
      </c>
      <c r="NV150">
        <v>1</v>
      </c>
      <c r="NW150">
        <v>1</v>
      </c>
      <c r="NX150">
        <v>1</v>
      </c>
      <c r="NY150">
        <v>1</v>
      </c>
      <c r="NZ150">
        <v>1</v>
      </c>
      <c r="OA150">
        <v>1</v>
      </c>
      <c r="OB150">
        <v>1</v>
      </c>
      <c r="OC150">
        <v>39</v>
      </c>
      <c r="OD150">
        <v>12717</v>
      </c>
      <c r="OE150">
        <v>0.24</v>
      </c>
      <c r="OF150">
        <v>107.857</v>
      </c>
      <c r="OG150">
        <v>15.6</v>
      </c>
      <c r="OH150">
        <v>70.5</v>
      </c>
    </row>
    <row r="151" spans="1:398">
      <c r="A151">
        <v>14</v>
      </c>
      <c r="B151" t="s">
        <v>27</v>
      </c>
      <c r="C151" t="s">
        <v>26</v>
      </c>
      <c r="D151">
        <v>2016</v>
      </c>
      <c r="E151">
        <v>12.068</v>
      </c>
      <c r="F151">
        <v>0.95579999999999998</v>
      </c>
      <c r="G151">
        <v>407</v>
      </c>
      <c r="H151">
        <v>34.700000000000003</v>
      </c>
      <c r="I151">
        <v>84</v>
      </c>
      <c r="J151">
        <v>6.3</v>
      </c>
      <c r="K151">
        <v>112.9</v>
      </c>
      <c r="L151">
        <v>0.8</v>
      </c>
      <c r="M151">
        <v>2</v>
      </c>
      <c r="N151">
        <v>110391</v>
      </c>
      <c r="O151">
        <v>3.16</v>
      </c>
      <c r="P151">
        <v>0.77</v>
      </c>
      <c r="Q151">
        <v>5612.03</v>
      </c>
      <c r="R151">
        <v>28.1</v>
      </c>
      <c r="S151">
        <v>0.233482</v>
      </c>
      <c r="T151">
        <v>-0.75500009999999995</v>
      </c>
      <c r="U151">
        <v>-0.73921559999999997</v>
      </c>
      <c r="V151">
        <v>-0.75144960000000005</v>
      </c>
      <c r="W151">
        <v>8.3338000000000006E-3</v>
      </c>
      <c r="X151">
        <v>0.13239880000000001</v>
      </c>
      <c r="Y151">
        <v>-0.31276749999999998</v>
      </c>
      <c r="Z151">
        <v>-0.6084077</v>
      </c>
      <c r="AA151">
        <v>0.361481</v>
      </c>
      <c r="AB151">
        <v>0.33847840000000001</v>
      </c>
      <c r="AC151">
        <v>-0.13330230000000001</v>
      </c>
      <c r="AD151">
        <v>-0.79545160000000004</v>
      </c>
      <c r="AE151">
        <v>-0.68503760000000002</v>
      </c>
      <c r="AF151">
        <v>-0.53119769999999999</v>
      </c>
      <c r="AG151">
        <v>-0.46924339999999998</v>
      </c>
      <c r="AH151">
        <v>-1.1208279999999999</v>
      </c>
      <c r="AI151">
        <v>2.4905569999999999</v>
      </c>
      <c r="AJ151">
        <v>-4.52066E-2</v>
      </c>
      <c r="AK151">
        <v>6.008813</v>
      </c>
      <c r="AL151">
        <v>4.4308170000000002</v>
      </c>
      <c r="AM151">
        <v>1.8405499999999999</v>
      </c>
      <c r="AN151">
        <v>4.726502</v>
      </c>
      <c r="AO151">
        <v>11.61178</v>
      </c>
      <c r="AP151">
        <v>-0.26136480000000001</v>
      </c>
      <c r="AQ151">
        <v>8.6326680000000007</v>
      </c>
      <c r="AR151">
        <v>4.6778500000000003</v>
      </c>
      <c r="AS151">
        <v>2.7278500000000001</v>
      </c>
      <c r="AT151">
        <v>9.4754199999999997</v>
      </c>
      <c r="AU151">
        <v>70.778999999999996</v>
      </c>
      <c r="AV151">
        <v>164.404</v>
      </c>
      <c r="AW151">
        <v>54.0032</v>
      </c>
      <c r="AX151" s="17">
        <v>69000000000</v>
      </c>
      <c r="AY151">
        <v>3.6269999999999998</v>
      </c>
      <c r="AZ151">
        <v>0.43</v>
      </c>
      <c r="BA151">
        <v>1.1505719999999999</v>
      </c>
      <c r="BB151">
        <v>1.1505721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-1.1394299999999999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6.4789000000000001E-3</v>
      </c>
      <c r="CG151">
        <v>0.42502760000000001</v>
      </c>
      <c r="CH151">
        <v>0.14831900000000001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-0.79082200000000002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0.18064839999999999</v>
      </c>
      <c r="DI151">
        <v>0.6253995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0.1827619</v>
      </c>
      <c r="DW151">
        <v>-0.34005350000000001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13.93999</v>
      </c>
      <c r="EW151">
        <v>7.14505E-2</v>
      </c>
      <c r="EX151">
        <v>7.1497500000000005E-2</v>
      </c>
      <c r="EY151">
        <v>7.1465299999999995E-2</v>
      </c>
      <c r="EZ151">
        <v>7.1324700000000005E-2</v>
      </c>
      <c r="FA151">
        <v>7.1312299999999995E-2</v>
      </c>
      <c r="FB151">
        <v>7.1423E-2</v>
      </c>
      <c r="FC151">
        <v>7.1718100000000007E-2</v>
      </c>
      <c r="FD151">
        <v>7.1266300000000005E-2</v>
      </c>
      <c r="FE151">
        <v>7.12251E-2</v>
      </c>
      <c r="FF151">
        <v>7.1416900000000005E-2</v>
      </c>
      <c r="FG151">
        <v>7.1563699999999994E-2</v>
      </c>
      <c r="FH151">
        <v>7.1458599999999997E-2</v>
      </c>
      <c r="FI151">
        <v>7.1477700000000005E-2</v>
      </c>
      <c r="FJ151">
        <v>7.1400500000000006E-2</v>
      </c>
      <c r="FK151">
        <v>0.2333143</v>
      </c>
      <c r="FL151">
        <v>5.4435600000000001E-2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-0.75500009999999995</v>
      </c>
      <c r="FZ151">
        <v>-0.73921559999999997</v>
      </c>
      <c r="GA151">
        <v>-0.75144960000000005</v>
      </c>
      <c r="GB151">
        <v>0.13239880000000001</v>
      </c>
      <c r="GC151">
        <v>-0.6084077</v>
      </c>
      <c r="GD151">
        <v>-0.13330230000000001</v>
      </c>
      <c r="GE151">
        <v>-0.46924339999999998</v>
      </c>
      <c r="GF151">
        <v>-0.79545160000000004</v>
      </c>
      <c r="GG151">
        <v>-0.68503760000000002</v>
      </c>
      <c r="GH151">
        <v>-1.5003740000000001</v>
      </c>
      <c r="GI151">
        <v>2.2511220000000001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0.1003251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-0.64516070000000003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1</v>
      </c>
      <c r="KQ151">
        <v>1</v>
      </c>
      <c r="KR151">
        <v>1</v>
      </c>
      <c r="KS151">
        <v>1</v>
      </c>
      <c r="KT151">
        <v>1</v>
      </c>
      <c r="KU151">
        <v>1</v>
      </c>
      <c r="KV151">
        <v>1</v>
      </c>
      <c r="KW151">
        <v>1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1</v>
      </c>
      <c r="LD151">
        <v>1</v>
      </c>
      <c r="LE151">
        <v>1</v>
      </c>
      <c r="LF151">
        <v>1</v>
      </c>
      <c r="LG151">
        <v>1</v>
      </c>
      <c r="LH151">
        <v>1</v>
      </c>
      <c r="LI151">
        <v>1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1</v>
      </c>
      <c r="LQ151">
        <v>1</v>
      </c>
      <c r="LR151">
        <v>1</v>
      </c>
      <c r="LS151">
        <v>1</v>
      </c>
      <c r="LT151">
        <v>1</v>
      </c>
      <c r="LU151">
        <v>1</v>
      </c>
      <c r="LV151">
        <v>1</v>
      </c>
      <c r="LW151">
        <v>1</v>
      </c>
      <c r="LX151">
        <v>1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1</v>
      </c>
      <c r="ME151">
        <v>1</v>
      </c>
      <c r="MF151">
        <v>1</v>
      </c>
      <c r="MG151">
        <v>1</v>
      </c>
      <c r="MH151">
        <v>1</v>
      </c>
      <c r="MI151">
        <v>1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1</v>
      </c>
      <c r="MP151">
        <v>1</v>
      </c>
      <c r="MQ151">
        <v>1</v>
      </c>
      <c r="MR151">
        <v>1</v>
      </c>
      <c r="MS151">
        <v>1</v>
      </c>
      <c r="MT151">
        <v>1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1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1</v>
      </c>
      <c r="NP151">
        <v>89.783649999999994</v>
      </c>
      <c r="NQ151">
        <v>1</v>
      </c>
      <c r="NR151">
        <v>1</v>
      </c>
      <c r="NS151">
        <v>1</v>
      </c>
      <c r="NT151">
        <v>1</v>
      </c>
      <c r="NU151">
        <v>1</v>
      </c>
      <c r="NV151">
        <v>1</v>
      </c>
      <c r="NW151">
        <v>1</v>
      </c>
      <c r="NX151">
        <v>1</v>
      </c>
      <c r="NY151">
        <v>1</v>
      </c>
      <c r="NZ151">
        <v>1</v>
      </c>
      <c r="OA151">
        <v>1</v>
      </c>
      <c r="OB151">
        <v>1</v>
      </c>
      <c r="OC151">
        <v>37.6</v>
      </c>
      <c r="OD151">
        <v>13035.4</v>
      </c>
      <c r="OE151">
        <v>0.32</v>
      </c>
      <c r="OF151">
        <v>107.539</v>
      </c>
      <c r="OG151">
        <v>15.3</v>
      </c>
      <c r="OH151">
        <v>70.778999999999996</v>
      </c>
    </row>
    <row r="152" spans="1:398">
      <c r="A152">
        <v>14</v>
      </c>
      <c r="B152" t="s">
        <v>27</v>
      </c>
      <c r="C152" t="s">
        <v>26</v>
      </c>
      <c r="D152">
        <v>2017</v>
      </c>
      <c r="E152">
        <v>13.926</v>
      </c>
      <c r="F152">
        <v>0.88939999999999997</v>
      </c>
      <c r="G152">
        <v>390</v>
      </c>
      <c r="H152">
        <v>35</v>
      </c>
      <c r="I152">
        <v>84.2</v>
      </c>
      <c r="J152">
        <v>6.7</v>
      </c>
      <c r="K152">
        <v>61.9</v>
      </c>
      <c r="L152">
        <v>0.8</v>
      </c>
      <c r="M152">
        <v>2.2000000000000002</v>
      </c>
      <c r="N152">
        <v>114922</v>
      </c>
      <c r="O152">
        <v>1</v>
      </c>
      <c r="P152">
        <v>0.8</v>
      </c>
      <c r="Q152">
        <v>5472.42</v>
      </c>
      <c r="R152">
        <v>29.6</v>
      </c>
      <c r="S152">
        <v>0.238728</v>
      </c>
      <c r="T152">
        <v>-0.52926359999999995</v>
      </c>
      <c r="U152">
        <v>-0.80294299999999996</v>
      </c>
      <c r="V152">
        <v>-0.88052149999999996</v>
      </c>
      <c r="W152">
        <v>2.7645699999999999E-2</v>
      </c>
      <c r="X152">
        <v>0.1601783</v>
      </c>
      <c r="Y152">
        <v>-0.2487152</v>
      </c>
      <c r="Z152">
        <v>-0.61506280000000002</v>
      </c>
      <c r="AA152">
        <v>0.361481</v>
      </c>
      <c r="AB152">
        <v>0.60233159999999997</v>
      </c>
      <c r="AC152">
        <v>-0.1092428</v>
      </c>
      <c r="AD152">
        <v>-0.64843899999999999</v>
      </c>
      <c r="AE152">
        <v>-0.73103209999999996</v>
      </c>
      <c r="AF152">
        <v>-0.45218049999999999</v>
      </c>
      <c r="AG152">
        <v>-0.58174320000000002</v>
      </c>
      <c r="AH152">
        <v>-1.1341779999999999</v>
      </c>
      <c r="AI152">
        <v>2.6337579999999998</v>
      </c>
      <c r="AJ152">
        <v>-0.1172082</v>
      </c>
      <c r="AK152">
        <v>5.9661470000000003</v>
      </c>
      <c r="AL152">
        <v>4.4331950000000004</v>
      </c>
      <c r="AM152">
        <v>1.902107</v>
      </c>
      <c r="AN152">
        <v>4.1255199999999999</v>
      </c>
      <c r="AO152">
        <v>11.652010000000001</v>
      </c>
      <c r="AP152">
        <v>-0.22314349999999999</v>
      </c>
      <c r="AQ152">
        <v>8.6074760000000001</v>
      </c>
      <c r="AR152">
        <v>4.6752000000000002</v>
      </c>
      <c r="AS152">
        <v>2.6810200000000002</v>
      </c>
      <c r="AT152">
        <v>9.5199099999999994</v>
      </c>
      <c r="AU152">
        <v>71.061999999999998</v>
      </c>
      <c r="AV152">
        <v>165.22900000000001</v>
      </c>
      <c r="AW152">
        <v>-8.6448</v>
      </c>
      <c r="AX152" s="17">
        <v>-12000000000</v>
      </c>
      <c r="AY152">
        <v>3.6480600000000001</v>
      </c>
      <c r="AZ152">
        <v>0.43</v>
      </c>
      <c r="BA152">
        <v>0</v>
      </c>
      <c r="BB152">
        <v>0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-2.3025899999999999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6.4999000000000003E-3</v>
      </c>
      <c r="CG152">
        <v>0.4264231</v>
      </c>
      <c r="CH152">
        <v>0.14976200000000001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-1.0635680000000001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0.18183659999999999</v>
      </c>
      <c r="DI152">
        <v>1.1311770000000001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0.18336189999999999</v>
      </c>
      <c r="DW152">
        <v>-0.45733430000000003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13.93943</v>
      </c>
      <c r="EW152">
        <v>7.1419300000000005E-2</v>
      </c>
      <c r="EX152">
        <v>7.1521000000000001E-2</v>
      </c>
      <c r="EY152">
        <v>7.1492799999999995E-2</v>
      </c>
      <c r="EZ152">
        <v>7.1326500000000001E-2</v>
      </c>
      <c r="FA152">
        <v>7.1315400000000001E-2</v>
      </c>
      <c r="FB152">
        <v>7.1407499999999999E-2</v>
      </c>
      <c r="FC152">
        <v>7.1728399999999998E-2</v>
      </c>
      <c r="FD152">
        <v>7.1272100000000005E-2</v>
      </c>
      <c r="FE152">
        <v>7.1179300000000001E-2</v>
      </c>
      <c r="FF152">
        <v>7.1410399999999999E-2</v>
      </c>
      <c r="FG152">
        <v>7.1619299999999997E-2</v>
      </c>
      <c r="FH152">
        <v>7.1433399999999994E-2</v>
      </c>
      <c r="FI152">
        <v>7.1491200000000005E-2</v>
      </c>
      <c r="FJ152">
        <v>7.1383500000000003E-2</v>
      </c>
      <c r="FK152">
        <v>0.23853050000000001</v>
      </c>
      <c r="FL152">
        <v>5.6896799999999997E-2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-0.52926359999999995</v>
      </c>
      <c r="FZ152">
        <v>-0.80294299999999996</v>
      </c>
      <c r="GA152">
        <v>-0.88052149999999996</v>
      </c>
      <c r="GB152">
        <v>0.1601783</v>
      </c>
      <c r="GC152">
        <v>-0.61506280000000002</v>
      </c>
      <c r="GD152">
        <v>-0.1092428</v>
      </c>
      <c r="GE152">
        <v>-0.58174320000000002</v>
      </c>
      <c r="GF152">
        <v>-0.64843899999999999</v>
      </c>
      <c r="GG152">
        <v>-0.73103209999999996</v>
      </c>
      <c r="GH152">
        <v>-1.544235</v>
      </c>
      <c r="GI152">
        <v>2.3846609999999999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0.1025681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-0.66402090000000003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  <c r="KN152">
        <v>1</v>
      </c>
      <c r="KO152">
        <v>1</v>
      </c>
      <c r="KP152">
        <v>1</v>
      </c>
      <c r="KQ152">
        <v>1</v>
      </c>
      <c r="KR152">
        <v>1</v>
      </c>
      <c r="KS152">
        <v>1</v>
      </c>
      <c r="KT152">
        <v>1</v>
      </c>
      <c r="KU152">
        <v>1</v>
      </c>
      <c r="KV152">
        <v>1</v>
      </c>
      <c r="KW152">
        <v>1</v>
      </c>
      <c r="KX152">
        <v>1</v>
      </c>
      <c r="KY152">
        <v>1</v>
      </c>
      <c r="KZ152">
        <v>1</v>
      </c>
      <c r="LA152">
        <v>1</v>
      </c>
      <c r="LB152">
        <v>1</v>
      </c>
      <c r="LC152">
        <v>1</v>
      </c>
      <c r="LD152">
        <v>1</v>
      </c>
      <c r="LE152">
        <v>1</v>
      </c>
      <c r="LF152">
        <v>1</v>
      </c>
      <c r="LG152">
        <v>1</v>
      </c>
      <c r="LH152">
        <v>1</v>
      </c>
      <c r="LI152">
        <v>1</v>
      </c>
      <c r="LJ152">
        <v>1</v>
      </c>
      <c r="LK152">
        <v>1</v>
      </c>
      <c r="LL152">
        <v>1</v>
      </c>
      <c r="LM152">
        <v>1</v>
      </c>
      <c r="LN152">
        <v>1</v>
      </c>
      <c r="LO152">
        <v>1</v>
      </c>
      <c r="LP152">
        <v>1</v>
      </c>
      <c r="LQ152">
        <v>1</v>
      </c>
      <c r="LR152">
        <v>1</v>
      </c>
      <c r="LS152">
        <v>1</v>
      </c>
      <c r="LT152">
        <v>1</v>
      </c>
      <c r="LU152">
        <v>1</v>
      </c>
      <c r="LV152">
        <v>1</v>
      </c>
      <c r="LW152">
        <v>1</v>
      </c>
      <c r="LX152">
        <v>1</v>
      </c>
      <c r="LY152">
        <v>1</v>
      </c>
      <c r="LZ152">
        <v>1</v>
      </c>
      <c r="MA152">
        <v>1</v>
      </c>
      <c r="MB152">
        <v>1</v>
      </c>
      <c r="MC152">
        <v>1</v>
      </c>
      <c r="MD152">
        <v>1</v>
      </c>
      <c r="ME152">
        <v>1</v>
      </c>
      <c r="MF152">
        <v>1</v>
      </c>
      <c r="MG152">
        <v>1</v>
      </c>
      <c r="MH152">
        <v>1</v>
      </c>
      <c r="MI152">
        <v>1</v>
      </c>
      <c r="MJ152">
        <v>1</v>
      </c>
      <c r="MK152">
        <v>1</v>
      </c>
      <c r="ML152">
        <v>1</v>
      </c>
      <c r="MM152">
        <v>1</v>
      </c>
      <c r="MN152">
        <v>1</v>
      </c>
      <c r="MO152">
        <v>1</v>
      </c>
      <c r="MP152">
        <v>1</v>
      </c>
      <c r="MQ152">
        <v>1</v>
      </c>
      <c r="MR152">
        <v>1</v>
      </c>
      <c r="MS152">
        <v>1</v>
      </c>
      <c r="MT152">
        <v>1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</v>
      </c>
      <c r="NA152">
        <v>1</v>
      </c>
      <c r="NB152">
        <v>1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1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1</v>
      </c>
      <c r="NP152">
        <v>90.628699999999995</v>
      </c>
      <c r="NQ152">
        <v>1</v>
      </c>
      <c r="NR152">
        <v>1</v>
      </c>
      <c r="NS152">
        <v>1</v>
      </c>
      <c r="NT152">
        <v>1</v>
      </c>
      <c r="NU152">
        <v>1</v>
      </c>
      <c r="NV152">
        <v>1</v>
      </c>
      <c r="NW152">
        <v>1</v>
      </c>
      <c r="NX152">
        <v>1</v>
      </c>
      <c r="NY152">
        <v>1</v>
      </c>
      <c r="NZ152">
        <v>1</v>
      </c>
      <c r="OA152">
        <v>1</v>
      </c>
      <c r="OB152">
        <v>1</v>
      </c>
      <c r="OC152">
        <v>38.4</v>
      </c>
      <c r="OD152">
        <v>13628.4</v>
      </c>
      <c r="OE152">
        <v>0.1</v>
      </c>
      <c r="OF152">
        <v>107.254</v>
      </c>
      <c r="OG152">
        <v>14.6</v>
      </c>
      <c r="OH152">
        <v>71.061999999999998</v>
      </c>
    </row>
    <row r="153" spans="1:398">
      <c r="A153">
        <v>14</v>
      </c>
      <c r="B153" t="s">
        <v>27</v>
      </c>
      <c r="C153" t="s">
        <v>26</v>
      </c>
      <c r="D153">
        <v>2018</v>
      </c>
      <c r="E153">
        <v>15.906000000000001</v>
      </c>
      <c r="F153">
        <v>0.81920000000000004</v>
      </c>
      <c r="G153">
        <v>398</v>
      </c>
      <c r="H153">
        <v>37.4</v>
      </c>
      <c r="I153">
        <v>83.5</v>
      </c>
      <c r="J153">
        <v>6.9</v>
      </c>
      <c r="K153">
        <v>18</v>
      </c>
      <c r="L153">
        <v>0.8</v>
      </c>
      <c r="M153">
        <v>2.5</v>
      </c>
      <c r="N153">
        <v>119781</v>
      </c>
      <c r="O153">
        <v>2</v>
      </c>
      <c r="P153">
        <v>0.83</v>
      </c>
      <c r="Q153">
        <v>5177.51</v>
      </c>
      <c r="R153">
        <v>29.5</v>
      </c>
      <c r="S153">
        <v>0.24899499999999999</v>
      </c>
      <c r="T153">
        <v>-0.28870459999999998</v>
      </c>
      <c r="U153">
        <v>-0.87031749999999997</v>
      </c>
      <c r="V153">
        <v>-0.8197818</v>
      </c>
      <c r="W153">
        <v>0.18214069999999999</v>
      </c>
      <c r="X153">
        <v>6.2949099999999994E-2</v>
      </c>
      <c r="Y153">
        <v>-0.21668889999999999</v>
      </c>
      <c r="Z153">
        <v>-0.62079130000000005</v>
      </c>
      <c r="AA153">
        <v>0.361481</v>
      </c>
      <c r="AB153">
        <v>0.99811139999999998</v>
      </c>
      <c r="AC153">
        <v>-8.3441699999999994E-2</v>
      </c>
      <c r="AD153">
        <v>-0.50142659999999994</v>
      </c>
      <c r="AE153">
        <v>-0.82819200000000004</v>
      </c>
      <c r="AF153">
        <v>-0.45744829999999997</v>
      </c>
      <c r="AG153">
        <v>-0.52965989999999996</v>
      </c>
      <c r="AH153">
        <v>-1.067353</v>
      </c>
      <c r="AI153">
        <v>2.766696</v>
      </c>
      <c r="AJ153">
        <v>-0.1994271</v>
      </c>
      <c r="AK153">
        <v>5.9864519999999999</v>
      </c>
      <c r="AL153">
        <v>4.4248469999999998</v>
      </c>
      <c r="AM153">
        <v>1.931521</v>
      </c>
      <c r="AN153">
        <v>2.8903720000000002</v>
      </c>
      <c r="AO153">
        <v>11.69342</v>
      </c>
      <c r="AP153">
        <v>-0.18632960000000001</v>
      </c>
      <c r="AQ153">
        <v>8.5520800000000001</v>
      </c>
      <c r="AR153">
        <v>4.6739300000000004</v>
      </c>
      <c r="AS153">
        <v>2.6100699999999999</v>
      </c>
      <c r="AT153">
        <v>9.5734100000000009</v>
      </c>
      <c r="AU153">
        <v>71.350999999999999</v>
      </c>
      <c r="AV153">
        <v>163.261</v>
      </c>
      <c r="AW153">
        <v>-40.262900000000002</v>
      </c>
      <c r="AX153" s="17">
        <v>-65000000000</v>
      </c>
      <c r="AY153">
        <v>3.6480600000000001</v>
      </c>
      <c r="AZ153">
        <v>0.43</v>
      </c>
      <c r="BA153">
        <v>0.69314719999999996</v>
      </c>
      <c r="BB153">
        <v>0.69314717999999997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-1.60944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6.9560000000000004E-3</v>
      </c>
      <c r="CG153">
        <v>0.43291829999999998</v>
      </c>
      <c r="CH153">
        <v>0.155858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-1.081666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0.18741830000000001</v>
      </c>
      <c r="DI153">
        <v>1.1700010000000001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0.18615490000000001</v>
      </c>
      <c r="DW153">
        <v>-0.46511629999999998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13.93744</v>
      </c>
      <c r="EW153">
        <v>7.1394700000000005E-2</v>
      </c>
      <c r="EX153">
        <v>7.1553400000000003E-2</v>
      </c>
      <c r="EY153">
        <v>7.14925E-2</v>
      </c>
      <c r="EZ153">
        <v>7.1313699999999994E-2</v>
      </c>
      <c r="FA153">
        <v>7.1334900000000007E-2</v>
      </c>
      <c r="FB153">
        <v>7.1409299999999995E-2</v>
      </c>
      <c r="FC153">
        <v>7.1745699999999996E-2</v>
      </c>
      <c r="FD153">
        <v>7.1285000000000001E-2</v>
      </c>
      <c r="FE153">
        <v>7.1119100000000005E-2</v>
      </c>
      <c r="FF153">
        <v>7.1410600000000005E-2</v>
      </c>
      <c r="FG153">
        <v>7.1604899999999999E-2</v>
      </c>
      <c r="FH153">
        <v>7.1416499999999994E-2</v>
      </c>
      <c r="FI153">
        <v>7.1523100000000006E-2</v>
      </c>
      <c r="FJ153">
        <v>7.1396699999999994E-2</v>
      </c>
      <c r="FK153">
        <v>0.24876690000000001</v>
      </c>
      <c r="FL153">
        <v>6.1885000000000003E-2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-0.28870459999999998</v>
      </c>
      <c r="FZ153">
        <v>-0.87031749999999997</v>
      </c>
      <c r="GA153">
        <v>-0.8197818</v>
      </c>
      <c r="GB153">
        <v>6.2949099999999994E-2</v>
      </c>
      <c r="GC153">
        <v>-0.62079130000000005</v>
      </c>
      <c r="GD153">
        <v>-8.3441699999999994E-2</v>
      </c>
      <c r="GE153">
        <v>-0.52965989999999996</v>
      </c>
      <c r="GF153">
        <v>-0.50142659999999994</v>
      </c>
      <c r="GG153">
        <v>-0.82819200000000004</v>
      </c>
      <c r="GH153">
        <v>-1.435144</v>
      </c>
      <c r="GI153">
        <v>2.0596380000000001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0.1069698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-0.61711179999999999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1</v>
      </c>
      <c r="KQ153">
        <v>1</v>
      </c>
      <c r="KR153">
        <v>1</v>
      </c>
      <c r="KS153">
        <v>1</v>
      </c>
      <c r="KT153">
        <v>1</v>
      </c>
      <c r="KU153">
        <v>1</v>
      </c>
      <c r="KV153">
        <v>1</v>
      </c>
      <c r="KW153">
        <v>1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1</v>
      </c>
      <c r="LF153">
        <v>1</v>
      </c>
      <c r="LG153">
        <v>1</v>
      </c>
      <c r="LH153">
        <v>1</v>
      </c>
      <c r="LI153">
        <v>1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1</v>
      </c>
      <c r="LS153">
        <v>1</v>
      </c>
      <c r="LT153">
        <v>1</v>
      </c>
      <c r="LU153">
        <v>1</v>
      </c>
      <c r="LV153">
        <v>1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1</v>
      </c>
      <c r="MH153">
        <v>1</v>
      </c>
      <c r="MI153">
        <v>1</v>
      </c>
      <c r="MJ153">
        <v>1</v>
      </c>
      <c r="MK153">
        <v>1</v>
      </c>
      <c r="ML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1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1</v>
      </c>
      <c r="NP153">
        <v>91.650239999999997</v>
      </c>
      <c r="NQ153">
        <v>1</v>
      </c>
      <c r="NR153">
        <v>1</v>
      </c>
      <c r="NS153">
        <v>1</v>
      </c>
      <c r="NT153">
        <v>1</v>
      </c>
      <c r="NU153">
        <v>1</v>
      </c>
      <c r="NV153">
        <v>1</v>
      </c>
      <c r="NW153">
        <v>1</v>
      </c>
      <c r="NX153">
        <v>1</v>
      </c>
      <c r="NY153">
        <v>1</v>
      </c>
      <c r="NZ153">
        <v>1</v>
      </c>
      <c r="OA153">
        <v>1</v>
      </c>
      <c r="OB153">
        <v>1</v>
      </c>
      <c r="OC153">
        <v>38.4</v>
      </c>
      <c r="OD153">
        <v>14377.4</v>
      </c>
      <c r="OE153">
        <v>0.2</v>
      </c>
      <c r="OF153">
        <v>107.11799999999999</v>
      </c>
      <c r="OG153">
        <v>13.6</v>
      </c>
      <c r="OH153">
        <v>71.350999999999999</v>
      </c>
    </row>
    <row r="154" spans="1:398">
      <c r="A154">
        <v>14</v>
      </c>
      <c r="B154" t="s">
        <v>27</v>
      </c>
      <c r="C154" t="s">
        <v>26</v>
      </c>
      <c r="D154">
        <v>2019</v>
      </c>
      <c r="E154">
        <v>16.698</v>
      </c>
      <c r="F154">
        <v>0.82740000000000002</v>
      </c>
      <c r="G154">
        <v>409</v>
      </c>
      <c r="H154">
        <v>35.9</v>
      </c>
      <c r="I154">
        <v>83.7</v>
      </c>
      <c r="J154">
        <v>5.5</v>
      </c>
      <c r="K154">
        <v>7.2</v>
      </c>
      <c r="L154">
        <v>0.8</v>
      </c>
      <c r="M154">
        <v>1.8</v>
      </c>
      <c r="N154">
        <v>109768</v>
      </c>
      <c r="O154">
        <v>3</v>
      </c>
      <c r="P154">
        <v>0.83</v>
      </c>
      <c r="Q154">
        <v>4882.6099999999997</v>
      </c>
      <c r="R154">
        <v>27.1</v>
      </c>
      <c r="S154">
        <v>0.23391700000000001</v>
      </c>
      <c r="T154">
        <v>-0.19248109999999999</v>
      </c>
      <c r="U154">
        <v>-0.86244750000000003</v>
      </c>
      <c r="V154">
        <v>-0.73626460000000005</v>
      </c>
      <c r="W154">
        <v>8.5581400000000002E-2</v>
      </c>
      <c r="X154">
        <v>9.0728500000000004E-2</v>
      </c>
      <c r="Y154">
        <v>-0.44087229999999999</v>
      </c>
      <c r="Z154">
        <v>-0.62220070000000005</v>
      </c>
      <c r="AA154">
        <v>0.361481</v>
      </c>
      <c r="AB154">
        <v>7.46251E-2</v>
      </c>
      <c r="AC154">
        <v>-0.13661039999999999</v>
      </c>
      <c r="AD154">
        <v>-0.50142659999999994</v>
      </c>
      <c r="AE154">
        <v>-0.9253519</v>
      </c>
      <c r="AF154">
        <v>-0.58387579999999994</v>
      </c>
      <c r="AG154">
        <v>-0.47757670000000002</v>
      </c>
      <c r="AH154">
        <v>-1.2462530000000001</v>
      </c>
      <c r="AI154">
        <v>2.8152889999999999</v>
      </c>
      <c r="AJ154">
        <v>-0.189467</v>
      </c>
      <c r="AK154">
        <v>6.0137150000000004</v>
      </c>
      <c r="AL154">
        <v>4.4272390000000001</v>
      </c>
      <c r="AM154">
        <v>1.7047479999999999</v>
      </c>
      <c r="AN154">
        <v>1.974081</v>
      </c>
      <c r="AO154">
        <v>11.606120000000001</v>
      </c>
      <c r="AP154">
        <v>-0.18632960000000001</v>
      </c>
      <c r="AQ154">
        <v>8.4934349999999998</v>
      </c>
      <c r="AR154">
        <v>4.67347</v>
      </c>
      <c r="AS154">
        <v>2.6100699999999999</v>
      </c>
      <c r="AT154">
        <v>9.6213599999999992</v>
      </c>
      <c r="AU154">
        <v>71.644000000000005</v>
      </c>
      <c r="AV154">
        <v>160.751</v>
      </c>
      <c r="AW154">
        <v>59.910400000000003</v>
      </c>
      <c r="AX154" s="17">
        <v>98000000000</v>
      </c>
      <c r="AY154">
        <v>3.6686800000000002</v>
      </c>
      <c r="AZ154">
        <v>0.44</v>
      </c>
      <c r="BA154">
        <v>1.0986119999999999</v>
      </c>
      <c r="BB154">
        <v>1.0986123000000001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-1.1711800000000001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6.5989000000000004E-3</v>
      </c>
      <c r="CG154">
        <v>0.41380939999999999</v>
      </c>
      <c r="CH154">
        <v>0.143848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-1.3191310000000001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0.17123820000000001</v>
      </c>
      <c r="DI154">
        <v>1.740108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0.18207609999999999</v>
      </c>
      <c r="DW154">
        <v>-0.58041779999999998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13.941739999999999</v>
      </c>
      <c r="EW154">
        <v>7.1360099999999996E-2</v>
      </c>
      <c r="EX154">
        <v>7.1529200000000001E-2</v>
      </c>
      <c r="EY154">
        <v>7.1456000000000006E-2</v>
      </c>
      <c r="EZ154">
        <v>7.1309700000000004E-2</v>
      </c>
      <c r="FA154">
        <v>7.1313100000000004E-2</v>
      </c>
      <c r="FB154">
        <v>7.1457900000000005E-2</v>
      </c>
      <c r="FC154">
        <v>7.17256E-2</v>
      </c>
      <c r="FD154">
        <v>7.1265800000000004E-2</v>
      </c>
      <c r="FE154">
        <v>7.1280999999999997E-2</v>
      </c>
      <c r="FF154">
        <v>7.1413199999999996E-2</v>
      </c>
      <c r="FG154">
        <v>7.1559300000000006E-2</v>
      </c>
      <c r="FH154">
        <v>7.1395799999999995E-2</v>
      </c>
      <c r="FI154">
        <v>7.1523199999999995E-2</v>
      </c>
      <c r="FJ154">
        <v>7.1410100000000004E-2</v>
      </c>
      <c r="FK154">
        <v>0.23372680000000001</v>
      </c>
      <c r="FL154">
        <v>5.4628200000000002E-2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-0.19248109999999999</v>
      </c>
      <c r="FZ154">
        <v>-0.86244750000000003</v>
      </c>
      <c r="GA154">
        <v>-0.73626460000000005</v>
      </c>
      <c r="GB154">
        <v>9.0728500000000004E-2</v>
      </c>
      <c r="GC154">
        <v>-0.62220070000000005</v>
      </c>
      <c r="GD154">
        <v>-0.13661039999999999</v>
      </c>
      <c r="GE154">
        <v>-0.47757670000000002</v>
      </c>
      <c r="GF154">
        <v>-0.50142659999999994</v>
      </c>
      <c r="GG154">
        <v>-0.9253519</v>
      </c>
      <c r="GH154">
        <v>-1.6635139999999999</v>
      </c>
      <c r="GI154">
        <v>2.767277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0.1028398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-0.73194590000000004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1</v>
      </c>
      <c r="KQ154">
        <v>1</v>
      </c>
      <c r="KR154">
        <v>1</v>
      </c>
      <c r="KS154">
        <v>1</v>
      </c>
      <c r="KT154">
        <v>1</v>
      </c>
      <c r="KU154">
        <v>1</v>
      </c>
      <c r="KV154">
        <v>1</v>
      </c>
      <c r="KW154">
        <v>1</v>
      </c>
      <c r="KX154">
        <v>1</v>
      </c>
      <c r="KY154">
        <v>1</v>
      </c>
      <c r="KZ154">
        <v>1</v>
      </c>
      <c r="LA154">
        <v>1</v>
      </c>
      <c r="LB154">
        <v>1</v>
      </c>
      <c r="LC154">
        <v>1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1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1</v>
      </c>
      <c r="LP154">
        <v>1</v>
      </c>
      <c r="LQ154">
        <v>1</v>
      </c>
      <c r="LR154">
        <v>1</v>
      </c>
      <c r="LS154">
        <v>1</v>
      </c>
      <c r="LT154">
        <v>1</v>
      </c>
      <c r="LU154">
        <v>1</v>
      </c>
      <c r="LV154">
        <v>1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1</v>
      </c>
      <c r="MC154">
        <v>1</v>
      </c>
      <c r="MD154">
        <v>1</v>
      </c>
      <c r="ME154">
        <v>1</v>
      </c>
      <c r="MF154">
        <v>1</v>
      </c>
      <c r="MG154">
        <v>1</v>
      </c>
      <c r="MH154">
        <v>1</v>
      </c>
      <c r="MI154">
        <v>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1</v>
      </c>
      <c r="MQ154">
        <v>1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</v>
      </c>
      <c r="NA154">
        <v>1</v>
      </c>
      <c r="NB154">
        <v>1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1</v>
      </c>
      <c r="NI154">
        <v>1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1</v>
      </c>
      <c r="NP154">
        <v>92.570639999999997</v>
      </c>
      <c r="NQ154">
        <v>1</v>
      </c>
      <c r="NR154">
        <v>1</v>
      </c>
      <c r="NS154">
        <v>1</v>
      </c>
      <c r="NT154">
        <v>1</v>
      </c>
      <c r="NU154">
        <v>1</v>
      </c>
      <c r="NV154">
        <v>1</v>
      </c>
      <c r="NW154">
        <v>1</v>
      </c>
      <c r="NX154">
        <v>1</v>
      </c>
      <c r="NY154">
        <v>1</v>
      </c>
      <c r="NZ154">
        <v>1</v>
      </c>
      <c r="OA154">
        <v>1</v>
      </c>
      <c r="OB154">
        <v>1</v>
      </c>
      <c r="OC154">
        <v>39.200000000000003</v>
      </c>
      <c r="OD154">
        <v>15083.6</v>
      </c>
      <c r="OE154">
        <v>0.31</v>
      </c>
      <c r="OF154">
        <v>107.069</v>
      </c>
      <c r="OG154">
        <v>13.6</v>
      </c>
      <c r="OH154">
        <v>71.644000000000005</v>
      </c>
    </row>
    <row r="155" spans="1:398">
      <c r="A155">
        <v>14</v>
      </c>
      <c r="B155" t="s">
        <v>27</v>
      </c>
      <c r="C155" t="s">
        <v>26</v>
      </c>
      <c r="D155">
        <v>2020</v>
      </c>
      <c r="E155">
        <v>14.297000000000001</v>
      </c>
      <c r="F155">
        <v>0.91420000000000001</v>
      </c>
      <c r="G155">
        <v>424</v>
      </c>
      <c r="H155">
        <v>32</v>
      </c>
      <c r="I155">
        <v>81.900000000000006</v>
      </c>
      <c r="J155">
        <v>5.0999999999999996</v>
      </c>
      <c r="K155">
        <v>648.1</v>
      </c>
      <c r="L155">
        <v>0.7</v>
      </c>
      <c r="M155">
        <v>1.8</v>
      </c>
      <c r="N155">
        <v>105907</v>
      </c>
      <c r="O155">
        <v>4</v>
      </c>
      <c r="P155">
        <v>0.79</v>
      </c>
      <c r="Q155">
        <v>4587.7</v>
      </c>
      <c r="R155">
        <v>26.8</v>
      </c>
      <c r="S155">
        <v>0.21979799999999999</v>
      </c>
      <c r="T155">
        <v>-0.48418909999999998</v>
      </c>
      <c r="U155">
        <v>-0.77914119999999998</v>
      </c>
      <c r="V155">
        <v>-0.62237759999999998</v>
      </c>
      <c r="W155">
        <v>-0.16547300000000001</v>
      </c>
      <c r="X155">
        <v>-0.15928990000000001</v>
      </c>
      <c r="Y155">
        <v>-0.5049247</v>
      </c>
      <c r="Z155">
        <v>-0.53856890000000002</v>
      </c>
      <c r="AA155">
        <v>8.3346600000000007E-2</v>
      </c>
      <c r="AB155">
        <v>7.46251E-2</v>
      </c>
      <c r="AC155">
        <v>-0.15711230000000001</v>
      </c>
      <c r="AD155">
        <v>-0.69744309999999998</v>
      </c>
      <c r="AE155">
        <v>-1.0225120000000001</v>
      </c>
      <c r="AF155">
        <v>-0.59967930000000003</v>
      </c>
      <c r="AG155">
        <v>-0.42549340000000002</v>
      </c>
      <c r="AH155">
        <v>-1.340514</v>
      </c>
      <c r="AI155">
        <v>2.66005</v>
      </c>
      <c r="AJ155">
        <v>-8.9705900000000005E-2</v>
      </c>
      <c r="AK155">
        <v>6.0497339999999999</v>
      </c>
      <c r="AL155">
        <v>4.4054989999999998</v>
      </c>
      <c r="AM155">
        <v>1.6292409999999999</v>
      </c>
      <c r="AN155">
        <v>6.4740450000000003</v>
      </c>
      <c r="AO155">
        <v>11.570320000000001</v>
      </c>
      <c r="AP155">
        <v>-0.2357223</v>
      </c>
      <c r="AQ155">
        <v>8.4311340000000001</v>
      </c>
      <c r="AR155">
        <v>4.6713199999999997</v>
      </c>
      <c r="AS155">
        <v>2.6946300000000001</v>
      </c>
      <c r="AT155">
        <v>9.57761</v>
      </c>
      <c r="AU155">
        <v>71.941999999999993</v>
      </c>
      <c r="AV155">
        <v>155.423</v>
      </c>
      <c r="AW155">
        <v>106.428</v>
      </c>
      <c r="AX155" s="17">
        <v>170000000000</v>
      </c>
      <c r="AY155">
        <v>3.6863800000000002</v>
      </c>
      <c r="AZ155">
        <v>0.47</v>
      </c>
      <c r="BA155">
        <v>1.3862939999999999</v>
      </c>
      <c r="BB155">
        <v>1.3862943999999999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-0.73292800000000002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5.7562999999999998E-3</v>
      </c>
      <c r="CG155">
        <v>0.42127769999999998</v>
      </c>
      <c r="CH155">
        <v>0.14033499999999999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-0.84488200000000002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0.17747489999999999</v>
      </c>
      <c r="DI155">
        <v>0.7138255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0.1980005</v>
      </c>
      <c r="DW155">
        <v>-0.39709450000000002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13.94336</v>
      </c>
      <c r="EW155">
        <v>7.1396500000000002E-2</v>
      </c>
      <c r="EX155">
        <v>7.14949E-2</v>
      </c>
      <c r="EY155">
        <v>7.1428400000000003E-2</v>
      </c>
      <c r="EZ155">
        <v>7.13448E-2</v>
      </c>
      <c r="FA155">
        <v>7.1325100000000002E-2</v>
      </c>
      <c r="FB155">
        <v>7.1471099999999996E-2</v>
      </c>
      <c r="FC155">
        <v>7.16363E-2</v>
      </c>
      <c r="FD155">
        <v>7.1313100000000004E-2</v>
      </c>
      <c r="FE155">
        <v>7.12753E-2</v>
      </c>
      <c r="FF155">
        <v>7.1415199999999998E-2</v>
      </c>
      <c r="FG155">
        <v>7.1528300000000003E-2</v>
      </c>
      <c r="FH155">
        <v>7.1426299999999998E-2</v>
      </c>
      <c r="FI155">
        <v>7.1537400000000001E-2</v>
      </c>
      <c r="FJ155">
        <v>7.1407300000000007E-2</v>
      </c>
      <c r="FK155">
        <v>0.2196746</v>
      </c>
      <c r="FL155">
        <v>4.8256899999999998E-2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-0.48418909999999998</v>
      </c>
      <c r="FZ155">
        <v>-0.77914119999999998</v>
      </c>
      <c r="GA155">
        <v>-0.62237759999999998</v>
      </c>
      <c r="GB155">
        <v>-0.15928990000000001</v>
      </c>
      <c r="GC155">
        <v>-0.53856890000000002</v>
      </c>
      <c r="GD155">
        <v>-0.15711230000000001</v>
      </c>
      <c r="GE155">
        <v>-0.42549340000000002</v>
      </c>
      <c r="GF155">
        <v>-0.69744309999999998</v>
      </c>
      <c r="GG155">
        <v>-1.0225120000000001</v>
      </c>
      <c r="GH155">
        <v>-1.7869699999999999</v>
      </c>
      <c r="GI155">
        <v>3.1932610000000001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0.10324700000000001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-0.83987579999999995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  <c r="KR155">
        <v>1</v>
      </c>
      <c r="KS155">
        <v>1</v>
      </c>
      <c r="KT155">
        <v>1</v>
      </c>
      <c r="KU155">
        <v>1</v>
      </c>
      <c r="KV155">
        <v>1</v>
      </c>
      <c r="KW155">
        <v>1</v>
      </c>
      <c r="KX155">
        <v>1</v>
      </c>
      <c r="KY155">
        <v>1</v>
      </c>
      <c r="KZ155">
        <v>1</v>
      </c>
      <c r="LA155">
        <v>1</v>
      </c>
      <c r="LB155">
        <v>1</v>
      </c>
      <c r="LC155">
        <v>1</v>
      </c>
      <c r="LD155">
        <v>1</v>
      </c>
      <c r="LE155">
        <v>1</v>
      </c>
      <c r="LF155">
        <v>1</v>
      </c>
      <c r="LG155">
        <v>1</v>
      </c>
      <c r="LH155">
        <v>1</v>
      </c>
      <c r="LI155">
        <v>1</v>
      </c>
      <c r="LJ155">
        <v>1</v>
      </c>
      <c r="LK155">
        <v>1</v>
      </c>
      <c r="LL155">
        <v>1</v>
      </c>
      <c r="LM155">
        <v>1</v>
      </c>
      <c r="LN155">
        <v>1</v>
      </c>
      <c r="LO155">
        <v>1</v>
      </c>
      <c r="LP155">
        <v>1</v>
      </c>
      <c r="LQ155">
        <v>1</v>
      </c>
      <c r="LR155">
        <v>1</v>
      </c>
      <c r="LS155">
        <v>1</v>
      </c>
      <c r="LT155">
        <v>1</v>
      </c>
      <c r="LU155">
        <v>1</v>
      </c>
      <c r="LV155">
        <v>1</v>
      </c>
      <c r="LW155">
        <v>1</v>
      </c>
      <c r="LX155">
        <v>1</v>
      </c>
      <c r="LY155">
        <v>1</v>
      </c>
      <c r="LZ155">
        <v>1</v>
      </c>
      <c r="MA155">
        <v>1</v>
      </c>
      <c r="MB155">
        <v>1</v>
      </c>
      <c r="MC155">
        <v>1</v>
      </c>
      <c r="MD155">
        <v>1</v>
      </c>
      <c r="ME155">
        <v>1</v>
      </c>
      <c r="MF155">
        <v>1</v>
      </c>
      <c r="MG155">
        <v>1</v>
      </c>
      <c r="MH155">
        <v>1</v>
      </c>
      <c r="MI155">
        <v>1</v>
      </c>
      <c r="MJ155">
        <v>1</v>
      </c>
      <c r="MK155">
        <v>1</v>
      </c>
      <c r="ML155">
        <v>1</v>
      </c>
      <c r="MM155">
        <v>1</v>
      </c>
      <c r="MN155">
        <v>1</v>
      </c>
      <c r="MO155">
        <v>1</v>
      </c>
      <c r="MP155">
        <v>1</v>
      </c>
      <c r="MQ155">
        <v>1</v>
      </c>
      <c r="MR155">
        <v>1</v>
      </c>
      <c r="MS155">
        <v>1</v>
      </c>
      <c r="MT155">
        <v>1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1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1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1</v>
      </c>
      <c r="NP155">
        <v>91.730519999999999</v>
      </c>
      <c r="NQ155">
        <v>1</v>
      </c>
      <c r="NR155">
        <v>1</v>
      </c>
      <c r="NS155">
        <v>1</v>
      </c>
      <c r="NT155">
        <v>1</v>
      </c>
      <c r="NU155">
        <v>1</v>
      </c>
      <c r="NV155">
        <v>1</v>
      </c>
      <c r="NW155">
        <v>1</v>
      </c>
      <c r="NX155">
        <v>1</v>
      </c>
      <c r="NY155">
        <v>1</v>
      </c>
      <c r="NZ155">
        <v>1</v>
      </c>
      <c r="OA155">
        <v>1</v>
      </c>
      <c r="OB155">
        <v>1</v>
      </c>
      <c r="OC155">
        <v>39.9</v>
      </c>
      <c r="OD155">
        <v>14437.8</v>
      </c>
      <c r="OE155">
        <v>0</v>
      </c>
      <c r="OF155">
        <v>106.839</v>
      </c>
      <c r="OG155">
        <v>14.8</v>
      </c>
      <c r="OH155">
        <v>71.941999999999993</v>
      </c>
    </row>
    <row r="156" spans="1:398">
      <c r="A156">
        <v>15</v>
      </c>
      <c r="B156" t="s">
        <v>25</v>
      </c>
      <c r="C156" t="s">
        <v>24</v>
      </c>
      <c r="D156">
        <v>2010</v>
      </c>
      <c r="E156">
        <v>16.177</v>
      </c>
      <c r="F156">
        <v>1.7444</v>
      </c>
      <c r="G156">
        <v>461</v>
      </c>
      <c r="H156">
        <v>35.700000000000003</v>
      </c>
      <c r="I156">
        <v>80.3</v>
      </c>
      <c r="J156">
        <v>1.9</v>
      </c>
      <c r="K156">
        <v>185.4</v>
      </c>
      <c r="L156">
        <v>0.3</v>
      </c>
      <c r="M156">
        <v>6.3</v>
      </c>
      <c r="N156">
        <v>22354</v>
      </c>
      <c r="O156">
        <v>2.09</v>
      </c>
      <c r="P156">
        <v>0.64</v>
      </c>
      <c r="Q156">
        <v>11844.6</v>
      </c>
      <c r="R156">
        <v>28.5</v>
      </c>
      <c r="S156">
        <v>0.29342099999999999</v>
      </c>
      <c r="T156">
        <v>-0.2557796</v>
      </c>
      <c r="U156">
        <v>1.7643300000000001E-2</v>
      </c>
      <c r="V156">
        <v>-0.34145639999999999</v>
      </c>
      <c r="W156">
        <v>7.2706699999999999E-2</v>
      </c>
      <c r="X156">
        <v>-0.3815289</v>
      </c>
      <c r="Y156">
        <v>-1.017344</v>
      </c>
      <c r="Z156">
        <v>-0.59894709999999995</v>
      </c>
      <c r="AA156">
        <v>-1.029191</v>
      </c>
      <c r="AB156">
        <v>6.0113219999999998</v>
      </c>
      <c r="AC156">
        <v>-0.60077670000000005</v>
      </c>
      <c r="AD156">
        <v>-1.4325060000000001</v>
      </c>
      <c r="AE156">
        <v>1.3683369999999999</v>
      </c>
      <c r="AF156">
        <v>-0.51012639999999998</v>
      </c>
      <c r="AG156">
        <v>-0.52497240000000001</v>
      </c>
      <c r="AH156">
        <v>-1.475989</v>
      </c>
      <c r="AI156">
        <v>2.7835909999999999</v>
      </c>
      <c r="AJ156">
        <v>0.55641070000000004</v>
      </c>
      <c r="AK156">
        <v>6.1333979999999997</v>
      </c>
      <c r="AL156">
        <v>4.3857699999999999</v>
      </c>
      <c r="AM156">
        <v>0.64185389999999998</v>
      </c>
      <c r="AN156">
        <v>5.2225159999999997</v>
      </c>
      <c r="AO156">
        <v>10.014760000000001</v>
      </c>
      <c r="AP156">
        <v>-0.44628709999999999</v>
      </c>
      <c r="AQ156">
        <v>9.3796250000000008</v>
      </c>
      <c r="AR156">
        <v>4.1925999999999997</v>
      </c>
      <c r="AS156">
        <v>1.66771</v>
      </c>
      <c r="AT156">
        <v>10.758800000000001</v>
      </c>
      <c r="AU156">
        <v>61.542000000000002</v>
      </c>
      <c r="AV156">
        <v>189.864</v>
      </c>
      <c r="AW156">
        <v>17.004899999999999</v>
      </c>
      <c r="AX156" s="17">
        <v>38000000000</v>
      </c>
      <c r="AY156">
        <v>2.91777</v>
      </c>
      <c r="AZ156">
        <v>0.73</v>
      </c>
      <c r="BA156">
        <v>0.73716400000000004</v>
      </c>
      <c r="BB156">
        <v>0.73716402000000003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-0.77652900000000002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6.4774000000000003E-3</v>
      </c>
      <c r="CG156">
        <v>0.47789280000000001</v>
      </c>
      <c r="CH156">
        <v>0.156532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-1.4179299999999999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0.22838159999999999</v>
      </c>
      <c r="DI156">
        <v>2.0105270000000002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0.3488618</v>
      </c>
      <c r="DW156">
        <v>-1.0350889999999999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13.93248</v>
      </c>
      <c r="EW156">
        <v>7.1419800000000006E-2</v>
      </c>
      <c r="EX156">
        <v>7.1328500000000003E-2</v>
      </c>
      <c r="EY156">
        <v>7.1437E-2</v>
      </c>
      <c r="EZ156">
        <v>7.1363200000000002E-2</v>
      </c>
      <c r="FA156">
        <v>7.1399099999999993E-2</v>
      </c>
      <c r="FB156">
        <v>7.1716799999999997E-2</v>
      </c>
      <c r="FC156">
        <v>7.1746900000000002E-2</v>
      </c>
      <c r="FD156">
        <v>7.1610300000000002E-2</v>
      </c>
      <c r="FE156">
        <v>7.0423899999999998E-2</v>
      </c>
      <c r="FF156">
        <v>7.1696399999999993E-2</v>
      </c>
      <c r="FG156">
        <v>7.1628999999999998E-2</v>
      </c>
      <c r="FH156">
        <v>7.1638199999999999E-2</v>
      </c>
      <c r="FI156">
        <v>7.1151000000000006E-2</v>
      </c>
      <c r="FJ156">
        <v>7.1440100000000006E-2</v>
      </c>
      <c r="FK156">
        <v>0.29222189999999998</v>
      </c>
      <c r="FL156">
        <v>8.53936E-2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-0.2557796</v>
      </c>
      <c r="FZ156">
        <v>1.7643300000000001E-2</v>
      </c>
      <c r="GA156">
        <v>-0.34145639999999999</v>
      </c>
      <c r="GB156">
        <v>-0.3815289</v>
      </c>
      <c r="GC156">
        <v>-0.59894709999999995</v>
      </c>
      <c r="GD156">
        <v>-0.60077670000000005</v>
      </c>
      <c r="GE156">
        <v>-0.52497240000000001</v>
      </c>
      <c r="GF156">
        <v>-1.4325060000000001</v>
      </c>
      <c r="GG156">
        <v>1.3683369999999999</v>
      </c>
      <c r="GH156">
        <v>-2.0142920000000002</v>
      </c>
      <c r="GI156">
        <v>4.057372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0.21332200000000001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-1.4704330000000001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1</v>
      </c>
      <c r="KV156">
        <v>1</v>
      </c>
      <c r="KW156">
        <v>1</v>
      </c>
      <c r="KX156">
        <v>1</v>
      </c>
      <c r="KY156">
        <v>1</v>
      </c>
      <c r="KZ156">
        <v>1</v>
      </c>
      <c r="LA156">
        <v>1</v>
      </c>
      <c r="LB156">
        <v>1</v>
      </c>
      <c r="LC156">
        <v>1</v>
      </c>
      <c r="LD156">
        <v>1</v>
      </c>
      <c r="LE156">
        <v>1</v>
      </c>
      <c r="LF156">
        <v>1</v>
      </c>
      <c r="LG156">
        <v>1</v>
      </c>
      <c r="LH156">
        <v>1</v>
      </c>
      <c r="LI156">
        <v>1</v>
      </c>
      <c r="LJ156">
        <v>1</v>
      </c>
      <c r="LK156">
        <v>1</v>
      </c>
      <c r="LL156">
        <v>1</v>
      </c>
      <c r="LM156">
        <v>1</v>
      </c>
      <c r="LN156">
        <v>1</v>
      </c>
      <c r="LO156">
        <v>1</v>
      </c>
      <c r="LP156">
        <v>1</v>
      </c>
      <c r="LQ156">
        <v>1</v>
      </c>
      <c r="LR156">
        <v>1</v>
      </c>
      <c r="LS156">
        <v>1</v>
      </c>
      <c r="LT156">
        <v>1</v>
      </c>
      <c r="LU156">
        <v>1</v>
      </c>
      <c r="LV156">
        <v>1</v>
      </c>
      <c r="LW156">
        <v>1</v>
      </c>
      <c r="LX156">
        <v>1</v>
      </c>
      <c r="LY156">
        <v>1</v>
      </c>
      <c r="LZ156">
        <v>1</v>
      </c>
      <c r="MA156">
        <v>1</v>
      </c>
      <c r="MB156">
        <v>1</v>
      </c>
      <c r="MC156">
        <v>1</v>
      </c>
      <c r="MD156">
        <v>1</v>
      </c>
      <c r="ME156">
        <v>1</v>
      </c>
      <c r="MF156">
        <v>1</v>
      </c>
      <c r="MG156">
        <v>1</v>
      </c>
      <c r="MH156">
        <v>1</v>
      </c>
      <c r="MI156">
        <v>1</v>
      </c>
      <c r="MJ156">
        <v>1</v>
      </c>
      <c r="MK156">
        <v>1</v>
      </c>
      <c r="ML156">
        <v>1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1</v>
      </c>
      <c r="NP156">
        <v>115.7509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1</v>
      </c>
      <c r="NW156">
        <v>1</v>
      </c>
      <c r="NX156">
        <v>1</v>
      </c>
      <c r="NY156">
        <v>1</v>
      </c>
      <c r="NZ156">
        <v>1</v>
      </c>
      <c r="OA156">
        <v>1</v>
      </c>
      <c r="OB156">
        <v>1</v>
      </c>
      <c r="OC156">
        <v>18.5</v>
      </c>
      <c r="OD156">
        <v>47040.4</v>
      </c>
      <c r="OE156">
        <v>0.46</v>
      </c>
      <c r="OF156">
        <v>66.194699999999997</v>
      </c>
      <c r="OG156">
        <v>5.3</v>
      </c>
      <c r="OH156">
        <v>61.542000000000002</v>
      </c>
    </row>
    <row r="157" spans="1:398">
      <c r="A157">
        <v>15</v>
      </c>
      <c r="B157" t="s">
        <v>25</v>
      </c>
      <c r="C157" t="s">
        <v>24</v>
      </c>
      <c r="D157">
        <v>2011</v>
      </c>
      <c r="E157">
        <v>15.039</v>
      </c>
      <c r="F157">
        <v>2.0495000000000001</v>
      </c>
      <c r="G157">
        <v>468</v>
      </c>
      <c r="H157">
        <v>36.1</v>
      </c>
      <c r="I157">
        <v>82.1</v>
      </c>
      <c r="J157">
        <v>2.2000000000000002</v>
      </c>
      <c r="K157">
        <v>14.2</v>
      </c>
      <c r="L157">
        <v>0.3</v>
      </c>
      <c r="M157">
        <v>6.2</v>
      </c>
      <c r="N157">
        <v>22818</v>
      </c>
      <c r="O157">
        <v>3.75</v>
      </c>
      <c r="P157">
        <v>0.64</v>
      </c>
      <c r="Q157">
        <v>11850.8</v>
      </c>
      <c r="R157">
        <v>31.3</v>
      </c>
      <c r="S157">
        <v>0.30300899999999997</v>
      </c>
      <c r="T157">
        <v>-0.39404030000000001</v>
      </c>
      <c r="U157">
        <v>0.31046299999999999</v>
      </c>
      <c r="V157">
        <v>-0.28830919999999999</v>
      </c>
      <c r="W157">
        <v>9.8455699999999993E-2</v>
      </c>
      <c r="X157">
        <v>-0.1315104</v>
      </c>
      <c r="Y157">
        <v>-0.96930430000000001</v>
      </c>
      <c r="Z157">
        <v>-0.62128720000000004</v>
      </c>
      <c r="AA157">
        <v>-1.029191</v>
      </c>
      <c r="AB157">
        <v>5.8793949999999997</v>
      </c>
      <c r="AC157">
        <v>-0.59831290000000004</v>
      </c>
      <c r="AD157">
        <v>-1.4325060000000001</v>
      </c>
      <c r="AE157">
        <v>1.370382</v>
      </c>
      <c r="AF157">
        <v>-0.3626277</v>
      </c>
      <c r="AG157">
        <v>-0.43851430000000002</v>
      </c>
      <c r="AH157">
        <v>-1.260011</v>
      </c>
      <c r="AI157">
        <v>2.7106469999999998</v>
      </c>
      <c r="AJ157">
        <v>0.71759589999999995</v>
      </c>
      <c r="AK157">
        <v>6.1484680000000003</v>
      </c>
      <c r="AL157">
        <v>4.4079379999999997</v>
      </c>
      <c r="AM157">
        <v>0.78845739999999997</v>
      </c>
      <c r="AN157">
        <v>2.6532420000000001</v>
      </c>
      <c r="AO157">
        <v>10.035310000000001</v>
      </c>
      <c r="AP157">
        <v>-0.44628709999999999</v>
      </c>
      <c r="AQ157">
        <v>9.3801500000000004</v>
      </c>
      <c r="AR157">
        <v>4.1969599999999998</v>
      </c>
      <c r="AS157">
        <v>1.94591</v>
      </c>
      <c r="AT157">
        <v>10.770799999999999</v>
      </c>
      <c r="AU157">
        <v>61.741999999999997</v>
      </c>
      <c r="AV157">
        <v>186.02600000000001</v>
      </c>
      <c r="AW157">
        <v>9.8200099999999999</v>
      </c>
      <c r="AX157" s="17">
        <v>24000000000</v>
      </c>
      <c r="AY157">
        <v>2.91777</v>
      </c>
      <c r="AZ157">
        <v>0.66</v>
      </c>
      <c r="BA157">
        <v>1.3217559999999999</v>
      </c>
      <c r="BB157">
        <v>1.3217559000000001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-0.19845099999999999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6.5166E-3</v>
      </c>
      <c r="CG157">
        <v>0.47257579999999999</v>
      </c>
      <c r="CH157">
        <v>0.16475100000000001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-1.4498450000000001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0.2233279</v>
      </c>
      <c r="DI157">
        <v>2.1020500000000002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0.31190010000000001</v>
      </c>
      <c r="DW157">
        <v>-0.95689760000000001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13.931139999999999</v>
      </c>
      <c r="EW157">
        <v>7.1448399999999995E-2</v>
      </c>
      <c r="EX157">
        <v>7.1265599999999998E-2</v>
      </c>
      <c r="EY157">
        <v>7.1436399999999997E-2</v>
      </c>
      <c r="EZ157">
        <v>7.1368100000000004E-2</v>
      </c>
      <c r="FA157">
        <v>7.1389400000000006E-2</v>
      </c>
      <c r="FB157">
        <v>7.17029E-2</v>
      </c>
      <c r="FC157">
        <v>7.1778900000000007E-2</v>
      </c>
      <c r="FD157">
        <v>7.1617500000000001E-2</v>
      </c>
      <c r="FE157">
        <v>7.0475499999999996E-2</v>
      </c>
      <c r="FF157">
        <v>7.1701899999999999E-2</v>
      </c>
      <c r="FG157">
        <v>7.1597400000000005E-2</v>
      </c>
      <c r="FH157">
        <v>7.1645299999999995E-2</v>
      </c>
      <c r="FI157">
        <v>7.1162799999999998E-2</v>
      </c>
      <c r="FJ157">
        <v>7.1410000000000001E-2</v>
      </c>
      <c r="FK157">
        <v>0.30185309999999999</v>
      </c>
      <c r="FL157">
        <v>9.1115299999999996E-2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-0.39404030000000001</v>
      </c>
      <c r="FZ157">
        <v>0.31046299999999999</v>
      </c>
      <c r="GA157">
        <v>-0.28830919999999999</v>
      </c>
      <c r="GB157">
        <v>-0.1315104</v>
      </c>
      <c r="GC157">
        <v>-0.62128720000000004</v>
      </c>
      <c r="GD157">
        <v>-0.59831290000000004</v>
      </c>
      <c r="GE157">
        <v>-0.43851430000000002</v>
      </c>
      <c r="GF157">
        <v>-1.4325060000000001</v>
      </c>
      <c r="GG157">
        <v>1.370382</v>
      </c>
      <c r="GH157">
        <v>-1.745779</v>
      </c>
      <c r="GI157">
        <v>3.0477449999999999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0.19922300000000001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-1.1522140000000001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  <c r="KN157">
        <v>1</v>
      </c>
      <c r="KO157">
        <v>1</v>
      </c>
      <c r="KP157">
        <v>1</v>
      </c>
      <c r="KQ157">
        <v>1</v>
      </c>
      <c r="KR157">
        <v>1</v>
      </c>
      <c r="KS157">
        <v>1</v>
      </c>
      <c r="KT157">
        <v>1</v>
      </c>
      <c r="KU157">
        <v>1</v>
      </c>
      <c r="KV157">
        <v>1</v>
      </c>
      <c r="KW157">
        <v>1</v>
      </c>
      <c r="KX157">
        <v>1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1</v>
      </c>
      <c r="LF157">
        <v>1</v>
      </c>
      <c r="LG157">
        <v>1</v>
      </c>
      <c r="LH157">
        <v>1</v>
      </c>
      <c r="LI157">
        <v>1</v>
      </c>
      <c r="LJ157">
        <v>1</v>
      </c>
      <c r="LK157">
        <v>1</v>
      </c>
      <c r="LL157">
        <v>1</v>
      </c>
      <c r="LM157">
        <v>1</v>
      </c>
      <c r="LN157">
        <v>1</v>
      </c>
      <c r="LO157">
        <v>1</v>
      </c>
      <c r="LP157">
        <v>1</v>
      </c>
      <c r="LQ157">
        <v>1</v>
      </c>
      <c r="LR157">
        <v>1</v>
      </c>
      <c r="LS157">
        <v>1</v>
      </c>
      <c r="LT157">
        <v>1</v>
      </c>
      <c r="LU157">
        <v>1</v>
      </c>
      <c r="LV157">
        <v>1</v>
      </c>
      <c r="LW157">
        <v>1</v>
      </c>
      <c r="LX157">
        <v>1</v>
      </c>
      <c r="LY157">
        <v>1</v>
      </c>
      <c r="LZ157">
        <v>1</v>
      </c>
      <c r="MA157">
        <v>1</v>
      </c>
      <c r="MB157">
        <v>1</v>
      </c>
      <c r="MC157">
        <v>1</v>
      </c>
      <c r="MD157">
        <v>1</v>
      </c>
      <c r="ME157">
        <v>1</v>
      </c>
      <c r="MF157">
        <v>1</v>
      </c>
      <c r="MG157">
        <v>1</v>
      </c>
      <c r="MH157">
        <v>1</v>
      </c>
      <c r="MI157">
        <v>1</v>
      </c>
      <c r="MJ157">
        <v>1</v>
      </c>
      <c r="MK157">
        <v>1</v>
      </c>
      <c r="ML157">
        <v>1</v>
      </c>
      <c r="MM157">
        <v>1</v>
      </c>
      <c r="MN157">
        <v>1</v>
      </c>
      <c r="MO157">
        <v>1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1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1</v>
      </c>
      <c r="NP157">
        <v>116.0091</v>
      </c>
      <c r="NQ157">
        <v>1</v>
      </c>
      <c r="NR157">
        <v>1</v>
      </c>
      <c r="NS157">
        <v>1</v>
      </c>
      <c r="NT157">
        <v>1</v>
      </c>
      <c r="NU157">
        <v>1</v>
      </c>
      <c r="NV157">
        <v>1</v>
      </c>
      <c r="NW157">
        <v>1</v>
      </c>
      <c r="NX157">
        <v>1</v>
      </c>
      <c r="NY157">
        <v>1</v>
      </c>
      <c r="NZ157">
        <v>1</v>
      </c>
      <c r="OA157">
        <v>1</v>
      </c>
      <c r="OB157">
        <v>1</v>
      </c>
      <c r="OC157">
        <v>18.5</v>
      </c>
      <c r="OD157">
        <v>47607.9</v>
      </c>
      <c r="OE157">
        <v>0.82</v>
      </c>
      <c r="OF157">
        <v>66.483999999999995</v>
      </c>
      <c r="OG157">
        <v>7</v>
      </c>
      <c r="OH157">
        <v>61.741999999999997</v>
      </c>
    </row>
    <row r="158" spans="1:398">
      <c r="A158">
        <v>15</v>
      </c>
      <c r="B158" t="s">
        <v>25</v>
      </c>
      <c r="C158" t="s">
        <v>24</v>
      </c>
      <c r="D158">
        <v>2012</v>
      </c>
      <c r="E158">
        <v>15.635</v>
      </c>
      <c r="F158">
        <v>2.0381</v>
      </c>
      <c r="G158">
        <v>457</v>
      </c>
      <c r="H158">
        <v>36.6</v>
      </c>
      <c r="I158">
        <v>83.4</v>
      </c>
      <c r="J158">
        <v>1.9</v>
      </c>
      <c r="K158">
        <v>2.2999999999999998</v>
      </c>
      <c r="L158">
        <v>0.3</v>
      </c>
      <c r="M158">
        <v>6.1</v>
      </c>
      <c r="N158">
        <v>23458</v>
      </c>
      <c r="O158">
        <v>1.4</v>
      </c>
      <c r="P158">
        <v>0.62</v>
      </c>
      <c r="Q158">
        <v>11901</v>
      </c>
      <c r="R158">
        <v>30.9</v>
      </c>
      <c r="S158">
        <v>0.298956</v>
      </c>
      <c r="T158">
        <v>-0.32162960000000002</v>
      </c>
      <c r="U158">
        <v>0.2995218</v>
      </c>
      <c r="V158">
        <v>-0.3718263</v>
      </c>
      <c r="W158">
        <v>0.13064219999999999</v>
      </c>
      <c r="X158">
        <v>4.90593E-2</v>
      </c>
      <c r="Y158">
        <v>-1.017344</v>
      </c>
      <c r="Z158">
        <v>-0.62283999999999995</v>
      </c>
      <c r="AA158">
        <v>-1.029191</v>
      </c>
      <c r="AB158">
        <v>5.7474689999999997</v>
      </c>
      <c r="AC158">
        <v>-0.59491450000000001</v>
      </c>
      <c r="AD158">
        <v>-1.5305139999999999</v>
      </c>
      <c r="AE158">
        <v>1.3869370000000001</v>
      </c>
      <c r="AF158">
        <v>-0.38369890000000001</v>
      </c>
      <c r="AG158">
        <v>-0.56090989999999996</v>
      </c>
      <c r="AH158">
        <v>-1.3690720000000001</v>
      </c>
      <c r="AI158">
        <v>2.7495120000000002</v>
      </c>
      <c r="AJ158">
        <v>0.71201800000000004</v>
      </c>
      <c r="AK158">
        <v>6.1246830000000001</v>
      </c>
      <c r="AL158">
        <v>4.423648</v>
      </c>
      <c r="AM158">
        <v>0.64185389999999998</v>
      </c>
      <c r="AN158">
        <v>0.83290909999999996</v>
      </c>
      <c r="AO158">
        <v>10.06297</v>
      </c>
      <c r="AP158">
        <v>-0.47803580000000001</v>
      </c>
      <c r="AQ158">
        <v>9.3843800000000002</v>
      </c>
      <c r="AR158">
        <v>4.2012</v>
      </c>
      <c r="AS158">
        <v>1.9315199999999999</v>
      </c>
      <c r="AT158">
        <v>10.762499999999999</v>
      </c>
      <c r="AU158">
        <v>61.942</v>
      </c>
      <c r="AV158">
        <v>190.06299999999999</v>
      </c>
      <c r="AW158">
        <v>25.56</v>
      </c>
      <c r="AX158" s="17">
        <v>58000000000</v>
      </c>
      <c r="AY158">
        <v>3.0204300000000002</v>
      </c>
      <c r="AZ158">
        <v>0.68</v>
      </c>
      <c r="BA158">
        <v>0.3364722</v>
      </c>
      <c r="BB158">
        <v>0.33647220999999999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-1.20397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6.5750000000000001E-3</v>
      </c>
      <c r="CG158">
        <v>0.45672380000000001</v>
      </c>
      <c r="CH158">
        <v>0.159495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-1.917116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0.20859659999999999</v>
      </c>
      <c r="DI158">
        <v>3.6753339999999999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0.31057220000000002</v>
      </c>
      <c r="DW158">
        <v>-1.303639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13.933249999999999</v>
      </c>
      <c r="EW158">
        <v>7.14283E-2</v>
      </c>
      <c r="EX158">
        <v>7.1260900000000002E-2</v>
      </c>
      <c r="EY158">
        <v>7.1440900000000002E-2</v>
      </c>
      <c r="EZ158">
        <v>7.1354299999999996E-2</v>
      </c>
      <c r="FA158">
        <v>7.1367600000000003E-2</v>
      </c>
      <c r="FB158">
        <v>7.1712899999999996E-2</v>
      </c>
      <c r="FC158">
        <v>7.1770299999999995E-2</v>
      </c>
      <c r="FD158">
        <v>7.1606900000000001E-2</v>
      </c>
      <c r="FE158">
        <v>7.0507399999999998E-2</v>
      </c>
      <c r="FF158">
        <v>7.1689100000000006E-2</v>
      </c>
      <c r="FG158">
        <v>7.1642300000000006E-2</v>
      </c>
      <c r="FH158">
        <v>7.1657999999999999E-2</v>
      </c>
      <c r="FI158">
        <v>7.1154700000000001E-2</v>
      </c>
      <c r="FJ158">
        <v>7.1406300000000006E-2</v>
      </c>
      <c r="FK158">
        <v>0.29780689999999999</v>
      </c>
      <c r="FL158">
        <v>8.8688900000000001E-2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-0.32162960000000002</v>
      </c>
      <c r="FZ158">
        <v>0.2995218</v>
      </c>
      <c r="GA158">
        <v>-0.3718263</v>
      </c>
      <c r="GB158">
        <v>4.90593E-2</v>
      </c>
      <c r="GC158">
        <v>-0.62283999999999995</v>
      </c>
      <c r="GD158">
        <v>-0.59491450000000001</v>
      </c>
      <c r="GE158">
        <v>-0.56090989999999996</v>
      </c>
      <c r="GF158">
        <v>-1.5305139999999999</v>
      </c>
      <c r="GG158">
        <v>1.3869370000000001</v>
      </c>
      <c r="GH158">
        <v>-1.906067</v>
      </c>
      <c r="GI158">
        <v>3.6330909999999998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0.20250870000000001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-1.2961259999999999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1</v>
      </c>
      <c r="KQ158">
        <v>1</v>
      </c>
      <c r="KR158">
        <v>1</v>
      </c>
      <c r="KS158">
        <v>1</v>
      </c>
      <c r="KT158">
        <v>1</v>
      </c>
      <c r="KU158">
        <v>1</v>
      </c>
      <c r="KV158">
        <v>1</v>
      </c>
      <c r="KW158">
        <v>1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E158">
        <v>1</v>
      </c>
      <c r="LF158">
        <v>1</v>
      </c>
      <c r="LG158">
        <v>1</v>
      </c>
      <c r="LH158">
        <v>1</v>
      </c>
      <c r="LI158">
        <v>1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1</v>
      </c>
      <c r="LR158">
        <v>1</v>
      </c>
      <c r="LS158">
        <v>1</v>
      </c>
      <c r="LT158">
        <v>1</v>
      </c>
      <c r="LU158">
        <v>1</v>
      </c>
      <c r="LV158">
        <v>1</v>
      </c>
      <c r="LW158">
        <v>1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1</v>
      </c>
      <c r="MD158">
        <v>1</v>
      </c>
      <c r="ME158">
        <v>1</v>
      </c>
      <c r="MF158">
        <v>1</v>
      </c>
      <c r="MG158">
        <v>1</v>
      </c>
      <c r="MH158">
        <v>1</v>
      </c>
      <c r="MI158">
        <v>1</v>
      </c>
      <c r="MJ158">
        <v>1</v>
      </c>
      <c r="MK158">
        <v>1</v>
      </c>
      <c r="ML158">
        <v>1</v>
      </c>
      <c r="MM158">
        <v>1</v>
      </c>
      <c r="MN158">
        <v>1</v>
      </c>
      <c r="MO158">
        <v>1</v>
      </c>
      <c r="MP158">
        <v>1</v>
      </c>
      <c r="MQ158">
        <v>1</v>
      </c>
      <c r="MR158">
        <v>1</v>
      </c>
      <c r="MS158">
        <v>1</v>
      </c>
      <c r="MT158">
        <v>1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1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1</v>
      </c>
      <c r="NP158">
        <v>115.8318</v>
      </c>
      <c r="NQ158">
        <v>1</v>
      </c>
      <c r="NR158">
        <v>1</v>
      </c>
      <c r="NS158">
        <v>1</v>
      </c>
      <c r="NT158">
        <v>1</v>
      </c>
      <c r="NU158">
        <v>1</v>
      </c>
      <c r="NV158">
        <v>1</v>
      </c>
      <c r="NW158">
        <v>1</v>
      </c>
      <c r="NX158">
        <v>1</v>
      </c>
      <c r="NY158">
        <v>1</v>
      </c>
      <c r="NZ158">
        <v>1</v>
      </c>
      <c r="OA158">
        <v>1</v>
      </c>
      <c r="OB158">
        <v>1</v>
      </c>
      <c r="OC158">
        <v>20.5</v>
      </c>
      <c r="OD158">
        <v>47217.4</v>
      </c>
      <c r="OE158">
        <v>0.3</v>
      </c>
      <c r="OF158">
        <v>66.766300000000001</v>
      </c>
      <c r="OG158">
        <v>6.9</v>
      </c>
      <c r="OH158">
        <v>61.942</v>
      </c>
    </row>
    <row r="159" spans="1:398">
      <c r="A159">
        <v>15</v>
      </c>
      <c r="B159" t="s">
        <v>25</v>
      </c>
      <c r="C159" t="s">
        <v>24</v>
      </c>
      <c r="D159">
        <v>2013</v>
      </c>
      <c r="E159">
        <v>17.295000000000002</v>
      </c>
      <c r="F159">
        <v>1.9456</v>
      </c>
      <c r="G159">
        <v>454</v>
      </c>
      <c r="H159">
        <v>38.200000000000003</v>
      </c>
      <c r="I159">
        <v>83.3</v>
      </c>
      <c r="J159">
        <v>1.9</v>
      </c>
      <c r="K159">
        <v>19.100000000000001</v>
      </c>
      <c r="L159">
        <v>0.3</v>
      </c>
      <c r="M159">
        <v>6</v>
      </c>
      <c r="N159">
        <v>24219</v>
      </c>
      <c r="O159">
        <v>2.46</v>
      </c>
      <c r="P159">
        <v>0.62</v>
      </c>
      <c r="Q159">
        <v>12312.8</v>
      </c>
      <c r="R159">
        <v>30.9</v>
      </c>
      <c r="S159">
        <v>0.30248399999999998</v>
      </c>
      <c r="T159">
        <v>-0.1199489</v>
      </c>
      <c r="U159">
        <v>0.21074499999999999</v>
      </c>
      <c r="V159">
        <v>-0.3946037</v>
      </c>
      <c r="W159">
        <v>0.23363900000000001</v>
      </c>
      <c r="X159">
        <v>3.5169600000000002E-2</v>
      </c>
      <c r="Y159">
        <v>-1.017344</v>
      </c>
      <c r="Z159">
        <v>-0.62064779999999997</v>
      </c>
      <c r="AA159">
        <v>-1.029191</v>
      </c>
      <c r="AB159">
        <v>5.6155429999999997</v>
      </c>
      <c r="AC159">
        <v>-0.5908736</v>
      </c>
      <c r="AD159">
        <v>-1.5305139999999999</v>
      </c>
      <c r="AE159">
        <v>1.522586</v>
      </c>
      <c r="AF159">
        <v>-0.38369890000000001</v>
      </c>
      <c r="AG159">
        <v>-0.50570170000000003</v>
      </c>
      <c r="AH159">
        <v>-1.361583</v>
      </c>
      <c r="AI159">
        <v>2.8504170000000002</v>
      </c>
      <c r="AJ159">
        <v>0.66557040000000001</v>
      </c>
      <c r="AK159">
        <v>6.1180969999999997</v>
      </c>
      <c r="AL159">
        <v>4.4224490000000003</v>
      </c>
      <c r="AM159">
        <v>0.64185389999999998</v>
      </c>
      <c r="AN159">
        <v>2.9496880000000001</v>
      </c>
      <c r="AO159">
        <v>10.094889999999999</v>
      </c>
      <c r="AP159">
        <v>-0.47803580000000001</v>
      </c>
      <c r="AQ159">
        <v>9.4183920000000008</v>
      </c>
      <c r="AR159">
        <v>4.2064599999999999</v>
      </c>
      <c r="AS159">
        <v>2.04122</v>
      </c>
      <c r="AT159">
        <v>10.7789</v>
      </c>
      <c r="AU159">
        <v>62.140999999999998</v>
      </c>
      <c r="AV159">
        <v>189.81800000000001</v>
      </c>
      <c r="AW159">
        <v>29.815000000000001</v>
      </c>
      <c r="AX159" s="17">
        <v>73000000000</v>
      </c>
      <c r="AY159">
        <v>3.0204300000000002</v>
      </c>
      <c r="AZ159">
        <v>0.71</v>
      </c>
      <c r="BA159">
        <v>0.9001614</v>
      </c>
      <c r="BB159">
        <v>0.90016138999999995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-0.63487800000000005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6.8513999999999997E-3</v>
      </c>
      <c r="CG159">
        <v>0.47458630000000002</v>
      </c>
      <c r="CH159">
        <v>0.161414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-1.5711580000000001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0.22523219999999999</v>
      </c>
      <c r="DI159">
        <v>2.4685380000000001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0.33695629999999999</v>
      </c>
      <c r="DW159">
        <v>-1.1155219999999999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13.93308</v>
      </c>
      <c r="EW159">
        <v>7.1401800000000001E-2</v>
      </c>
      <c r="EX159">
        <v>7.1286500000000003E-2</v>
      </c>
      <c r="EY159">
        <v>7.1446899999999994E-2</v>
      </c>
      <c r="EZ159">
        <v>7.1341299999999996E-2</v>
      </c>
      <c r="FA159">
        <v>7.1371500000000004E-2</v>
      </c>
      <c r="FB159">
        <v>7.1713799999999994E-2</v>
      </c>
      <c r="FC159">
        <v>7.1767999999999998E-2</v>
      </c>
      <c r="FD159">
        <v>7.1608099999999994E-2</v>
      </c>
      <c r="FE159">
        <v>7.0548899999999998E-2</v>
      </c>
      <c r="FF159">
        <v>7.1687600000000004E-2</v>
      </c>
      <c r="FG159">
        <v>7.1617899999999998E-2</v>
      </c>
      <c r="FH159">
        <v>7.1659E-2</v>
      </c>
      <c r="FI159">
        <v>7.1139999999999995E-2</v>
      </c>
      <c r="FJ159">
        <v>7.1408799999999995E-2</v>
      </c>
      <c r="FK159">
        <v>0.3013748</v>
      </c>
      <c r="FL159">
        <v>9.0826799999999999E-2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-0.1199489</v>
      </c>
      <c r="FZ159">
        <v>0.21074499999999999</v>
      </c>
      <c r="GA159">
        <v>-0.3946037</v>
      </c>
      <c r="GB159">
        <v>3.5169600000000002E-2</v>
      </c>
      <c r="GC159">
        <v>-0.62064779999999997</v>
      </c>
      <c r="GD159">
        <v>-0.5908736</v>
      </c>
      <c r="GE159">
        <v>-0.50570170000000003</v>
      </c>
      <c r="GF159">
        <v>-1.5305139999999999</v>
      </c>
      <c r="GG159">
        <v>1.522586</v>
      </c>
      <c r="GH159">
        <v>-1.893805</v>
      </c>
      <c r="GI159">
        <v>3.5864959999999999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0.2139761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-1.3446009999999999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1</v>
      </c>
      <c r="KQ159">
        <v>1</v>
      </c>
      <c r="KR159">
        <v>1</v>
      </c>
      <c r="KS159">
        <v>1</v>
      </c>
      <c r="KT159">
        <v>1</v>
      </c>
      <c r="KU159">
        <v>1</v>
      </c>
      <c r="KV159">
        <v>1</v>
      </c>
      <c r="KW159">
        <v>1</v>
      </c>
      <c r="KX159">
        <v>1</v>
      </c>
      <c r="KY159">
        <v>1</v>
      </c>
      <c r="KZ159">
        <v>1</v>
      </c>
      <c r="LA159">
        <v>1</v>
      </c>
      <c r="LB159">
        <v>1</v>
      </c>
      <c r="LC159">
        <v>1</v>
      </c>
      <c r="LD159">
        <v>1</v>
      </c>
      <c r="LE159">
        <v>1</v>
      </c>
      <c r="LF159">
        <v>1</v>
      </c>
      <c r="LG159">
        <v>1</v>
      </c>
      <c r="LH159">
        <v>1</v>
      </c>
      <c r="LI159">
        <v>1</v>
      </c>
      <c r="LJ159">
        <v>1</v>
      </c>
      <c r="LK159">
        <v>1</v>
      </c>
      <c r="LL159">
        <v>1</v>
      </c>
      <c r="LM159">
        <v>1</v>
      </c>
      <c r="LN159">
        <v>1</v>
      </c>
      <c r="LO159">
        <v>1</v>
      </c>
      <c r="LP159">
        <v>1</v>
      </c>
      <c r="LQ159">
        <v>1</v>
      </c>
      <c r="LR159">
        <v>1</v>
      </c>
      <c r="LS159">
        <v>1</v>
      </c>
      <c r="LT159">
        <v>1</v>
      </c>
      <c r="LU159">
        <v>1</v>
      </c>
      <c r="LV159">
        <v>1</v>
      </c>
      <c r="LW159">
        <v>1</v>
      </c>
      <c r="LX159">
        <v>1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1</v>
      </c>
      <c r="MF159">
        <v>1</v>
      </c>
      <c r="MG159">
        <v>1</v>
      </c>
      <c r="MH159">
        <v>1</v>
      </c>
      <c r="MI159">
        <v>1</v>
      </c>
      <c r="MJ159">
        <v>1</v>
      </c>
      <c r="MK159">
        <v>1</v>
      </c>
      <c r="ML159">
        <v>1</v>
      </c>
      <c r="MM159">
        <v>1</v>
      </c>
      <c r="MN159">
        <v>1</v>
      </c>
      <c r="MO159">
        <v>1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1</v>
      </c>
      <c r="NA159">
        <v>1</v>
      </c>
      <c r="NB159">
        <v>1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1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1</v>
      </c>
      <c r="NP159">
        <v>116.18559999999999</v>
      </c>
      <c r="NQ159">
        <v>1</v>
      </c>
      <c r="NR159">
        <v>1</v>
      </c>
      <c r="NS159">
        <v>1</v>
      </c>
      <c r="NT159">
        <v>1</v>
      </c>
      <c r="NU159">
        <v>1</v>
      </c>
      <c r="NV159">
        <v>1</v>
      </c>
      <c r="NW159">
        <v>1</v>
      </c>
      <c r="NX159">
        <v>1</v>
      </c>
      <c r="NY159">
        <v>1</v>
      </c>
      <c r="NZ159">
        <v>1</v>
      </c>
      <c r="OA159">
        <v>1</v>
      </c>
      <c r="OB159">
        <v>1</v>
      </c>
      <c r="OC159">
        <v>20.5</v>
      </c>
      <c r="OD159">
        <v>47999.1</v>
      </c>
      <c r="OE159">
        <v>0.53</v>
      </c>
      <c r="OF159">
        <v>67.118799999999993</v>
      </c>
      <c r="OG159">
        <v>7.7</v>
      </c>
      <c r="OH159">
        <v>62.140999999999998</v>
      </c>
    </row>
    <row r="160" spans="1:398">
      <c r="A160">
        <v>15</v>
      </c>
      <c r="B160" t="s">
        <v>25</v>
      </c>
      <c r="C160" t="s">
        <v>24</v>
      </c>
      <c r="D160">
        <v>2014</v>
      </c>
      <c r="E160">
        <v>16.541</v>
      </c>
      <c r="F160">
        <v>2.1812999999999998</v>
      </c>
      <c r="G160">
        <v>430</v>
      </c>
      <c r="H160">
        <v>39.799999999999997</v>
      </c>
      <c r="I160">
        <v>83.7</v>
      </c>
      <c r="J160">
        <v>2.2000000000000002</v>
      </c>
      <c r="K160">
        <v>128.80000000000001</v>
      </c>
      <c r="L160">
        <v>0.2</v>
      </c>
      <c r="M160">
        <v>5.5</v>
      </c>
      <c r="N160">
        <v>26019</v>
      </c>
      <c r="O160">
        <v>3.86</v>
      </c>
      <c r="P160">
        <v>0.63</v>
      </c>
      <c r="Q160">
        <v>13100</v>
      </c>
      <c r="R160">
        <v>31.1</v>
      </c>
      <c r="S160">
        <v>0.30214999999999997</v>
      </c>
      <c r="T160">
        <v>-0.21155560000000001</v>
      </c>
      <c r="U160">
        <v>0.43695800000000001</v>
      </c>
      <c r="V160">
        <v>-0.57682290000000003</v>
      </c>
      <c r="W160">
        <v>0.33663549999999998</v>
      </c>
      <c r="X160">
        <v>9.0728500000000004E-2</v>
      </c>
      <c r="Y160">
        <v>-0.96930430000000001</v>
      </c>
      <c r="Z160">
        <v>-0.60633289999999995</v>
      </c>
      <c r="AA160">
        <v>-1.3073250000000001</v>
      </c>
      <c r="AB160">
        <v>4.9559100000000003</v>
      </c>
      <c r="AC160">
        <v>-0.58131560000000004</v>
      </c>
      <c r="AD160">
        <v>-1.4815100000000001</v>
      </c>
      <c r="AE160">
        <v>1.7819400000000001</v>
      </c>
      <c r="AF160">
        <v>-0.37316329999999998</v>
      </c>
      <c r="AG160">
        <v>-0.43278509999999998</v>
      </c>
      <c r="AH160">
        <v>-1.2235799999999999</v>
      </c>
      <c r="AI160">
        <v>2.8058420000000002</v>
      </c>
      <c r="AJ160">
        <v>0.77992099999999998</v>
      </c>
      <c r="AK160">
        <v>6.0637850000000002</v>
      </c>
      <c r="AL160">
        <v>4.4272390000000001</v>
      </c>
      <c r="AM160">
        <v>0.78845739999999997</v>
      </c>
      <c r="AN160">
        <v>4.8582609999999997</v>
      </c>
      <c r="AO160">
        <v>10.16658</v>
      </c>
      <c r="AP160">
        <v>-0.46203549999999999</v>
      </c>
      <c r="AQ160">
        <v>9.4803660000000001</v>
      </c>
      <c r="AR160">
        <v>4.2137799999999999</v>
      </c>
      <c r="AS160">
        <v>2.17475</v>
      </c>
      <c r="AT160">
        <v>10.860900000000001</v>
      </c>
      <c r="AU160">
        <v>62.34</v>
      </c>
      <c r="AV160">
        <v>201.655</v>
      </c>
      <c r="AW160">
        <v>39.321199999999997</v>
      </c>
      <c r="AX160" s="17">
        <v>100000000000</v>
      </c>
      <c r="AY160">
        <v>3.0056799999999999</v>
      </c>
      <c r="AZ160">
        <v>0.7</v>
      </c>
      <c r="BA160">
        <v>1.3506670000000001</v>
      </c>
      <c r="BB160">
        <v>1.3506670999999999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-0.18633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7.1218000000000002E-3</v>
      </c>
      <c r="CG160">
        <v>0.48268060000000002</v>
      </c>
      <c r="CH160">
        <v>0.16536500000000001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-1.1590830000000001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0.23298050000000001</v>
      </c>
      <c r="DI160">
        <v>1.3434729999999999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0.33787640000000002</v>
      </c>
      <c r="DW160">
        <v>-0.81135789999999997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13.93356</v>
      </c>
      <c r="EW160">
        <v>7.1414000000000005E-2</v>
      </c>
      <c r="EX160">
        <v>7.1233699999999997E-2</v>
      </c>
      <c r="EY160">
        <v>7.1476499999999998E-2</v>
      </c>
      <c r="EZ160">
        <v>7.1325299999999994E-2</v>
      </c>
      <c r="FA160">
        <v>7.1367100000000003E-2</v>
      </c>
      <c r="FB160">
        <v>7.1690599999999993E-2</v>
      </c>
      <c r="FC160">
        <v>7.1748999999999993E-2</v>
      </c>
      <c r="FD160">
        <v>7.16783E-2</v>
      </c>
      <c r="FE160">
        <v>7.0648199999999994E-2</v>
      </c>
      <c r="FF160">
        <v>7.1679499999999993E-2</v>
      </c>
      <c r="FG160">
        <v>7.1583400000000005E-2</v>
      </c>
      <c r="FH160">
        <v>7.1644899999999997E-2</v>
      </c>
      <c r="FI160">
        <v>7.1104299999999995E-2</v>
      </c>
      <c r="FJ160">
        <v>7.1405200000000002E-2</v>
      </c>
      <c r="FK160">
        <v>0.30112460000000002</v>
      </c>
      <c r="FL160">
        <v>9.0676000000000007E-2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-0.21155560000000001</v>
      </c>
      <c r="FZ160">
        <v>0.43695800000000001</v>
      </c>
      <c r="GA160">
        <v>-0.57682290000000003</v>
      </c>
      <c r="GB160">
        <v>9.0728500000000004E-2</v>
      </c>
      <c r="GC160">
        <v>-0.60633289999999995</v>
      </c>
      <c r="GD160">
        <v>-0.58131560000000004</v>
      </c>
      <c r="GE160">
        <v>-0.43278509999999998</v>
      </c>
      <c r="GF160">
        <v>-1.4815100000000001</v>
      </c>
      <c r="GG160">
        <v>1.7819400000000001</v>
      </c>
      <c r="GH160">
        <v>-1.707479</v>
      </c>
      <c r="GI160">
        <v>2.9154849999999999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0.21078720000000001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-1.195235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1</v>
      </c>
      <c r="KQ160">
        <v>1</v>
      </c>
      <c r="KR160">
        <v>1</v>
      </c>
      <c r="KS160">
        <v>1</v>
      </c>
      <c r="KT160">
        <v>1</v>
      </c>
      <c r="KU160">
        <v>1</v>
      </c>
      <c r="KV160">
        <v>1</v>
      </c>
      <c r="KW160">
        <v>1</v>
      </c>
      <c r="KX160">
        <v>1</v>
      </c>
      <c r="KY160">
        <v>1</v>
      </c>
      <c r="KZ160">
        <v>1</v>
      </c>
      <c r="LA160">
        <v>1</v>
      </c>
      <c r="LB160">
        <v>1</v>
      </c>
      <c r="LC160">
        <v>1</v>
      </c>
      <c r="LD160">
        <v>1</v>
      </c>
      <c r="LE160">
        <v>1</v>
      </c>
      <c r="LF160">
        <v>1</v>
      </c>
      <c r="LG160">
        <v>1</v>
      </c>
      <c r="LH160">
        <v>1</v>
      </c>
      <c r="LI160">
        <v>1</v>
      </c>
      <c r="LJ160">
        <v>1</v>
      </c>
      <c r="LK160">
        <v>1</v>
      </c>
      <c r="LL160">
        <v>1</v>
      </c>
      <c r="LM160">
        <v>1</v>
      </c>
      <c r="LN160">
        <v>1</v>
      </c>
      <c r="LO160">
        <v>1</v>
      </c>
      <c r="LP160">
        <v>1</v>
      </c>
      <c r="LQ160">
        <v>1</v>
      </c>
      <c r="LR160">
        <v>1</v>
      </c>
      <c r="LS160">
        <v>1</v>
      </c>
      <c r="LT160">
        <v>1</v>
      </c>
      <c r="LU160">
        <v>1</v>
      </c>
      <c r="LV160">
        <v>1</v>
      </c>
      <c r="LW160">
        <v>1</v>
      </c>
      <c r="LX160">
        <v>1</v>
      </c>
      <c r="LY160">
        <v>1</v>
      </c>
      <c r="LZ160">
        <v>1</v>
      </c>
      <c r="MA160">
        <v>1</v>
      </c>
      <c r="MB160">
        <v>1</v>
      </c>
      <c r="MC160">
        <v>1</v>
      </c>
      <c r="MD160">
        <v>1</v>
      </c>
      <c r="ME160">
        <v>1</v>
      </c>
      <c r="MF160">
        <v>1</v>
      </c>
      <c r="MG160">
        <v>1</v>
      </c>
      <c r="MH160">
        <v>1</v>
      </c>
      <c r="MI160">
        <v>1</v>
      </c>
      <c r="MJ160">
        <v>1</v>
      </c>
      <c r="MK160">
        <v>1</v>
      </c>
      <c r="ML160">
        <v>1</v>
      </c>
      <c r="MM160">
        <v>1</v>
      </c>
      <c r="MN160">
        <v>1</v>
      </c>
      <c r="MO160">
        <v>1</v>
      </c>
      <c r="MP160">
        <v>1</v>
      </c>
      <c r="MQ160">
        <v>1</v>
      </c>
      <c r="MR160">
        <v>1</v>
      </c>
      <c r="MS160">
        <v>1</v>
      </c>
      <c r="MT160">
        <v>1</v>
      </c>
      <c r="MU160">
        <v>1</v>
      </c>
      <c r="MV160">
        <v>1</v>
      </c>
      <c r="MW160">
        <v>1</v>
      </c>
      <c r="MX160">
        <v>1</v>
      </c>
      <c r="MY160">
        <v>1</v>
      </c>
      <c r="MZ160">
        <v>1</v>
      </c>
      <c r="NA160">
        <v>1</v>
      </c>
      <c r="NB160">
        <v>1</v>
      </c>
      <c r="NC160">
        <v>1</v>
      </c>
      <c r="ND160">
        <v>1</v>
      </c>
      <c r="NE160">
        <v>1</v>
      </c>
      <c r="NF160">
        <v>1</v>
      </c>
      <c r="NG160">
        <v>1</v>
      </c>
      <c r="NH160">
        <v>1</v>
      </c>
      <c r="NI160">
        <v>1</v>
      </c>
      <c r="NJ160">
        <v>1</v>
      </c>
      <c r="NK160">
        <v>1</v>
      </c>
      <c r="NL160">
        <v>1</v>
      </c>
      <c r="NM160">
        <v>1</v>
      </c>
      <c r="NN160">
        <v>1</v>
      </c>
      <c r="NO160">
        <v>1</v>
      </c>
      <c r="NP160">
        <v>117.95869999999999</v>
      </c>
      <c r="NQ160">
        <v>1</v>
      </c>
      <c r="NR160">
        <v>1</v>
      </c>
      <c r="NS160">
        <v>1</v>
      </c>
      <c r="NT160">
        <v>1</v>
      </c>
      <c r="NU160">
        <v>1</v>
      </c>
      <c r="NV160">
        <v>1</v>
      </c>
      <c r="NW160">
        <v>1</v>
      </c>
      <c r="NX160">
        <v>1</v>
      </c>
      <c r="NY160">
        <v>1</v>
      </c>
      <c r="NZ160">
        <v>1</v>
      </c>
      <c r="OA160">
        <v>1</v>
      </c>
      <c r="OB160">
        <v>1</v>
      </c>
      <c r="OC160">
        <v>20.2</v>
      </c>
      <c r="OD160">
        <v>52098.1</v>
      </c>
      <c r="OE160">
        <v>0.83</v>
      </c>
      <c r="OF160">
        <v>67.6113</v>
      </c>
      <c r="OG160">
        <v>8.8000000000000007</v>
      </c>
      <c r="OH160">
        <v>62.34</v>
      </c>
    </row>
    <row r="161" spans="1:398">
      <c r="A161">
        <v>15</v>
      </c>
      <c r="B161" t="s">
        <v>25</v>
      </c>
      <c r="C161" t="s">
        <v>24</v>
      </c>
      <c r="D161">
        <v>2015</v>
      </c>
      <c r="E161">
        <v>13.846</v>
      </c>
      <c r="F161">
        <v>2.6347</v>
      </c>
      <c r="G161">
        <v>403</v>
      </c>
      <c r="H161">
        <v>40.25</v>
      </c>
      <c r="I161">
        <v>83.2</v>
      </c>
      <c r="J161">
        <v>2.1</v>
      </c>
      <c r="K161">
        <v>127</v>
      </c>
      <c r="L161">
        <v>0.2</v>
      </c>
      <c r="M161">
        <v>4.2</v>
      </c>
      <c r="N161">
        <v>27163</v>
      </c>
      <c r="O161">
        <v>1.45</v>
      </c>
      <c r="P161">
        <v>0.65</v>
      </c>
      <c r="Q161">
        <v>13499.4</v>
      </c>
      <c r="R161">
        <v>32.1</v>
      </c>
      <c r="S161">
        <v>0.29003899999999999</v>
      </c>
      <c r="T161">
        <v>-0.53898310000000005</v>
      </c>
      <c r="U161">
        <v>0.87210880000000002</v>
      </c>
      <c r="V161">
        <v>-0.7818195</v>
      </c>
      <c r="W161">
        <v>0.36560340000000002</v>
      </c>
      <c r="X161">
        <v>2.12788E-2</v>
      </c>
      <c r="Y161">
        <v>-0.98531749999999996</v>
      </c>
      <c r="Z161">
        <v>-0.60656779999999999</v>
      </c>
      <c r="AA161">
        <v>-1.3073250000000001</v>
      </c>
      <c r="AB161">
        <v>3.2408640000000002</v>
      </c>
      <c r="AC161">
        <v>-0.575241</v>
      </c>
      <c r="AD161">
        <v>-1.383502</v>
      </c>
      <c r="AE161">
        <v>1.913524</v>
      </c>
      <c r="AF161">
        <v>-0.32048529999999997</v>
      </c>
      <c r="AG161">
        <v>-0.55830570000000002</v>
      </c>
      <c r="AH161">
        <v>-0.99811669999999997</v>
      </c>
      <c r="AI161">
        <v>2.627996</v>
      </c>
      <c r="AJ161">
        <v>0.9687694</v>
      </c>
      <c r="AK161">
        <v>5.9989369999999997</v>
      </c>
      <c r="AL161">
        <v>4.4212470000000001</v>
      </c>
      <c r="AM161">
        <v>0.74193730000000002</v>
      </c>
      <c r="AN161">
        <v>4.8441869999999998</v>
      </c>
      <c r="AO161">
        <v>10.20961</v>
      </c>
      <c r="AP161">
        <v>-0.43078290000000002</v>
      </c>
      <c r="AQ161">
        <v>9.5103980000000004</v>
      </c>
      <c r="AR161">
        <v>4.2232200000000004</v>
      </c>
      <c r="AS161">
        <v>2.25129</v>
      </c>
      <c r="AT161">
        <v>11.0715</v>
      </c>
      <c r="AU161">
        <v>62.537999999999997</v>
      </c>
      <c r="AV161">
        <v>216.20599999999999</v>
      </c>
      <c r="AW161">
        <v>74.745199999999997</v>
      </c>
      <c r="AX161" s="17">
        <v>230000000000</v>
      </c>
      <c r="AY161">
        <v>3.0445199999999999</v>
      </c>
      <c r="AZ161">
        <v>0.67</v>
      </c>
      <c r="BA161">
        <v>0.37156359999999999</v>
      </c>
      <c r="BB161">
        <v>0.37156358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-1.1711800000000001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7.1599000000000003E-3</v>
      </c>
      <c r="CG161">
        <v>0.46272340000000001</v>
      </c>
      <c r="CH161">
        <v>0.16212099999999999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-1.0759669999999999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0.214113</v>
      </c>
      <c r="DI161">
        <v>1.1577040000000001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0.31002469999999999</v>
      </c>
      <c r="DW161">
        <v>-0.72089769999999997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13.936999999999999</v>
      </c>
      <c r="EW161">
        <v>7.14452E-2</v>
      </c>
      <c r="EX161">
        <v>7.1123099999999995E-2</v>
      </c>
      <c r="EY161">
        <v>7.1495500000000003E-2</v>
      </c>
      <c r="EZ161">
        <v>7.1305800000000003E-2</v>
      </c>
      <c r="FA161">
        <v>7.1356299999999998E-2</v>
      </c>
      <c r="FB161">
        <v>7.1679800000000002E-2</v>
      </c>
      <c r="FC161">
        <v>7.1731500000000004E-2</v>
      </c>
      <c r="FD161">
        <v>7.1660699999999994E-2</v>
      </c>
      <c r="FE161">
        <v>7.0867100000000002E-2</v>
      </c>
      <c r="FF161">
        <v>7.1658299999999994E-2</v>
      </c>
      <c r="FG161">
        <v>7.1622500000000006E-2</v>
      </c>
      <c r="FH161">
        <v>7.1604500000000001E-2</v>
      </c>
      <c r="FI161">
        <v>7.1073800000000006E-2</v>
      </c>
      <c r="FJ161">
        <v>7.1375999999999995E-2</v>
      </c>
      <c r="FK161">
        <v>0.28919349999999999</v>
      </c>
      <c r="FL161">
        <v>8.3632799999999993E-2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-0.53898310000000005</v>
      </c>
      <c r="FZ161">
        <v>0.87210880000000002</v>
      </c>
      <c r="GA161">
        <v>-0.7818195</v>
      </c>
      <c r="GB161">
        <v>2.12788E-2</v>
      </c>
      <c r="GC161">
        <v>-0.60656779999999999</v>
      </c>
      <c r="GD161">
        <v>-0.575241</v>
      </c>
      <c r="GE161">
        <v>-0.55830570000000002</v>
      </c>
      <c r="GF161">
        <v>-1.383502</v>
      </c>
      <c r="GG161">
        <v>1.913524</v>
      </c>
      <c r="GH161">
        <v>-1.43004</v>
      </c>
      <c r="GI161">
        <v>2.0450140000000001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0.1937596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-0.95812679999999995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1</v>
      </c>
      <c r="KQ161">
        <v>1</v>
      </c>
      <c r="KR161">
        <v>1</v>
      </c>
      <c r="KS161">
        <v>1</v>
      </c>
      <c r="KT161">
        <v>1</v>
      </c>
      <c r="KU161">
        <v>1</v>
      </c>
      <c r="KV161">
        <v>1</v>
      </c>
      <c r="KW161">
        <v>1</v>
      </c>
      <c r="KX161">
        <v>1</v>
      </c>
      <c r="KY161">
        <v>1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1</v>
      </c>
      <c r="LF161">
        <v>1</v>
      </c>
      <c r="LG161">
        <v>1</v>
      </c>
      <c r="LH161">
        <v>1</v>
      </c>
      <c r="LI161">
        <v>1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1</v>
      </c>
      <c r="LR161">
        <v>1</v>
      </c>
      <c r="LS161">
        <v>1</v>
      </c>
      <c r="LT161">
        <v>1</v>
      </c>
      <c r="LU161">
        <v>1</v>
      </c>
      <c r="LV161">
        <v>1</v>
      </c>
      <c r="LW161">
        <v>1</v>
      </c>
      <c r="LX161">
        <v>1</v>
      </c>
      <c r="LY161">
        <v>1</v>
      </c>
      <c r="LZ161">
        <v>1</v>
      </c>
      <c r="MA161">
        <v>1</v>
      </c>
      <c r="MB161">
        <v>1</v>
      </c>
      <c r="MC161">
        <v>1</v>
      </c>
      <c r="MD161">
        <v>1</v>
      </c>
      <c r="ME161">
        <v>1</v>
      </c>
      <c r="MF161">
        <v>1</v>
      </c>
      <c r="MG161">
        <v>1</v>
      </c>
      <c r="MH161">
        <v>1</v>
      </c>
      <c r="MI161">
        <v>1</v>
      </c>
      <c r="MJ161">
        <v>1</v>
      </c>
      <c r="MK161">
        <v>1</v>
      </c>
      <c r="ML161">
        <v>1</v>
      </c>
      <c r="MM161">
        <v>1</v>
      </c>
      <c r="MN161">
        <v>1</v>
      </c>
      <c r="MO161">
        <v>1</v>
      </c>
      <c r="MP161">
        <v>1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1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1</v>
      </c>
      <c r="NP161">
        <v>122.57810000000001</v>
      </c>
      <c r="NQ161">
        <v>1</v>
      </c>
      <c r="NR161">
        <v>1</v>
      </c>
      <c r="NS161">
        <v>1</v>
      </c>
      <c r="NT161">
        <v>1</v>
      </c>
      <c r="NU161">
        <v>1</v>
      </c>
      <c r="NV161">
        <v>1</v>
      </c>
      <c r="NW161">
        <v>1</v>
      </c>
      <c r="NX161">
        <v>1</v>
      </c>
      <c r="NY161">
        <v>1</v>
      </c>
      <c r="NZ161">
        <v>1</v>
      </c>
      <c r="OA161">
        <v>1</v>
      </c>
      <c r="OB161">
        <v>1</v>
      </c>
      <c r="OC161">
        <v>21</v>
      </c>
      <c r="OD161">
        <v>64311.8</v>
      </c>
      <c r="OE161">
        <v>0.31</v>
      </c>
      <c r="OF161">
        <v>68.253100000000003</v>
      </c>
      <c r="OG161">
        <v>9.5</v>
      </c>
      <c r="OH161">
        <v>62.537999999999997</v>
      </c>
    </row>
    <row r="162" spans="1:398">
      <c r="A162">
        <v>15</v>
      </c>
      <c r="B162" t="s">
        <v>25</v>
      </c>
      <c r="C162" t="s">
        <v>24</v>
      </c>
      <c r="D162">
        <v>2016</v>
      </c>
      <c r="E162">
        <v>16.716000000000001</v>
      </c>
      <c r="F162">
        <v>2.4965999999999999</v>
      </c>
      <c r="G162">
        <v>382</v>
      </c>
      <c r="H162">
        <v>40.700000000000003</v>
      </c>
      <c r="I162">
        <v>85.1</v>
      </c>
      <c r="J162">
        <v>2</v>
      </c>
      <c r="K162">
        <v>88.3</v>
      </c>
      <c r="L162">
        <v>0.1</v>
      </c>
      <c r="M162">
        <v>4.0999999999999996</v>
      </c>
      <c r="N162">
        <v>28227</v>
      </c>
      <c r="O162">
        <v>4.93</v>
      </c>
      <c r="P162">
        <v>0.66</v>
      </c>
      <c r="Q162">
        <v>13548.1</v>
      </c>
      <c r="R162">
        <v>29.9</v>
      </c>
      <c r="S162">
        <v>0.28761599999999998</v>
      </c>
      <c r="T162">
        <v>-0.1902942</v>
      </c>
      <c r="U162">
        <v>0.73956710000000003</v>
      </c>
      <c r="V162">
        <v>-0.94126120000000002</v>
      </c>
      <c r="W162">
        <v>0.39457120000000001</v>
      </c>
      <c r="X162">
        <v>0.285188</v>
      </c>
      <c r="Y162">
        <v>-1.0013300000000001</v>
      </c>
      <c r="Z162">
        <v>-0.61161779999999999</v>
      </c>
      <c r="AA162">
        <v>-1.585459</v>
      </c>
      <c r="AB162">
        <v>3.1089370000000001</v>
      </c>
      <c r="AC162">
        <v>-0.56959119999999996</v>
      </c>
      <c r="AD162">
        <v>-1.334497</v>
      </c>
      <c r="AE162">
        <v>1.9295629999999999</v>
      </c>
      <c r="AF162">
        <v>-0.43637710000000002</v>
      </c>
      <c r="AG162">
        <v>-0.377056</v>
      </c>
      <c r="AH162">
        <v>-1.1716949999999999</v>
      </c>
      <c r="AI162">
        <v>2.8163659999999999</v>
      </c>
      <c r="AJ162">
        <v>0.91492969999999996</v>
      </c>
      <c r="AK162">
        <v>5.9454209999999996</v>
      </c>
      <c r="AL162">
        <v>4.4438269999999997</v>
      </c>
      <c r="AM162">
        <v>0.69314719999999996</v>
      </c>
      <c r="AN162">
        <v>4.4807399999999999</v>
      </c>
      <c r="AO162">
        <v>10.24803</v>
      </c>
      <c r="AP162">
        <v>-0.41551539999999998</v>
      </c>
      <c r="AQ162">
        <v>9.5139980000000008</v>
      </c>
      <c r="AR162">
        <v>4.2345100000000002</v>
      </c>
      <c r="AS162">
        <v>2.1517599999999999</v>
      </c>
      <c r="AT162">
        <v>11.0724</v>
      </c>
      <c r="AU162">
        <v>62.737000000000002</v>
      </c>
      <c r="AV162">
        <v>229.76400000000001</v>
      </c>
      <c r="AW162">
        <v>26.099599999999999</v>
      </c>
      <c r="AX162" s="17">
        <v>80000000000</v>
      </c>
      <c r="AY162">
        <v>3.0056799999999999</v>
      </c>
      <c r="AZ162">
        <v>0.67</v>
      </c>
      <c r="BA162">
        <v>1.5953390000000001</v>
      </c>
      <c r="BB162">
        <v>1.5953389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3.9220999999999999E-2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7.1969E-3</v>
      </c>
      <c r="CG162">
        <v>0.46427889999999999</v>
      </c>
      <c r="CH162">
        <v>0.160163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-1.1314599999999999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0.21555489999999999</v>
      </c>
      <c r="DI162">
        <v>1.2802020000000001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0.31106689999999998</v>
      </c>
      <c r="DW162">
        <v>-0.75807820000000004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13.93796</v>
      </c>
      <c r="EW162">
        <v>7.1391200000000002E-2</v>
      </c>
      <c r="EX162">
        <v>7.1152199999999999E-2</v>
      </c>
      <c r="EY162">
        <v>7.1519899999999997E-2</v>
      </c>
      <c r="EZ162">
        <v>7.1299000000000001E-2</v>
      </c>
      <c r="FA162">
        <v>7.1334999999999996E-2</v>
      </c>
      <c r="FB162">
        <v>7.1681700000000001E-2</v>
      </c>
      <c r="FC162">
        <v>7.1732099999999993E-2</v>
      </c>
      <c r="FD162">
        <v>7.1746500000000005E-2</v>
      </c>
      <c r="FE162">
        <v>7.0891099999999999E-2</v>
      </c>
      <c r="FF162">
        <v>7.1650099999999994E-2</v>
      </c>
      <c r="FG162">
        <v>7.1537799999999999E-2</v>
      </c>
      <c r="FH162">
        <v>7.1588700000000005E-2</v>
      </c>
      <c r="FI162">
        <v>7.1072899999999994E-2</v>
      </c>
      <c r="FJ162">
        <v>7.1401999999999993E-2</v>
      </c>
      <c r="FK162">
        <v>0.28678439999999999</v>
      </c>
      <c r="FL162">
        <v>8.2245299999999993E-2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-0.1902942</v>
      </c>
      <c r="FZ162">
        <v>0.73956710000000003</v>
      </c>
      <c r="GA162">
        <v>-0.94126120000000002</v>
      </c>
      <c r="GB162">
        <v>0.285188</v>
      </c>
      <c r="GC162">
        <v>-0.61161779999999999</v>
      </c>
      <c r="GD162">
        <v>-0.56959119999999996</v>
      </c>
      <c r="GE162">
        <v>-0.377056</v>
      </c>
      <c r="GF162">
        <v>-1.334497</v>
      </c>
      <c r="GG162">
        <v>1.9295629999999999</v>
      </c>
      <c r="GH162">
        <v>-1.640603</v>
      </c>
      <c r="GI162">
        <v>2.6915770000000001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0.1921456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-1.0992040000000001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  <c r="KB162">
        <v>1</v>
      </c>
      <c r="KC162">
        <v>1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1</v>
      </c>
      <c r="KL162">
        <v>1</v>
      </c>
      <c r="KM162">
        <v>1</v>
      </c>
      <c r="KN162">
        <v>1</v>
      </c>
      <c r="KO162">
        <v>1</v>
      </c>
      <c r="KP162">
        <v>1</v>
      </c>
      <c r="KQ162">
        <v>1</v>
      </c>
      <c r="KR162">
        <v>1</v>
      </c>
      <c r="KS162">
        <v>1</v>
      </c>
      <c r="KT162">
        <v>1</v>
      </c>
      <c r="KU162">
        <v>1</v>
      </c>
      <c r="KV162">
        <v>1</v>
      </c>
      <c r="KW162">
        <v>1</v>
      </c>
      <c r="KX162">
        <v>1</v>
      </c>
      <c r="KY162">
        <v>1</v>
      </c>
      <c r="KZ162">
        <v>1</v>
      </c>
      <c r="LA162">
        <v>1</v>
      </c>
      <c r="LB162">
        <v>1</v>
      </c>
      <c r="LC162">
        <v>1</v>
      </c>
      <c r="LD162">
        <v>1</v>
      </c>
      <c r="LE162">
        <v>1</v>
      </c>
      <c r="LF162">
        <v>1</v>
      </c>
      <c r="LG162">
        <v>1</v>
      </c>
      <c r="LH162">
        <v>1</v>
      </c>
      <c r="LI162">
        <v>1</v>
      </c>
      <c r="LJ162">
        <v>1</v>
      </c>
      <c r="LK162">
        <v>1</v>
      </c>
      <c r="LL162">
        <v>1</v>
      </c>
      <c r="LM162">
        <v>1</v>
      </c>
      <c r="LN162">
        <v>1</v>
      </c>
      <c r="LO162">
        <v>1</v>
      </c>
      <c r="LP162">
        <v>1</v>
      </c>
      <c r="LQ162">
        <v>1</v>
      </c>
      <c r="LR162">
        <v>1</v>
      </c>
      <c r="LS162">
        <v>1</v>
      </c>
      <c r="LT162">
        <v>1</v>
      </c>
      <c r="LU162">
        <v>1</v>
      </c>
      <c r="LV162">
        <v>1</v>
      </c>
      <c r="LW162">
        <v>1</v>
      </c>
      <c r="LX162">
        <v>1</v>
      </c>
      <c r="LY162">
        <v>1</v>
      </c>
      <c r="LZ162">
        <v>1</v>
      </c>
      <c r="MA162">
        <v>1</v>
      </c>
      <c r="MB162">
        <v>1</v>
      </c>
      <c r="MC162">
        <v>1</v>
      </c>
      <c r="MD162">
        <v>1</v>
      </c>
      <c r="ME162">
        <v>1</v>
      </c>
      <c r="MF162">
        <v>1</v>
      </c>
      <c r="MG162">
        <v>1</v>
      </c>
      <c r="MH162">
        <v>1</v>
      </c>
      <c r="MI162">
        <v>1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1</v>
      </c>
      <c r="MP162">
        <v>1</v>
      </c>
      <c r="MQ162">
        <v>1</v>
      </c>
      <c r="MR162">
        <v>1</v>
      </c>
      <c r="MS162">
        <v>1</v>
      </c>
      <c r="MT162">
        <v>1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</v>
      </c>
      <c r="NA162">
        <v>1</v>
      </c>
      <c r="NB162">
        <v>1</v>
      </c>
      <c r="NC162">
        <v>1</v>
      </c>
      <c r="ND162">
        <v>1</v>
      </c>
      <c r="NE162">
        <v>1</v>
      </c>
      <c r="NF162">
        <v>1</v>
      </c>
      <c r="NG162">
        <v>1</v>
      </c>
      <c r="NH162">
        <v>1</v>
      </c>
      <c r="NI162">
        <v>1</v>
      </c>
      <c r="NJ162">
        <v>1</v>
      </c>
      <c r="NK162">
        <v>1</v>
      </c>
      <c r="NL162">
        <v>1</v>
      </c>
      <c r="NM162">
        <v>1</v>
      </c>
      <c r="NN162">
        <v>1</v>
      </c>
      <c r="NO162">
        <v>1</v>
      </c>
      <c r="NP162">
        <v>122.5972</v>
      </c>
      <c r="NQ162">
        <v>1</v>
      </c>
      <c r="NR162">
        <v>1</v>
      </c>
      <c r="NS162">
        <v>1</v>
      </c>
      <c r="NT162">
        <v>1</v>
      </c>
      <c r="NU162">
        <v>1</v>
      </c>
      <c r="NV162">
        <v>1</v>
      </c>
      <c r="NW162">
        <v>1</v>
      </c>
      <c r="NX162">
        <v>1</v>
      </c>
      <c r="NY162">
        <v>1</v>
      </c>
      <c r="NZ162">
        <v>1</v>
      </c>
      <c r="OA162">
        <v>1</v>
      </c>
      <c r="OB162">
        <v>1</v>
      </c>
      <c r="OC162">
        <v>20.2</v>
      </c>
      <c r="OD162">
        <v>64367.4</v>
      </c>
      <c r="OE162">
        <v>1.04</v>
      </c>
      <c r="OF162">
        <v>69.027900000000002</v>
      </c>
      <c r="OG162">
        <v>8.6</v>
      </c>
      <c r="OH162">
        <v>62.737000000000002</v>
      </c>
    </row>
    <row r="163" spans="1:398">
      <c r="A163">
        <v>15</v>
      </c>
      <c r="B163" t="s">
        <v>25</v>
      </c>
      <c r="C163" t="s">
        <v>24</v>
      </c>
      <c r="D163">
        <v>2017</v>
      </c>
      <c r="E163">
        <v>17.326000000000001</v>
      </c>
      <c r="F163">
        <v>2.593</v>
      </c>
      <c r="G163">
        <v>402</v>
      </c>
      <c r="H163">
        <v>40.4</v>
      </c>
      <c r="I163">
        <v>83.8</v>
      </c>
      <c r="J163">
        <v>1.9</v>
      </c>
      <c r="K163">
        <v>21.3</v>
      </c>
      <c r="L163">
        <v>0.2</v>
      </c>
      <c r="M163">
        <v>3.8</v>
      </c>
      <c r="N163">
        <v>30489</v>
      </c>
      <c r="O163">
        <v>3.75</v>
      </c>
      <c r="P163">
        <v>0.68</v>
      </c>
      <c r="Q163">
        <v>12963.3</v>
      </c>
      <c r="R163">
        <v>29.8</v>
      </c>
      <c r="S163">
        <v>0.28830800000000001</v>
      </c>
      <c r="T163">
        <v>-0.1161826</v>
      </c>
      <c r="U163">
        <v>0.83208700000000002</v>
      </c>
      <c r="V163">
        <v>-0.78941190000000006</v>
      </c>
      <c r="W163">
        <v>0.37525940000000002</v>
      </c>
      <c r="X163">
        <v>0.1046193</v>
      </c>
      <c r="Y163">
        <v>-1.017344</v>
      </c>
      <c r="Z163">
        <v>-0.62036069999999999</v>
      </c>
      <c r="AA163">
        <v>-1.3073250000000001</v>
      </c>
      <c r="AB163">
        <v>2.7131569999999998</v>
      </c>
      <c r="AC163">
        <v>-0.55758010000000002</v>
      </c>
      <c r="AD163">
        <v>-1.2364889999999999</v>
      </c>
      <c r="AE163">
        <v>1.736909</v>
      </c>
      <c r="AF163">
        <v>-0.44164490000000001</v>
      </c>
      <c r="AG163">
        <v>-0.43851430000000002</v>
      </c>
      <c r="AH163">
        <v>-1.071807</v>
      </c>
      <c r="AI163">
        <v>2.8522080000000001</v>
      </c>
      <c r="AJ163">
        <v>0.95281550000000004</v>
      </c>
      <c r="AK163">
        <v>5.9964519999999997</v>
      </c>
      <c r="AL163">
        <v>4.4284330000000001</v>
      </c>
      <c r="AM163">
        <v>0.64185389999999998</v>
      </c>
      <c r="AN163">
        <v>3.0587070000000001</v>
      </c>
      <c r="AO163">
        <v>10.32512</v>
      </c>
      <c r="AP163">
        <v>-0.38566250000000002</v>
      </c>
      <c r="AQ163">
        <v>9.4698770000000003</v>
      </c>
      <c r="AR163">
        <v>4.2454000000000001</v>
      </c>
      <c r="AS163">
        <v>2.3125399999999998</v>
      </c>
      <c r="AT163">
        <v>11.1572</v>
      </c>
      <c r="AU163">
        <v>62.947000000000003</v>
      </c>
      <c r="AV163">
        <v>225.95400000000001</v>
      </c>
      <c r="AW163">
        <v>20.406700000000001</v>
      </c>
      <c r="AX163" s="17">
        <v>71000000000</v>
      </c>
      <c r="AY163">
        <v>3.0445199999999999</v>
      </c>
      <c r="AZ163">
        <v>0.69</v>
      </c>
      <c r="BA163">
        <v>1.3217559999999999</v>
      </c>
      <c r="BB163">
        <v>1.3217559000000001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-0.24846099999999999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7.0873000000000004E-3</v>
      </c>
      <c r="CG163">
        <v>0.46025650000000001</v>
      </c>
      <c r="CH163">
        <v>0.16093299999999999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-1.2199089999999999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0.211836</v>
      </c>
      <c r="DI163">
        <v>1.488178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0.3175769</v>
      </c>
      <c r="DW163">
        <v>-0.84173730000000002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13.937889999999999</v>
      </c>
      <c r="EW163">
        <v>7.1382799999999996E-2</v>
      </c>
      <c r="EX163">
        <v>7.1137400000000003E-2</v>
      </c>
      <c r="EY163">
        <v>7.1493699999999993E-2</v>
      </c>
      <c r="EZ163">
        <v>7.1304800000000002E-2</v>
      </c>
      <c r="FA163">
        <v>7.1349899999999994E-2</v>
      </c>
      <c r="FB163">
        <v>7.1689199999999995E-2</v>
      </c>
      <c r="FC163">
        <v>7.1742799999999995E-2</v>
      </c>
      <c r="FD163">
        <v>7.1656200000000003E-2</v>
      </c>
      <c r="FE163">
        <v>7.0955199999999996E-2</v>
      </c>
      <c r="FF163">
        <v>7.1643600000000002E-2</v>
      </c>
      <c r="FG163">
        <v>7.1564699999999995E-2</v>
      </c>
      <c r="FH163">
        <v>7.1567699999999998E-2</v>
      </c>
      <c r="FI163">
        <v>7.1107000000000004E-2</v>
      </c>
      <c r="FJ163">
        <v>7.1405099999999999E-2</v>
      </c>
      <c r="FK163">
        <v>0.28758549999999999</v>
      </c>
      <c r="FL163">
        <v>8.2705399999999998E-2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-0.1161826</v>
      </c>
      <c r="FZ163">
        <v>0.83208700000000002</v>
      </c>
      <c r="GA163">
        <v>-0.78941190000000006</v>
      </c>
      <c r="GB163">
        <v>0.1046193</v>
      </c>
      <c r="GC163">
        <v>-0.62036069999999999</v>
      </c>
      <c r="GD163">
        <v>-0.55758010000000002</v>
      </c>
      <c r="GE163">
        <v>-0.43851430000000002</v>
      </c>
      <c r="GF163">
        <v>-1.2364889999999999</v>
      </c>
      <c r="GG163">
        <v>1.736909</v>
      </c>
      <c r="GH163">
        <v>-1.4997180000000001</v>
      </c>
      <c r="GI163">
        <v>2.2491530000000002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0.198434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-1.034805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V163">
        <v>1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1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1</v>
      </c>
      <c r="LR163">
        <v>1</v>
      </c>
      <c r="LS163">
        <v>1</v>
      </c>
      <c r="LT163">
        <v>1</v>
      </c>
      <c r="LU163">
        <v>1</v>
      </c>
      <c r="LV163">
        <v>1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1</v>
      </c>
      <c r="MC163">
        <v>1</v>
      </c>
      <c r="MD163">
        <v>1</v>
      </c>
      <c r="ME163">
        <v>1</v>
      </c>
      <c r="MF163">
        <v>1</v>
      </c>
      <c r="MG163">
        <v>1</v>
      </c>
      <c r="MH163">
        <v>1</v>
      </c>
      <c r="MI163">
        <v>1</v>
      </c>
      <c r="MJ163">
        <v>1</v>
      </c>
      <c r="MK163">
        <v>1</v>
      </c>
      <c r="ML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1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1</v>
      </c>
      <c r="NP163">
        <v>124.48399999999999</v>
      </c>
      <c r="NQ163">
        <v>1</v>
      </c>
      <c r="NR163">
        <v>1</v>
      </c>
      <c r="NS163">
        <v>1</v>
      </c>
      <c r="NT163">
        <v>1</v>
      </c>
      <c r="NU163">
        <v>1</v>
      </c>
      <c r="NV163">
        <v>1</v>
      </c>
      <c r="NW163">
        <v>1</v>
      </c>
      <c r="NX163">
        <v>1</v>
      </c>
      <c r="NY163">
        <v>1</v>
      </c>
      <c r="NZ163">
        <v>1</v>
      </c>
      <c r="OA163">
        <v>1</v>
      </c>
      <c r="OB163">
        <v>1</v>
      </c>
      <c r="OC163">
        <v>21</v>
      </c>
      <c r="OD163">
        <v>70069.100000000006</v>
      </c>
      <c r="OE163">
        <v>0.78</v>
      </c>
      <c r="OF163">
        <v>69.783500000000004</v>
      </c>
      <c r="OG163">
        <v>10.1</v>
      </c>
      <c r="OH163">
        <v>62.947000000000003</v>
      </c>
    </row>
    <row r="164" spans="1:398">
      <c r="A164">
        <v>15</v>
      </c>
      <c r="B164" t="s">
        <v>25</v>
      </c>
      <c r="C164" t="s">
        <v>24</v>
      </c>
      <c r="D164">
        <v>2018</v>
      </c>
      <c r="E164">
        <v>17.277000000000001</v>
      </c>
      <c r="F164">
        <v>2.6223999999999998</v>
      </c>
      <c r="G164">
        <v>379</v>
      </c>
      <c r="H164">
        <v>37.700000000000003</v>
      </c>
      <c r="I164">
        <v>82.9</v>
      </c>
      <c r="J164">
        <v>1.9</v>
      </c>
      <c r="K164">
        <v>8.9</v>
      </c>
      <c r="L164">
        <v>0.2</v>
      </c>
      <c r="M164">
        <v>3.5</v>
      </c>
      <c r="N164">
        <v>30721</v>
      </c>
      <c r="O164">
        <v>1.87</v>
      </c>
      <c r="P164">
        <v>0.7</v>
      </c>
      <c r="Q164">
        <v>10273.4</v>
      </c>
      <c r="R164">
        <v>30.7</v>
      </c>
      <c r="S164">
        <v>0.26572200000000001</v>
      </c>
      <c r="T164">
        <v>-0.1221358</v>
      </c>
      <c r="U164">
        <v>0.86030379999999995</v>
      </c>
      <c r="V164">
        <v>-0.96403859999999997</v>
      </c>
      <c r="W164">
        <v>0.20145250000000001</v>
      </c>
      <c r="X164">
        <v>-2.0390399999999999E-2</v>
      </c>
      <c r="Y164">
        <v>-1.017344</v>
      </c>
      <c r="Z164">
        <v>-0.62197880000000005</v>
      </c>
      <c r="AA164">
        <v>-1.3073250000000001</v>
      </c>
      <c r="AB164">
        <v>2.3173780000000002</v>
      </c>
      <c r="AC164">
        <v>-0.55634810000000001</v>
      </c>
      <c r="AD164">
        <v>-1.1384810000000001</v>
      </c>
      <c r="AE164">
        <v>0.85070480000000004</v>
      </c>
      <c r="AF164">
        <v>-0.39423449999999999</v>
      </c>
      <c r="AG164">
        <v>-0.53643070000000004</v>
      </c>
      <c r="AH164">
        <v>-1.198666</v>
      </c>
      <c r="AI164">
        <v>2.8493759999999999</v>
      </c>
      <c r="AJ164">
        <v>0.96408990000000006</v>
      </c>
      <c r="AK164">
        <v>5.9375359999999997</v>
      </c>
      <c r="AL164">
        <v>4.4176349999999998</v>
      </c>
      <c r="AM164">
        <v>0.64185389999999998</v>
      </c>
      <c r="AN164">
        <v>2.186051</v>
      </c>
      <c r="AO164">
        <v>10.332700000000001</v>
      </c>
      <c r="AP164">
        <v>-0.35667500000000002</v>
      </c>
      <c r="AQ164">
        <v>9.2373150000000006</v>
      </c>
      <c r="AR164">
        <v>4.25779</v>
      </c>
      <c r="AS164">
        <v>2.3795500000000001</v>
      </c>
      <c r="AT164">
        <v>11.217599999999999</v>
      </c>
      <c r="AU164">
        <v>63.17</v>
      </c>
      <c r="AV164">
        <v>216.42400000000001</v>
      </c>
      <c r="AW164">
        <v>20.3766</v>
      </c>
      <c r="AX164" s="17">
        <v>81000000000</v>
      </c>
      <c r="AY164">
        <v>3.05871</v>
      </c>
      <c r="AZ164">
        <v>0.67</v>
      </c>
      <c r="BA164">
        <v>0.62593840000000001</v>
      </c>
      <c r="BB164">
        <v>0.62593842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-0.967584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6.5173999999999996E-3</v>
      </c>
      <c r="CG164">
        <v>0.43643910000000002</v>
      </c>
      <c r="CH164">
        <v>0.148118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-1.5026820000000001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0.19047910000000001</v>
      </c>
      <c r="DI164">
        <v>2.258054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0.29241420000000001</v>
      </c>
      <c r="DW164">
        <v>-1.0067969999999999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13.94191</v>
      </c>
      <c r="EW164">
        <v>7.1364700000000003E-2</v>
      </c>
      <c r="EX164">
        <v>7.1115899999999996E-2</v>
      </c>
      <c r="EY164">
        <v>7.1504999999999999E-2</v>
      </c>
      <c r="EZ164">
        <v>7.1312899999999999E-2</v>
      </c>
      <c r="FA164">
        <v>7.1340000000000001E-2</v>
      </c>
      <c r="FB164">
        <v>7.1668599999999999E-2</v>
      </c>
      <c r="FC164">
        <v>7.1724399999999994E-2</v>
      </c>
      <c r="FD164">
        <v>7.1635599999999994E-2</v>
      </c>
      <c r="FE164">
        <v>7.0998000000000006E-2</v>
      </c>
      <c r="FF164">
        <v>7.1622400000000003E-2</v>
      </c>
      <c r="FG164">
        <v>7.1587899999999996E-2</v>
      </c>
      <c r="FH164">
        <v>7.1526400000000004E-2</v>
      </c>
      <c r="FI164">
        <v>7.1224099999999999E-2</v>
      </c>
      <c r="FJ164">
        <v>7.1374000000000007E-2</v>
      </c>
      <c r="FK164">
        <v>0.26514379999999999</v>
      </c>
      <c r="FL164">
        <v>7.0301199999999994E-2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-0.1221358</v>
      </c>
      <c r="FZ164">
        <v>0.86030379999999995</v>
      </c>
      <c r="GA164">
        <v>-0.96403859999999997</v>
      </c>
      <c r="GB164">
        <v>-2.0390399999999999E-2</v>
      </c>
      <c r="GC164">
        <v>-0.62197880000000005</v>
      </c>
      <c r="GD164">
        <v>-0.55634810000000001</v>
      </c>
      <c r="GE164">
        <v>-0.53643070000000004</v>
      </c>
      <c r="GF164">
        <v>-1.1384810000000001</v>
      </c>
      <c r="GG164">
        <v>0.85070480000000004</v>
      </c>
      <c r="GH164">
        <v>-1.6962980000000001</v>
      </c>
      <c r="GI164">
        <v>2.8774250000000001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0.17764630000000001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-1.1365190000000001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  <c r="KB164">
        <v>1</v>
      </c>
      <c r="KC164">
        <v>1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1</v>
      </c>
      <c r="KN164">
        <v>1</v>
      </c>
      <c r="KO164">
        <v>1</v>
      </c>
      <c r="KP164">
        <v>1</v>
      </c>
      <c r="KQ164">
        <v>1</v>
      </c>
      <c r="KR164">
        <v>1</v>
      </c>
      <c r="KS164">
        <v>1</v>
      </c>
      <c r="KT164">
        <v>1</v>
      </c>
      <c r="KU164">
        <v>1</v>
      </c>
      <c r="KV164">
        <v>1</v>
      </c>
      <c r="KW164">
        <v>1</v>
      </c>
      <c r="KX164">
        <v>1</v>
      </c>
      <c r="KY164">
        <v>1</v>
      </c>
      <c r="KZ164">
        <v>1</v>
      </c>
      <c r="LA164">
        <v>1</v>
      </c>
      <c r="LB164">
        <v>1</v>
      </c>
      <c r="LC164">
        <v>1</v>
      </c>
      <c r="LD164">
        <v>1</v>
      </c>
      <c r="LE164">
        <v>1</v>
      </c>
      <c r="LF164">
        <v>1</v>
      </c>
      <c r="LG164">
        <v>1</v>
      </c>
      <c r="LH164">
        <v>1</v>
      </c>
      <c r="LI164">
        <v>1</v>
      </c>
      <c r="LJ164">
        <v>1</v>
      </c>
      <c r="LK164">
        <v>1</v>
      </c>
      <c r="LL164">
        <v>1</v>
      </c>
      <c r="LM164">
        <v>1</v>
      </c>
      <c r="LN164">
        <v>1</v>
      </c>
      <c r="LO164">
        <v>1</v>
      </c>
      <c r="LP164">
        <v>1</v>
      </c>
      <c r="LQ164">
        <v>1</v>
      </c>
      <c r="LR164">
        <v>1</v>
      </c>
      <c r="LS164">
        <v>1</v>
      </c>
      <c r="LT164">
        <v>1</v>
      </c>
      <c r="LU164">
        <v>1</v>
      </c>
      <c r="LV164">
        <v>1</v>
      </c>
      <c r="LW164">
        <v>1</v>
      </c>
      <c r="LX164">
        <v>1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1</v>
      </c>
      <c r="ME164">
        <v>1</v>
      </c>
      <c r="MF164">
        <v>1</v>
      </c>
      <c r="MG164">
        <v>1</v>
      </c>
      <c r="MH164">
        <v>1</v>
      </c>
      <c r="MI164">
        <v>1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1</v>
      </c>
      <c r="MQ164">
        <v>1</v>
      </c>
      <c r="MR164">
        <v>1</v>
      </c>
      <c r="MS164">
        <v>1</v>
      </c>
      <c r="MT164">
        <v>1</v>
      </c>
      <c r="MU164">
        <v>1</v>
      </c>
      <c r="MV164">
        <v>1</v>
      </c>
      <c r="MW164">
        <v>1</v>
      </c>
      <c r="MX164">
        <v>1</v>
      </c>
      <c r="MY164">
        <v>1</v>
      </c>
      <c r="MZ164">
        <v>1</v>
      </c>
      <c r="NA164">
        <v>1</v>
      </c>
      <c r="NB164">
        <v>1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1</v>
      </c>
      <c r="NI164">
        <v>1</v>
      </c>
      <c r="NJ164">
        <v>1</v>
      </c>
      <c r="NK164">
        <v>1</v>
      </c>
      <c r="NL164">
        <v>1</v>
      </c>
      <c r="NM164">
        <v>1</v>
      </c>
      <c r="NN164">
        <v>1</v>
      </c>
      <c r="NO164">
        <v>1</v>
      </c>
      <c r="NP164">
        <v>125.83410000000001</v>
      </c>
      <c r="NQ164">
        <v>1</v>
      </c>
      <c r="NR164">
        <v>1</v>
      </c>
      <c r="NS164">
        <v>1</v>
      </c>
      <c r="NT164">
        <v>1</v>
      </c>
      <c r="NU164">
        <v>1</v>
      </c>
      <c r="NV164">
        <v>1</v>
      </c>
      <c r="NW164">
        <v>1</v>
      </c>
      <c r="NX164">
        <v>1</v>
      </c>
      <c r="NY164">
        <v>1</v>
      </c>
      <c r="NZ164">
        <v>1</v>
      </c>
      <c r="OA164">
        <v>1</v>
      </c>
      <c r="OB164">
        <v>1</v>
      </c>
      <c r="OC164">
        <v>21.3</v>
      </c>
      <c r="OD164">
        <v>74427.600000000006</v>
      </c>
      <c r="OE164">
        <v>0.38</v>
      </c>
      <c r="OF164">
        <v>70.653499999999994</v>
      </c>
      <c r="OG164">
        <v>10.8</v>
      </c>
      <c r="OH164">
        <v>63.17</v>
      </c>
    </row>
    <row r="165" spans="1:398">
      <c r="A165">
        <v>15</v>
      </c>
      <c r="B165" t="s">
        <v>25</v>
      </c>
      <c r="C165" t="s">
        <v>24</v>
      </c>
      <c r="D165">
        <v>2019</v>
      </c>
      <c r="E165">
        <v>21.285</v>
      </c>
      <c r="F165">
        <v>2.6993</v>
      </c>
      <c r="G165">
        <v>386</v>
      </c>
      <c r="H165">
        <v>37.4</v>
      </c>
      <c r="I165">
        <v>84.9</v>
      </c>
      <c r="J165">
        <v>1.8</v>
      </c>
      <c r="K165">
        <v>4.4000000000000004</v>
      </c>
      <c r="L165">
        <v>0.5</v>
      </c>
      <c r="M165">
        <v>3.3</v>
      </c>
      <c r="N165">
        <v>32165</v>
      </c>
      <c r="O165">
        <v>5.42</v>
      </c>
      <c r="P165">
        <v>0.7</v>
      </c>
      <c r="Q165">
        <v>7583.55</v>
      </c>
      <c r="R165">
        <v>28.6</v>
      </c>
      <c r="S165">
        <v>0.26933699999999999</v>
      </c>
      <c r="T165">
        <v>0.36481370000000002</v>
      </c>
      <c r="U165">
        <v>0.93410859999999996</v>
      </c>
      <c r="V165">
        <v>-0.91089140000000002</v>
      </c>
      <c r="W165">
        <v>0.18214069999999999</v>
      </c>
      <c r="X165">
        <v>0.25740859999999999</v>
      </c>
      <c r="Y165">
        <v>-1.0333570000000001</v>
      </c>
      <c r="Z165">
        <v>-0.62256599999999995</v>
      </c>
      <c r="AA165">
        <v>-0.47292210000000001</v>
      </c>
      <c r="AB165">
        <v>2.0535239999999999</v>
      </c>
      <c r="AC165">
        <v>-0.54868050000000002</v>
      </c>
      <c r="AD165">
        <v>-1.1384810000000001</v>
      </c>
      <c r="AE165">
        <v>-3.5499599999999999E-2</v>
      </c>
      <c r="AF165">
        <v>-0.50485860000000005</v>
      </c>
      <c r="AG165">
        <v>-0.3515353</v>
      </c>
      <c r="AH165">
        <v>-1.1148370000000001</v>
      </c>
      <c r="AI165">
        <v>3.0580029999999998</v>
      </c>
      <c r="AJ165">
        <v>0.99299249999999994</v>
      </c>
      <c r="AK165">
        <v>5.9558369999999998</v>
      </c>
      <c r="AL165">
        <v>4.4414740000000004</v>
      </c>
      <c r="AM165">
        <v>0.58778660000000005</v>
      </c>
      <c r="AN165">
        <v>1.4816050000000001</v>
      </c>
      <c r="AO165">
        <v>10.378629999999999</v>
      </c>
      <c r="AP165">
        <v>-0.35667500000000002</v>
      </c>
      <c r="AQ165">
        <v>8.9337370000000007</v>
      </c>
      <c r="AR165">
        <v>4.2714600000000003</v>
      </c>
      <c r="AS165">
        <v>2.5095999999999998</v>
      </c>
      <c r="AT165">
        <v>11.2531</v>
      </c>
      <c r="AU165">
        <v>63.405000000000001</v>
      </c>
      <c r="AV165">
        <v>249.74600000000001</v>
      </c>
      <c r="AW165">
        <v>7.6763199999999996</v>
      </c>
      <c r="AX165" s="17">
        <v>31000000000</v>
      </c>
      <c r="AY165">
        <v>3.09104</v>
      </c>
      <c r="AZ165">
        <v>0.66</v>
      </c>
      <c r="BA165">
        <v>1.690096</v>
      </c>
      <c r="BB165">
        <v>1.6900957999999999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9.5310000000000006E-2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6.4177000000000001E-3</v>
      </c>
      <c r="CG165">
        <v>0.44227929999999999</v>
      </c>
      <c r="CH165">
        <v>0.152141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-1.3664179999999999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0.19561100000000001</v>
      </c>
      <c r="DI165">
        <v>1.867097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0.29190430000000001</v>
      </c>
      <c r="DW165">
        <v>-0.90183570000000002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13.939870000000001</v>
      </c>
      <c r="EW165">
        <v>7.1311399999999997E-2</v>
      </c>
      <c r="EX165">
        <v>7.1115999999999999E-2</v>
      </c>
      <c r="EY165">
        <v>7.1506399999999998E-2</v>
      </c>
      <c r="EZ165">
        <v>7.1328500000000003E-2</v>
      </c>
      <c r="FA165">
        <v>7.1333199999999999E-2</v>
      </c>
      <c r="FB165">
        <v>7.1686299999999994E-2</v>
      </c>
      <c r="FC165">
        <v>7.1735699999999999E-2</v>
      </c>
      <c r="FD165">
        <v>7.1448499999999998E-2</v>
      </c>
      <c r="FE165">
        <v>7.1052699999999996E-2</v>
      </c>
      <c r="FF165">
        <v>7.1628600000000001E-2</v>
      </c>
      <c r="FG165">
        <v>7.1518600000000002E-2</v>
      </c>
      <c r="FH165">
        <v>7.1537400000000001E-2</v>
      </c>
      <c r="FI165">
        <v>7.1382699999999993E-2</v>
      </c>
      <c r="FJ165">
        <v>7.1413900000000002E-2</v>
      </c>
      <c r="FK165">
        <v>0.26887630000000001</v>
      </c>
      <c r="FL165">
        <v>7.2294399999999995E-2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0.36481370000000002</v>
      </c>
      <c r="FZ165">
        <v>0.93410859999999996</v>
      </c>
      <c r="GA165">
        <v>-0.91089140000000002</v>
      </c>
      <c r="GB165">
        <v>0.25740859999999999</v>
      </c>
      <c r="GC165">
        <v>-0.62256599999999995</v>
      </c>
      <c r="GD165">
        <v>-0.54868050000000002</v>
      </c>
      <c r="GE165">
        <v>-0.3515353</v>
      </c>
      <c r="GF165">
        <v>-1.1384810000000001</v>
      </c>
      <c r="GG165">
        <v>-3.5499599999999999E-2</v>
      </c>
      <c r="GH165">
        <v>-1.541828</v>
      </c>
      <c r="GI165">
        <v>2.3772329999999999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0.17745830000000001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-1.017606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1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1</v>
      </c>
      <c r="KN165">
        <v>1</v>
      </c>
      <c r="KO165">
        <v>1</v>
      </c>
      <c r="KP165">
        <v>1</v>
      </c>
      <c r="KQ165">
        <v>1</v>
      </c>
      <c r="KR165">
        <v>1</v>
      </c>
      <c r="KS165">
        <v>1</v>
      </c>
      <c r="KT165">
        <v>1</v>
      </c>
      <c r="KU165">
        <v>1</v>
      </c>
      <c r="KV165">
        <v>1</v>
      </c>
      <c r="KW165">
        <v>1</v>
      </c>
      <c r="KX165">
        <v>1</v>
      </c>
      <c r="KY165">
        <v>1</v>
      </c>
      <c r="KZ165">
        <v>1</v>
      </c>
      <c r="LA165">
        <v>1</v>
      </c>
      <c r="LB165">
        <v>1</v>
      </c>
      <c r="LC165">
        <v>1</v>
      </c>
      <c r="LD165">
        <v>1</v>
      </c>
      <c r="LE165">
        <v>1</v>
      </c>
      <c r="LF165">
        <v>1</v>
      </c>
      <c r="LG165">
        <v>1</v>
      </c>
      <c r="LH165">
        <v>1</v>
      </c>
      <c r="LI165">
        <v>1</v>
      </c>
      <c r="LJ165">
        <v>1</v>
      </c>
      <c r="LK165">
        <v>1</v>
      </c>
      <c r="LL165">
        <v>1</v>
      </c>
      <c r="LM165">
        <v>1</v>
      </c>
      <c r="LN165">
        <v>1</v>
      </c>
      <c r="LO165">
        <v>1</v>
      </c>
      <c r="LP165">
        <v>1</v>
      </c>
      <c r="LQ165">
        <v>1</v>
      </c>
      <c r="LR165">
        <v>1</v>
      </c>
      <c r="LS165">
        <v>1</v>
      </c>
      <c r="LT165">
        <v>1</v>
      </c>
      <c r="LU165">
        <v>1</v>
      </c>
      <c r="LV165">
        <v>1</v>
      </c>
      <c r="LW165">
        <v>1</v>
      </c>
      <c r="LX165">
        <v>1</v>
      </c>
      <c r="LY165">
        <v>1</v>
      </c>
      <c r="LZ165">
        <v>1</v>
      </c>
      <c r="MA165">
        <v>1</v>
      </c>
      <c r="MB165">
        <v>1</v>
      </c>
      <c r="MC165">
        <v>1</v>
      </c>
      <c r="MD165">
        <v>1</v>
      </c>
      <c r="ME165">
        <v>1</v>
      </c>
      <c r="MF165">
        <v>1</v>
      </c>
      <c r="MG165">
        <v>1</v>
      </c>
      <c r="MH165">
        <v>1</v>
      </c>
      <c r="MI165">
        <v>1</v>
      </c>
      <c r="MJ165">
        <v>1</v>
      </c>
      <c r="MK165">
        <v>1</v>
      </c>
      <c r="ML165">
        <v>1</v>
      </c>
      <c r="MM165">
        <v>1</v>
      </c>
      <c r="MN165">
        <v>1</v>
      </c>
      <c r="MO165">
        <v>1</v>
      </c>
      <c r="MP165">
        <v>1</v>
      </c>
      <c r="MQ165">
        <v>1</v>
      </c>
      <c r="MR165">
        <v>1</v>
      </c>
      <c r="MS165">
        <v>1</v>
      </c>
      <c r="MT165">
        <v>1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1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1</v>
      </c>
      <c r="NI165">
        <v>1</v>
      </c>
      <c r="NJ165">
        <v>1</v>
      </c>
      <c r="NK165">
        <v>1</v>
      </c>
      <c r="NL165">
        <v>1</v>
      </c>
      <c r="NM165">
        <v>1</v>
      </c>
      <c r="NN165">
        <v>1</v>
      </c>
      <c r="NO165">
        <v>1</v>
      </c>
      <c r="NP165">
        <v>126.6318</v>
      </c>
      <c r="NQ165">
        <v>1</v>
      </c>
      <c r="NR165">
        <v>1</v>
      </c>
      <c r="NS165">
        <v>1</v>
      </c>
      <c r="NT165">
        <v>1</v>
      </c>
      <c r="NU165">
        <v>1</v>
      </c>
      <c r="NV165">
        <v>1</v>
      </c>
      <c r="NW165">
        <v>1</v>
      </c>
      <c r="NX165">
        <v>1</v>
      </c>
      <c r="NY165">
        <v>1</v>
      </c>
      <c r="NZ165">
        <v>1</v>
      </c>
      <c r="OA165">
        <v>1</v>
      </c>
      <c r="OB165">
        <v>1</v>
      </c>
      <c r="OC165">
        <v>22</v>
      </c>
      <c r="OD165">
        <v>77117.2</v>
      </c>
      <c r="OE165">
        <v>1.1000000000000001</v>
      </c>
      <c r="OF165">
        <v>71.626400000000004</v>
      </c>
      <c r="OG165">
        <v>12.3</v>
      </c>
      <c r="OH165">
        <v>63.405000000000001</v>
      </c>
    </row>
    <row r="166" spans="1:398">
      <c r="A166">
        <v>15</v>
      </c>
      <c r="B166" t="s">
        <v>25</v>
      </c>
      <c r="C166" t="s">
        <v>24</v>
      </c>
      <c r="D166">
        <v>2020</v>
      </c>
      <c r="E166">
        <v>18.585999999999999</v>
      </c>
      <c r="F166">
        <v>3.0655999999999999</v>
      </c>
      <c r="G166">
        <v>379</v>
      </c>
      <c r="H166">
        <v>40.799999999999997</v>
      </c>
      <c r="I166">
        <v>84.8</v>
      </c>
      <c r="J166">
        <v>1.8</v>
      </c>
      <c r="K166">
        <v>442.7</v>
      </c>
      <c r="L166">
        <v>0.6</v>
      </c>
      <c r="M166">
        <v>3.2</v>
      </c>
      <c r="N166">
        <v>33250</v>
      </c>
      <c r="O166">
        <v>3.83</v>
      </c>
      <c r="P166">
        <v>0.69</v>
      </c>
      <c r="Q166">
        <v>4893.68</v>
      </c>
      <c r="R166">
        <v>29.3</v>
      </c>
      <c r="S166">
        <v>0.26281900000000002</v>
      </c>
      <c r="T166">
        <v>3.69004E-2</v>
      </c>
      <c r="U166">
        <v>1.2856650000000001</v>
      </c>
      <c r="V166">
        <v>-0.96403859999999997</v>
      </c>
      <c r="W166">
        <v>0.40100839999999999</v>
      </c>
      <c r="X166">
        <v>0.24351880000000001</v>
      </c>
      <c r="Y166">
        <v>-1.0333570000000001</v>
      </c>
      <c r="Z166">
        <v>-0.56537179999999998</v>
      </c>
      <c r="AA166">
        <v>-0.19478770000000001</v>
      </c>
      <c r="AB166">
        <v>1.9215979999999999</v>
      </c>
      <c r="AC166">
        <v>-0.54291920000000005</v>
      </c>
      <c r="AD166">
        <v>-1.1874849999999999</v>
      </c>
      <c r="AE166">
        <v>-0.92170410000000003</v>
      </c>
      <c r="AF166">
        <v>-0.46798400000000001</v>
      </c>
      <c r="AG166">
        <v>-0.4343476</v>
      </c>
      <c r="AH166">
        <v>-0.87071189999999998</v>
      </c>
      <c r="AI166">
        <v>2.922409</v>
      </c>
      <c r="AJ166">
        <v>1.1202430000000001</v>
      </c>
      <c r="AK166">
        <v>5.9375359999999997</v>
      </c>
      <c r="AL166">
        <v>4.440296</v>
      </c>
      <c r="AM166">
        <v>0.58778660000000005</v>
      </c>
      <c r="AN166">
        <v>6.092892</v>
      </c>
      <c r="AO166">
        <v>10.411809999999999</v>
      </c>
      <c r="AP166">
        <v>-0.3710637</v>
      </c>
      <c r="AQ166">
        <v>8.4956999999999994</v>
      </c>
      <c r="AR166">
        <v>4.2817499999999997</v>
      </c>
      <c r="AS166">
        <v>2.6173999999999999</v>
      </c>
      <c r="AT166">
        <v>11.3119</v>
      </c>
      <c r="AU166">
        <v>63.652999999999999</v>
      </c>
      <c r="AV166">
        <v>250.108</v>
      </c>
      <c r="AW166">
        <v>8.0833300000000001</v>
      </c>
      <c r="AX166" s="17">
        <v>35000000000</v>
      </c>
      <c r="AY166">
        <v>3.11795</v>
      </c>
      <c r="AZ166">
        <v>0.64</v>
      </c>
      <c r="BA166">
        <v>1.342865</v>
      </c>
      <c r="BB166">
        <v>1.3428648000000001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-0.26136500000000001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7.0232999999999997E-3</v>
      </c>
      <c r="CG166">
        <v>0.45270090000000002</v>
      </c>
      <c r="CH166">
        <v>0.153029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-0.66548010000000002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0.20493810000000001</v>
      </c>
      <c r="DI166">
        <v>0.44286379999999997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0.2897286</v>
      </c>
      <c r="DW166">
        <v>-0.42590729999999999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13.94092</v>
      </c>
      <c r="EW166">
        <v>7.1351700000000004E-2</v>
      </c>
      <c r="EX166">
        <v>7.1044999999999997E-2</v>
      </c>
      <c r="EY166">
        <v>7.1511199999999997E-2</v>
      </c>
      <c r="EZ166">
        <v>7.1292499999999995E-2</v>
      </c>
      <c r="FA166">
        <v>7.13308E-2</v>
      </c>
      <c r="FB166">
        <v>7.1680900000000006E-2</v>
      </c>
      <c r="FC166">
        <v>7.1671899999999997E-2</v>
      </c>
      <c r="FD166">
        <v>7.1387199999999998E-2</v>
      </c>
      <c r="FE166">
        <v>7.1072399999999994E-2</v>
      </c>
      <c r="FF166">
        <v>7.1620100000000006E-2</v>
      </c>
      <c r="FG166">
        <v>7.1548399999999998E-2</v>
      </c>
      <c r="FH166">
        <v>7.1542800000000004E-2</v>
      </c>
      <c r="FI166">
        <v>7.1544499999999997E-2</v>
      </c>
      <c r="FJ166">
        <v>7.1400400000000003E-2</v>
      </c>
      <c r="FK166">
        <v>0.26231389999999999</v>
      </c>
      <c r="FL166">
        <v>6.8808599999999998E-2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3.69004E-2</v>
      </c>
      <c r="FZ166">
        <v>1.2856650000000001</v>
      </c>
      <c r="GA166">
        <v>-0.96403859999999997</v>
      </c>
      <c r="GB166">
        <v>0.24351880000000001</v>
      </c>
      <c r="GC166">
        <v>-0.56537179999999998</v>
      </c>
      <c r="GD166">
        <v>-0.54291920000000005</v>
      </c>
      <c r="GE166">
        <v>-0.4343476</v>
      </c>
      <c r="GF166">
        <v>-1.1874849999999999</v>
      </c>
      <c r="GG166">
        <v>-0.92170410000000003</v>
      </c>
      <c r="GH166">
        <v>-1.2032849999999999</v>
      </c>
      <c r="GI166">
        <v>1.4478960000000001</v>
      </c>
      <c r="GJ166">
        <v>1</v>
      </c>
      <c r="GK166">
        <v>1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0.1678809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-0.77010270000000003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1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1</v>
      </c>
      <c r="KP166">
        <v>1</v>
      </c>
      <c r="KQ166">
        <v>1</v>
      </c>
      <c r="KR166">
        <v>1</v>
      </c>
      <c r="KS166">
        <v>1</v>
      </c>
      <c r="KT166">
        <v>1</v>
      </c>
      <c r="KU166">
        <v>1</v>
      </c>
      <c r="KV166">
        <v>1</v>
      </c>
      <c r="KW166">
        <v>1</v>
      </c>
      <c r="KX166">
        <v>1</v>
      </c>
      <c r="KY166">
        <v>1</v>
      </c>
      <c r="KZ166">
        <v>1</v>
      </c>
      <c r="LA166">
        <v>1</v>
      </c>
      <c r="LB166">
        <v>1</v>
      </c>
      <c r="LC166">
        <v>1</v>
      </c>
      <c r="LD166">
        <v>1</v>
      </c>
      <c r="LE166">
        <v>1</v>
      </c>
      <c r="LF166">
        <v>1</v>
      </c>
      <c r="LG166">
        <v>1</v>
      </c>
      <c r="LH166">
        <v>1</v>
      </c>
      <c r="LI166">
        <v>1</v>
      </c>
      <c r="LJ166">
        <v>1</v>
      </c>
      <c r="LK166">
        <v>1</v>
      </c>
      <c r="LL166">
        <v>1</v>
      </c>
      <c r="LM166">
        <v>1</v>
      </c>
      <c r="LN166">
        <v>1</v>
      </c>
      <c r="LO166">
        <v>1</v>
      </c>
      <c r="LP166">
        <v>1</v>
      </c>
      <c r="LQ166">
        <v>1</v>
      </c>
      <c r="LR166">
        <v>1</v>
      </c>
      <c r="LS166">
        <v>1</v>
      </c>
      <c r="LT166">
        <v>1</v>
      </c>
      <c r="LU166">
        <v>1</v>
      </c>
      <c r="LV166">
        <v>1</v>
      </c>
      <c r="LW166">
        <v>1</v>
      </c>
      <c r="LX166">
        <v>1</v>
      </c>
      <c r="LY166">
        <v>1</v>
      </c>
      <c r="LZ166">
        <v>1</v>
      </c>
      <c r="MA166">
        <v>1</v>
      </c>
      <c r="MB166">
        <v>1</v>
      </c>
      <c r="MC166">
        <v>1</v>
      </c>
      <c r="MD166">
        <v>1</v>
      </c>
      <c r="ME166">
        <v>1</v>
      </c>
      <c r="MF166">
        <v>1</v>
      </c>
      <c r="MG166">
        <v>1</v>
      </c>
      <c r="MH166">
        <v>1</v>
      </c>
      <c r="MI166">
        <v>1</v>
      </c>
      <c r="MJ166">
        <v>1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1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1</v>
      </c>
      <c r="NP166">
        <v>127.95950000000001</v>
      </c>
      <c r="NQ166">
        <v>1</v>
      </c>
      <c r="NR166">
        <v>1</v>
      </c>
      <c r="NS166">
        <v>1</v>
      </c>
      <c r="NT166">
        <v>1</v>
      </c>
      <c r="NU166">
        <v>1</v>
      </c>
      <c r="NV166">
        <v>1</v>
      </c>
      <c r="NW166">
        <v>1</v>
      </c>
      <c r="NX166">
        <v>1</v>
      </c>
      <c r="NY166">
        <v>1</v>
      </c>
      <c r="NZ166">
        <v>1</v>
      </c>
      <c r="OA166">
        <v>1</v>
      </c>
      <c r="OB166">
        <v>1</v>
      </c>
      <c r="OC166">
        <v>22.6</v>
      </c>
      <c r="OD166">
        <v>81791.100000000006</v>
      </c>
      <c r="OE166">
        <v>0.77</v>
      </c>
      <c r="OF166">
        <v>72.3673</v>
      </c>
      <c r="OG166">
        <v>13.7</v>
      </c>
      <c r="OH166">
        <v>63.652999999999999</v>
      </c>
    </row>
    <row r="167" spans="1:398">
      <c r="A167">
        <v>16</v>
      </c>
      <c r="B167" t="s">
        <v>23</v>
      </c>
      <c r="C167" t="s">
        <v>22</v>
      </c>
      <c r="D167">
        <v>2010</v>
      </c>
      <c r="E167">
        <v>15.068</v>
      </c>
      <c r="F167">
        <v>2.4975000000000001</v>
      </c>
      <c r="G167">
        <v>730</v>
      </c>
      <c r="H167">
        <v>31</v>
      </c>
      <c r="I167">
        <v>86.2</v>
      </c>
      <c r="J167">
        <v>11.6</v>
      </c>
      <c r="K167">
        <v>11746.9</v>
      </c>
      <c r="L167">
        <v>0.4</v>
      </c>
      <c r="M167">
        <v>1.7</v>
      </c>
      <c r="N167">
        <v>576050</v>
      </c>
      <c r="O167">
        <v>28.7</v>
      </c>
      <c r="P167">
        <v>1.39</v>
      </c>
      <c r="Q167">
        <v>6411.58</v>
      </c>
      <c r="R167">
        <v>41.7</v>
      </c>
      <c r="S167">
        <v>0.442216</v>
      </c>
      <c r="T167">
        <v>-0.3905169</v>
      </c>
      <c r="U167">
        <v>0.7404309</v>
      </c>
      <c r="V167">
        <v>1.700917</v>
      </c>
      <c r="W167">
        <v>-0.22984589999999999</v>
      </c>
      <c r="X167">
        <v>0.43797730000000001</v>
      </c>
      <c r="Y167">
        <v>0.53592649999999997</v>
      </c>
      <c r="Z167">
        <v>0.90972620000000004</v>
      </c>
      <c r="AA167">
        <v>-0.75105639999999996</v>
      </c>
      <c r="AB167">
        <v>-5.7301499999999998E-2</v>
      </c>
      <c r="AC167">
        <v>2.3393359999999999</v>
      </c>
      <c r="AD167">
        <v>2.242807</v>
      </c>
      <c r="AE167">
        <v>-0.4216182</v>
      </c>
      <c r="AF167">
        <v>0.1852248</v>
      </c>
      <c r="AG167">
        <v>0.86096260000000002</v>
      </c>
      <c r="AH167">
        <v>2.0749469999999999</v>
      </c>
      <c r="AI167">
        <v>2.7125729999999999</v>
      </c>
      <c r="AJ167">
        <v>0.91529020000000005</v>
      </c>
      <c r="AK167">
        <v>6.593045</v>
      </c>
      <c r="AL167">
        <v>4.4566699999999999</v>
      </c>
      <c r="AM167">
        <v>2.4510049999999999</v>
      </c>
      <c r="AN167">
        <v>9.3713449999999998</v>
      </c>
      <c r="AO167">
        <v>13.263949999999999</v>
      </c>
      <c r="AP167">
        <v>0.32930369999999998</v>
      </c>
      <c r="AQ167">
        <v>8.7658609999999992</v>
      </c>
      <c r="AR167">
        <v>5.3005800000000001</v>
      </c>
      <c r="AS167">
        <v>2.5494400000000002</v>
      </c>
      <c r="AT167">
        <v>10.3804</v>
      </c>
      <c r="AU167">
        <v>68.326999999999998</v>
      </c>
      <c r="AV167">
        <v>51.662100000000002</v>
      </c>
      <c r="AW167">
        <v>0.462974</v>
      </c>
      <c r="AX167" s="17">
        <v>9900000000</v>
      </c>
      <c r="AY167">
        <v>2.7408399999999999</v>
      </c>
      <c r="AZ167">
        <v>0.76</v>
      </c>
      <c r="BA167">
        <v>3.356897</v>
      </c>
      <c r="BB167">
        <v>3.3568970999999999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-0.73396899999999998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5.1215000000000002E-3</v>
      </c>
      <c r="CG167">
        <v>0.5988715</v>
      </c>
      <c r="CH167">
        <v>0.43588700000000002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1.838595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0.35864699999999999</v>
      </c>
      <c r="DI167">
        <v>3.380433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0.4551423</v>
      </c>
      <c r="DW167">
        <v>1.397332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13.89555</v>
      </c>
      <c r="EW167">
        <v>7.1645399999999998E-2</v>
      </c>
      <c r="EX167">
        <v>7.1394100000000002E-2</v>
      </c>
      <c r="EY167">
        <v>7.1343500000000004E-2</v>
      </c>
      <c r="EZ167">
        <v>7.1623999999999993E-2</v>
      </c>
      <c r="FA167">
        <v>7.1552599999999994E-2</v>
      </c>
      <c r="FB167">
        <v>7.1424699999999994E-2</v>
      </c>
      <c r="FC167">
        <v>7.11011E-2</v>
      </c>
      <c r="FD167">
        <v>7.1738800000000005E-2</v>
      </c>
      <c r="FE167">
        <v>7.1619500000000003E-2</v>
      </c>
      <c r="FF167">
        <v>7.0846099999999995E-2</v>
      </c>
      <c r="FG167">
        <v>7.1336200000000002E-2</v>
      </c>
      <c r="FH167">
        <v>7.1212200000000003E-2</v>
      </c>
      <c r="FI167">
        <v>7.1681400000000006E-2</v>
      </c>
      <c r="FJ167">
        <v>7.1480399999999999E-2</v>
      </c>
      <c r="FK167">
        <v>0.44173820000000003</v>
      </c>
      <c r="FL167">
        <v>0.19513259999999999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-0.3905169</v>
      </c>
      <c r="FZ167">
        <v>0.7404309</v>
      </c>
      <c r="GA167">
        <v>1.700917</v>
      </c>
      <c r="GB167">
        <v>0.43797730000000001</v>
      </c>
      <c r="GC167">
        <v>0.90972620000000004</v>
      </c>
      <c r="GD167">
        <v>2.3393359999999999</v>
      </c>
      <c r="GE167">
        <v>0.86096260000000002</v>
      </c>
      <c r="GF167">
        <v>2.242807</v>
      </c>
      <c r="GG167">
        <v>-0.4216182</v>
      </c>
      <c r="GH167">
        <v>3.1432190000000002</v>
      </c>
      <c r="GI167">
        <v>9.8798259999999996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0.33572099999999999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2.388846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1</v>
      </c>
      <c r="LJ167">
        <v>1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1</v>
      </c>
      <c r="LR167">
        <v>1</v>
      </c>
      <c r="LS167">
        <v>1</v>
      </c>
      <c r="LT167">
        <v>1</v>
      </c>
      <c r="LU167">
        <v>1</v>
      </c>
      <c r="LV167">
        <v>1</v>
      </c>
      <c r="LW167">
        <v>1</v>
      </c>
      <c r="LX167">
        <v>1</v>
      </c>
      <c r="LY167">
        <v>1</v>
      </c>
      <c r="LZ167">
        <v>1</v>
      </c>
      <c r="MA167">
        <v>1</v>
      </c>
      <c r="MB167">
        <v>1</v>
      </c>
      <c r="MC167">
        <v>1</v>
      </c>
      <c r="MD167">
        <v>1</v>
      </c>
      <c r="ME167">
        <v>1</v>
      </c>
      <c r="MF167">
        <v>1</v>
      </c>
      <c r="MG167">
        <v>1</v>
      </c>
      <c r="MH167">
        <v>1</v>
      </c>
      <c r="MI167">
        <v>1</v>
      </c>
      <c r="MJ167">
        <v>1</v>
      </c>
      <c r="MK167">
        <v>1</v>
      </c>
      <c r="ML167">
        <v>1</v>
      </c>
      <c r="MM167">
        <v>1</v>
      </c>
      <c r="MN167">
        <v>1</v>
      </c>
      <c r="MO167">
        <v>1</v>
      </c>
      <c r="MP167">
        <v>1</v>
      </c>
      <c r="MQ167">
        <v>1</v>
      </c>
      <c r="MR167">
        <v>1</v>
      </c>
      <c r="MS167">
        <v>1</v>
      </c>
      <c r="MT167">
        <v>1</v>
      </c>
      <c r="MU167">
        <v>1</v>
      </c>
      <c r="MV167">
        <v>1</v>
      </c>
      <c r="MW167">
        <v>1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1</v>
      </c>
      <c r="NI167">
        <v>1</v>
      </c>
      <c r="NJ167">
        <v>1</v>
      </c>
      <c r="NK167">
        <v>1</v>
      </c>
      <c r="NL167">
        <v>1</v>
      </c>
      <c r="NM167">
        <v>1</v>
      </c>
      <c r="NN167">
        <v>1</v>
      </c>
      <c r="NO167">
        <v>1</v>
      </c>
      <c r="NP167">
        <v>107.75190000000001</v>
      </c>
      <c r="NQ167">
        <v>1</v>
      </c>
      <c r="NR167">
        <v>1</v>
      </c>
      <c r="NS167">
        <v>1</v>
      </c>
      <c r="NT167">
        <v>1</v>
      </c>
      <c r="NU167">
        <v>1</v>
      </c>
      <c r="NV167">
        <v>1</v>
      </c>
      <c r="NW167">
        <v>1</v>
      </c>
      <c r="NX167">
        <v>1</v>
      </c>
      <c r="NY167">
        <v>1</v>
      </c>
      <c r="NZ167">
        <v>1</v>
      </c>
      <c r="OA167">
        <v>1</v>
      </c>
      <c r="OB167">
        <v>1</v>
      </c>
      <c r="OC167">
        <v>15.5</v>
      </c>
      <c r="OD167">
        <v>32220.5</v>
      </c>
      <c r="OE167">
        <v>0.48</v>
      </c>
      <c r="OF167">
        <v>200.453</v>
      </c>
      <c r="OG167">
        <v>12.8</v>
      </c>
      <c r="OH167">
        <v>68.326999999999998</v>
      </c>
    </row>
    <row r="168" spans="1:398">
      <c r="A168">
        <v>16</v>
      </c>
      <c r="B168" t="s">
        <v>23</v>
      </c>
      <c r="C168" t="s">
        <v>22</v>
      </c>
      <c r="D168">
        <v>2011</v>
      </c>
      <c r="E168">
        <v>15.186</v>
      </c>
      <c r="F168">
        <v>2.4862000000000002</v>
      </c>
      <c r="G168">
        <v>737</v>
      </c>
      <c r="H168">
        <v>35.5</v>
      </c>
      <c r="I168">
        <v>93.1</v>
      </c>
      <c r="J168">
        <v>11.6</v>
      </c>
      <c r="K168">
        <v>17080.5</v>
      </c>
      <c r="L168">
        <v>0.4</v>
      </c>
      <c r="M168">
        <v>1.8</v>
      </c>
      <c r="N168">
        <v>560435</v>
      </c>
      <c r="O168">
        <v>29.45</v>
      </c>
      <c r="P168">
        <v>1.39</v>
      </c>
      <c r="Q168">
        <v>5861.27</v>
      </c>
      <c r="R168">
        <v>40.5</v>
      </c>
      <c r="S168">
        <v>0.46024799999999999</v>
      </c>
      <c r="T168">
        <v>-0.37618059999999998</v>
      </c>
      <c r="U168">
        <v>0.72958590000000001</v>
      </c>
      <c r="V168">
        <v>1.7540640000000001</v>
      </c>
      <c r="W168">
        <v>5.9832099999999999E-2</v>
      </c>
      <c r="X168">
        <v>1.3963840000000001</v>
      </c>
      <c r="Y168">
        <v>0.53592649999999997</v>
      </c>
      <c r="Z168">
        <v>1.6057140000000001</v>
      </c>
      <c r="AA168">
        <v>-0.75105639999999996</v>
      </c>
      <c r="AB168">
        <v>7.46251E-2</v>
      </c>
      <c r="AC168">
        <v>2.256421</v>
      </c>
      <c r="AD168">
        <v>2.242807</v>
      </c>
      <c r="AE168">
        <v>-0.60292279999999998</v>
      </c>
      <c r="AF168">
        <v>0.12201099999999999</v>
      </c>
      <c r="AG168">
        <v>0.90002499999999996</v>
      </c>
      <c r="AH168">
        <v>2.2598259999999999</v>
      </c>
      <c r="AI168">
        <v>2.7203740000000001</v>
      </c>
      <c r="AJ168">
        <v>0.91075550000000005</v>
      </c>
      <c r="AK168">
        <v>6.6025879999999999</v>
      </c>
      <c r="AL168">
        <v>4.5336740000000004</v>
      </c>
      <c r="AM168">
        <v>2.4510049999999999</v>
      </c>
      <c r="AN168">
        <v>9.7456929999999993</v>
      </c>
      <c r="AO168">
        <v>13.236470000000001</v>
      </c>
      <c r="AP168">
        <v>0.32930369999999998</v>
      </c>
      <c r="AQ168">
        <v>8.6761210000000002</v>
      </c>
      <c r="AR168">
        <v>5.3022999999999998</v>
      </c>
      <c r="AS168">
        <v>2.47654</v>
      </c>
      <c r="AT168">
        <v>10.3856</v>
      </c>
      <c r="AU168">
        <v>68.444000000000003</v>
      </c>
      <c r="AV168">
        <v>54.472200000000001</v>
      </c>
      <c r="AW168">
        <v>1.49397</v>
      </c>
      <c r="AX168" s="17">
        <v>34000000000</v>
      </c>
      <c r="AY168">
        <v>2.7408399999999999</v>
      </c>
      <c r="AZ168">
        <v>0.74</v>
      </c>
      <c r="BA168">
        <v>3.3826939999999999</v>
      </c>
      <c r="BB168">
        <v>3.3826939999999999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-0.69314699999999996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5.9427000000000004E-3</v>
      </c>
      <c r="CG168">
        <v>0.60926100000000005</v>
      </c>
      <c r="CH168">
        <v>0.46432299999999999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1.878096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0.3711989</v>
      </c>
      <c r="DI168">
        <v>3.5272450000000002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0.45085310000000001</v>
      </c>
      <c r="DW168">
        <v>1.389791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13.89166</v>
      </c>
      <c r="EW168">
        <v>7.1664599999999995E-2</v>
      </c>
      <c r="EX168">
        <v>7.1420700000000004E-2</v>
      </c>
      <c r="EY168">
        <v>7.1361800000000003E-2</v>
      </c>
      <c r="EZ168">
        <v>7.1600499999999997E-2</v>
      </c>
      <c r="FA168">
        <v>7.1512099999999995E-2</v>
      </c>
      <c r="FB168">
        <v>7.1448499999999998E-2</v>
      </c>
      <c r="FC168">
        <v>7.0863399999999993E-2</v>
      </c>
      <c r="FD168">
        <v>7.1759500000000004E-2</v>
      </c>
      <c r="FE168">
        <v>7.1618100000000004E-2</v>
      </c>
      <c r="FF168">
        <v>7.09066E-2</v>
      </c>
      <c r="FG168">
        <v>7.1350200000000003E-2</v>
      </c>
      <c r="FH168">
        <v>7.1240100000000001E-2</v>
      </c>
      <c r="FI168">
        <v>7.1736400000000006E-2</v>
      </c>
      <c r="FJ168">
        <v>7.1517499999999998E-2</v>
      </c>
      <c r="FK168">
        <v>0.45977220000000002</v>
      </c>
      <c r="FL168">
        <v>0.21139050000000001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-0.37618059999999998</v>
      </c>
      <c r="FZ168">
        <v>0.72958590000000001</v>
      </c>
      <c r="GA168">
        <v>1.7540640000000001</v>
      </c>
      <c r="GB168">
        <v>1.3963840000000001</v>
      </c>
      <c r="GC168">
        <v>1.6057140000000001</v>
      </c>
      <c r="GD168">
        <v>2.256421</v>
      </c>
      <c r="GE168">
        <v>0.90002499999999996</v>
      </c>
      <c r="GF168">
        <v>2.242807</v>
      </c>
      <c r="GG168">
        <v>-0.60292279999999998</v>
      </c>
      <c r="GH168">
        <v>3.4356990000000001</v>
      </c>
      <c r="GI168">
        <v>11.804029999999999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0.34023140000000002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2.5424180000000001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1</v>
      </c>
      <c r="JP168">
        <v>1</v>
      </c>
      <c r="JQ168">
        <v>1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  <c r="KN168">
        <v>1</v>
      </c>
      <c r="KO168">
        <v>1</v>
      </c>
      <c r="KP168">
        <v>1</v>
      </c>
      <c r="KQ168">
        <v>1</v>
      </c>
      <c r="KR168">
        <v>1</v>
      </c>
      <c r="KS168">
        <v>1</v>
      </c>
      <c r="KT168">
        <v>1</v>
      </c>
      <c r="KU168">
        <v>1</v>
      </c>
      <c r="KV168">
        <v>1</v>
      </c>
      <c r="KW168">
        <v>1</v>
      </c>
      <c r="KX168">
        <v>1</v>
      </c>
      <c r="KY168">
        <v>1</v>
      </c>
      <c r="KZ168">
        <v>1</v>
      </c>
      <c r="LA168">
        <v>1</v>
      </c>
      <c r="LB168">
        <v>1</v>
      </c>
      <c r="LC168">
        <v>1</v>
      </c>
      <c r="LD168">
        <v>1</v>
      </c>
      <c r="LE168">
        <v>1</v>
      </c>
      <c r="LF168">
        <v>1</v>
      </c>
      <c r="LG168">
        <v>1</v>
      </c>
      <c r="LH168">
        <v>1</v>
      </c>
      <c r="LI168">
        <v>1</v>
      </c>
      <c r="LJ168">
        <v>1</v>
      </c>
      <c r="LK168">
        <v>1</v>
      </c>
      <c r="LL168">
        <v>1</v>
      </c>
      <c r="LM168">
        <v>1</v>
      </c>
      <c r="LN168">
        <v>1</v>
      </c>
      <c r="LO168">
        <v>1</v>
      </c>
      <c r="LP168">
        <v>1</v>
      </c>
      <c r="LQ168">
        <v>1</v>
      </c>
      <c r="LR168">
        <v>1</v>
      </c>
      <c r="LS168">
        <v>1</v>
      </c>
      <c r="LT168">
        <v>1</v>
      </c>
      <c r="LU168">
        <v>1</v>
      </c>
      <c r="LV168">
        <v>1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G168">
        <v>1</v>
      </c>
      <c r="MH168">
        <v>1</v>
      </c>
      <c r="MI168">
        <v>1</v>
      </c>
      <c r="MJ168">
        <v>1</v>
      </c>
      <c r="MK168">
        <v>1</v>
      </c>
      <c r="ML168">
        <v>1</v>
      </c>
      <c r="MM168">
        <v>1</v>
      </c>
      <c r="MN168">
        <v>1</v>
      </c>
      <c r="MO168">
        <v>1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1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1</v>
      </c>
      <c r="NP168">
        <v>107.8601</v>
      </c>
      <c r="NQ168">
        <v>1</v>
      </c>
      <c r="NR168">
        <v>1</v>
      </c>
      <c r="NS168">
        <v>1</v>
      </c>
      <c r="NT168">
        <v>1</v>
      </c>
      <c r="NU168">
        <v>1</v>
      </c>
      <c r="NV168">
        <v>1</v>
      </c>
      <c r="NW168">
        <v>1</v>
      </c>
      <c r="NX168">
        <v>1</v>
      </c>
      <c r="NY168">
        <v>1</v>
      </c>
      <c r="NZ168">
        <v>1</v>
      </c>
      <c r="OA168">
        <v>1</v>
      </c>
      <c r="OB168">
        <v>1</v>
      </c>
      <c r="OC168">
        <v>15.5</v>
      </c>
      <c r="OD168">
        <v>32388.799999999999</v>
      </c>
      <c r="OE168">
        <v>0.5</v>
      </c>
      <c r="OF168">
        <v>200.798</v>
      </c>
      <c r="OG168">
        <v>11.9</v>
      </c>
      <c r="OH168">
        <v>68.444000000000003</v>
      </c>
    </row>
    <row r="169" spans="1:398">
      <c r="A169">
        <v>16</v>
      </c>
      <c r="B169" t="s">
        <v>23</v>
      </c>
      <c r="C169" t="s">
        <v>22</v>
      </c>
      <c r="D169">
        <v>2012</v>
      </c>
      <c r="E169">
        <v>12.48</v>
      </c>
      <c r="F169">
        <v>2.827</v>
      </c>
      <c r="G169">
        <v>731</v>
      </c>
      <c r="H169">
        <v>38.4</v>
      </c>
      <c r="I169">
        <v>80</v>
      </c>
      <c r="J169">
        <v>13.9</v>
      </c>
      <c r="K169">
        <v>12917.7</v>
      </c>
      <c r="L169">
        <v>0.4</v>
      </c>
      <c r="M169">
        <v>1.9</v>
      </c>
      <c r="N169">
        <v>573325</v>
      </c>
      <c r="O169">
        <v>33.590000000000003</v>
      </c>
      <c r="P169">
        <v>1.39</v>
      </c>
      <c r="Q169">
        <v>5547.09</v>
      </c>
      <c r="R169">
        <v>42.8</v>
      </c>
      <c r="S169">
        <v>0.45608799999999999</v>
      </c>
      <c r="T169">
        <v>-0.70494440000000003</v>
      </c>
      <c r="U169">
        <v>1.0566690000000001</v>
      </c>
      <c r="V169">
        <v>1.7085090000000001</v>
      </c>
      <c r="W169">
        <v>0.2465136</v>
      </c>
      <c r="X169">
        <v>-0.42319909999999999</v>
      </c>
      <c r="Y169">
        <v>0.90422749999999996</v>
      </c>
      <c r="Z169">
        <v>1.062505</v>
      </c>
      <c r="AA169">
        <v>-0.75105639999999996</v>
      </c>
      <c r="AB169">
        <v>0.2065517</v>
      </c>
      <c r="AC169">
        <v>2.3248660000000001</v>
      </c>
      <c r="AD169">
        <v>2.242807</v>
      </c>
      <c r="AE169">
        <v>-0.70643009999999995</v>
      </c>
      <c r="AF169">
        <v>0.24317069999999999</v>
      </c>
      <c r="AG169">
        <v>1.11565</v>
      </c>
      <c r="AH169">
        <v>2.7734890000000001</v>
      </c>
      <c r="AI169">
        <v>2.524127</v>
      </c>
      <c r="AJ169">
        <v>1.0392159999999999</v>
      </c>
      <c r="AK169">
        <v>6.5944130000000003</v>
      </c>
      <c r="AL169">
        <v>4.3820269999999999</v>
      </c>
      <c r="AM169">
        <v>2.6318890000000001</v>
      </c>
      <c r="AN169">
        <v>9.4663529999999998</v>
      </c>
      <c r="AO169">
        <v>13.259209999999999</v>
      </c>
      <c r="AP169">
        <v>0.32930369999999998</v>
      </c>
      <c r="AQ169">
        <v>8.6210299999999993</v>
      </c>
      <c r="AR169">
        <v>5.3049999999999997</v>
      </c>
      <c r="AS169">
        <v>2.66723</v>
      </c>
      <c r="AT169">
        <v>10.351100000000001</v>
      </c>
      <c r="AU169">
        <v>68.683999999999997</v>
      </c>
      <c r="AV169">
        <v>54.884500000000003</v>
      </c>
      <c r="AW169">
        <v>1.6639999999999999E-3</v>
      </c>
      <c r="AX169" s="17">
        <v>35000000</v>
      </c>
      <c r="AY169">
        <v>2.8332099999999998</v>
      </c>
      <c r="AZ169">
        <v>0.76</v>
      </c>
      <c r="BA169">
        <v>3.5142280000000001</v>
      </c>
      <c r="BB169">
        <v>3.5142283000000001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-0.57981799999999994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6.4497000000000001E-3</v>
      </c>
      <c r="CG169">
        <v>0.60184150000000003</v>
      </c>
      <c r="CH169">
        <v>0.46155299999999999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2.4152490000000002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0.36221320000000001</v>
      </c>
      <c r="DI169">
        <v>5.8334289999999998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0.45739950000000001</v>
      </c>
      <c r="DW169">
        <v>1.8355900000000001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13.893890000000001</v>
      </c>
      <c r="EW169">
        <v>7.1701500000000001E-2</v>
      </c>
      <c r="EX169">
        <v>7.1346999999999994E-2</v>
      </c>
      <c r="EY169">
        <v>7.1361400000000005E-2</v>
      </c>
      <c r="EZ169">
        <v>7.1562799999999996E-2</v>
      </c>
      <c r="FA169">
        <v>7.1624499999999994E-2</v>
      </c>
      <c r="FB169">
        <v>7.1351399999999995E-2</v>
      </c>
      <c r="FC169">
        <v>7.1074200000000004E-2</v>
      </c>
      <c r="FD169">
        <v>7.1748500000000007E-2</v>
      </c>
      <c r="FE169">
        <v>7.1585899999999994E-2</v>
      </c>
      <c r="FF169">
        <v>7.0895200000000005E-2</v>
      </c>
      <c r="FG169">
        <v>7.1283600000000003E-2</v>
      </c>
      <c r="FH169">
        <v>7.1236400000000005E-2</v>
      </c>
      <c r="FI169">
        <v>7.1745400000000001E-2</v>
      </c>
      <c r="FJ169">
        <v>7.1482100000000007E-2</v>
      </c>
      <c r="FK169">
        <v>0.45559349999999998</v>
      </c>
      <c r="FL169">
        <v>0.20756550000000001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-0.70494440000000003</v>
      </c>
      <c r="FZ169">
        <v>1.0566690000000001</v>
      </c>
      <c r="GA169">
        <v>1.7085090000000001</v>
      </c>
      <c r="GB169">
        <v>-0.42319909999999999</v>
      </c>
      <c r="GC169">
        <v>1.062505</v>
      </c>
      <c r="GD169">
        <v>2.3248660000000001</v>
      </c>
      <c r="GE169">
        <v>1.11565</v>
      </c>
      <c r="GF169">
        <v>2.242807</v>
      </c>
      <c r="GG169">
        <v>-0.70643009999999995</v>
      </c>
      <c r="GH169">
        <v>4.1502160000000003</v>
      </c>
      <c r="GI169">
        <v>17.22429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0.34625109999999998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3.1541640000000002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107.14570000000001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17</v>
      </c>
      <c r="OD169">
        <v>31292.1</v>
      </c>
      <c r="OE169">
        <v>0.56000000000000005</v>
      </c>
      <c r="OF169">
        <v>201.34</v>
      </c>
      <c r="OG169">
        <v>14.4</v>
      </c>
      <c r="OH169">
        <v>68.683999999999997</v>
      </c>
    </row>
    <row r="170" spans="1:398">
      <c r="A170">
        <v>16</v>
      </c>
      <c r="B170" t="s">
        <v>23</v>
      </c>
      <c r="C170" t="s">
        <v>22</v>
      </c>
      <c r="D170">
        <v>2013</v>
      </c>
      <c r="E170">
        <v>11.032999999999999</v>
      </c>
      <c r="F170">
        <v>3.2759</v>
      </c>
      <c r="G170">
        <v>792</v>
      </c>
      <c r="H170">
        <v>39.4</v>
      </c>
      <c r="I170">
        <v>88</v>
      </c>
      <c r="J170">
        <v>16</v>
      </c>
      <c r="K170">
        <v>8994.7000000000007</v>
      </c>
      <c r="L170">
        <v>0.4</v>
      </c>
      <c r="M170">
        <v>2</v>
      </c>
      <c r="N170">
        <v>579522</v>
      </c>
      <c r="O170">
        <v>27.22</v>
      </c>
      <c r="P170">
        <v>1.38</v>
      </c>
      <c r="Q170">
        <v>5611.89</v>
      </c>
      <c r="R170">
        <v>46.5</v>
      </c>
      <c r="S170">
        <v>0.47739300000000001</v>
      </c>
      <c r="T170">
        <v>-0.88074680000000005</v>
      </c>
      <c r="U170">
        <v>1.4875</v>
      </c>
      <c r="V170">
        <v>2.1716500000000001</v>
      </c>
      <c r="W170">
        <v>0.31088650000000001</v>
      </c>
      <c r="X170">
        <v>0.68799670000000002</v>
      </c>
      <c r="Y170">
        <v>1.240502</v>
      </c>
      <c r="Z170">
        <v>0.55058839999999998</v>
      </c>
      <c r="AA170">
        <v>-0.75105639999999996</v>
      </c>
      <c r="AB170">
        <v>0.33847840000000001</v>
      </c>
      <c r="AC170">
        <v>2.3577720000000002</v>
      </c>
      <c r="AD170">
        <v>2.1938029999999999</v>
      </c>
      <c r="AE170">
        <v>-0.68508139999999995</v>
      </c>
      <c r="AF170">
        <v>0.43807980000000002</v>
      </c>
      <c r="AG170">
        <v>0.78387929999999995</v>
      </c>
      <c r="AH170">
        <v>2.8669630000000002</v>
      </c>
      <c r="AI170">
        <v>2.4008910000000001</v>
      </c>
      <c r="AJ170">
        <v>1.186593</v>
      </c>
      <c r="AK170">
        <v>6.6745619999999999</v>
      </c>
      <c r="AL170">
        <v>4.4773370000000003</v>
      </c>
      <c r="AM170">
        <v>2.772589</v>
      </c>
      <c r="AN170">
        <v>9.1043909999999997</v>
      </c>
      <c r="AO170">
        <v>13.269959999999999</v>
      </c>
      <c r="AP170">
        <v>0.32208350000000002</v>
      </c>
      <c r="AQ170">
        <v>8.6326440000000009</v>
      </c>
      <c r="AR170">
        <v>5.3165899999999997</v>
      </c>
      <c r="AS170">
        <v>2.7911700000000002</v>
      </c>
      <c r="AT170">
        <v>10.321199999999999</v>
      </c>
      <c r="AU170">
        <v>68.978999999999999</v>
      </c>
      <c r="AV170">
        <v>54.034199999999998</v>
      </c>
      <c r="AW170">
        <v>0.90707700000000002</v>
      </c>
      <c r="AX170" s="17">
        <v>20000000000</v>
      </c>
      <c r="AY170">
        <v>2.8332099999999998</v>
      </c>
      <c r="AZ170">
        <v>0.74</v>
      </c>
      <c r="BA170">
        <v>3.3039520000000002</v>
      </c>
      <c r="BB170">
        <v>3.3039520000000002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-0.798508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6.594E-3</v>
      </c>
      <c r="CG170">
        <v>0.62179180000000001</v>
      </c>
      <c r="CH170">
        <v>0.45458900000000002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2.621737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0.3866251</v>
      </c>
      <c r="DI170">
        <v>6.8735020000000002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0.46012599999999998</v>
      </c>
      <c r="DW170">
        <v>1.9400850000000001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13.894299999999999</v>
      </c>
      <c r="EW170">
        <v>7.1726399999999996E-2</v>
      </c>
      <c r="EX170">
        <v>7.1267300000000006E-2</v>
      </c>
      <c r="EY170">
        <v>7.1306400000000006E-2</v>
      </c>
      <c r="EZ170">
        <v>7.1553400000000003E-2</v>
      </c>
      <c r="FA170">
        <v>7.1548899999999999E-2</v>
      </c>
      <c r="FB170">
        <v>7.1277699999999999E-2</v>
      </c>
      <c r="FC170">
        <v>7.1295600000000001E-2</v>
      </c>
      <c r="FD170">
        <v>7.1747000000000005E-2</v>
      </c>
      <c r="FE170">
        <v>7.1563699999999994E-2</v>
      </c>
      <c r="FF170">
        <v>7.0902400000000004E-2</v>
      </c>
      <c r="FG170">
        <v>7.1381600000000003E-2</v>
      </c>
      <c r="FH170">
        <v>7.1248400000000003E-2</v>
      </c>
      <c r="FI170">
        <v>7.1739800000000006E-2</v>
      </c>
      <c r="FJ170">
        <v>7.1441500000000005E-2</v>
      </c>
      <c r="FK170">
        <v>0.4768193</v>
      </c>
      <c r="FL170">
        <v>0.22735669999999999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-0.88074680000000005</v>
      </c>
      <c r="FZ170">
        <v>1.4875</v>
      </c>
      <c r="GA170">
        <v>2.1716500000000001</v>
      </c>
      <c r="GB170">
        <v>0.68799670000000002</v>
      </c>
      <c r="GC170">
        <v>0.55058839999999998</v>
      </c>
      <c r="GD170">
        <v>2.3577720000000002</v>
      </c>
      <c r="GE170">
        <v>0.78387929999999995</v>
      </c>
      <c r="GF170">
        <v>2.1938029999999999</v>
      </c>
      <c r="GG170">
        <v>-0.68508139999999995</v>
      </c>
      <c r="GH170">
        <v>4.2125640000000004</v>
      </c>
      <c r="GI170">
        <v>17.745699999999999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0.3528463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3.1172979999999999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106.52679999999999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17</v>
      </c>
      <c r="OD170">
        <v>30369.1</v>
      </c>
      <c r="OE170">
        <v>0.45</v>
      </c>
      <c r="OF170">
        <v>203.68700000000001</v>
      </c>
      <c r="OG170">
        <v>16.3</v>
      </c>
      <c r="OH170">
        <v>68.978999999999999</v>
      </c>
    </row>
    <row r="171" spans="1:398">
      <c r="A171">
        <v>16</v>
      </c>
      <c r="B171" t="s">
        <v>23</v>
      </c>
      <c r="C171" t="s">
        <v>22</v>
      </c>
      <c r="D171">
        <v>2014</v>
      </c>
      <c r="E171">
        <v>10.63</v>
      </c>
      <c r="F171">
        <v>3.2945000000000002</v>
      </c>
      <c r="G171">
        <v>772</v>
      </c>
      <c r="H171">
        <v>41.6</v>
      </c>
      <c r="I171">
        <v>82.3</v>
      </c>
      <c r="J171">
        <v>16.100000000000001</v>
      </c>
      <c r="K171">
        <v>8011.5</v>
      </c>
      <c r="L171">
        <v>0.4</v>
      </c>
      <c r="M171">
        <v>2.2000000000000002</v>
      </c>
      <c r="N171">
        <v>596574</v>
      </c>
      <c r="O171">
        <v>18.71</v>
      </c>
      <c r="P171">
        <v>1.41</v>
      </c>
      <c r="Q171">
        <v>5580.93</v>
      </c>
      <c r="R171">
        <v>46.5</v>
      </c>
      <c r="S171">
        <v>0.471028</v>
      </c>
      <c r="T171">
        <v>-0.92970900000000001</v>
      </c>
      <c r="U171">
        <v>1.505352</v>
      </c>
      <c r="V171">
        <v>2.0198</v>
      </c>
      <c r="W171">
        <v>0.45250669999999998</v>
      </c>
      <c r="X171">
        <v>-0.1037299</v>
      </c>
      <c r="Y171">
        <v>1.256516</v>
      </c>
      <c r="Z171">
        <v>0.42228959999999999</v>
      </c>
      <c r="AA171">
        <v>-0.75105639999999996</v>
      </c>
      <c r="AB171">
        <v>0.60233159999999997</v>
      </c>
      <c r="AC171">
        <v>2.448318</v>
      </c>
      <c r="AD171">
        <v>2.3408150000000001</v>
      </c>
      <c r="AE171">
        <v>-0.69528199999999996</v>
      </c>
      <c r="AF171">
        <v>0.43807980000000002</v>
      </c>
      <c r="AG171">
        <v>0.34065089999999998</v>
      </c>
      <c r="AH171">
        <v>2.877132</v>
      </c>
      <c r="AI171">
        <v>2.36368</v>
      </c>
      <c r="AJ171">
        <v>1.1922539999999999</v>
      </c>
      <c r="AK171">
        <v>6.6489839999999996</v>
      </c>
      <c r="AL171">
        <v>4.4103709999999996</v>
      </c>
      <c r="AM171">
        <v>2.7788189999999999</v>
      </c>
      <c r="AN171">
        <v>8.9886330000000001</v>
      </c>
      <c r="AO171">
        <v>13.298959999999999</v>
      </c>
      <c r="AP171">
        <v>0.3435897</v>
      </c>
      <c r="AQ171">
        <v>8.6271109999999993</v>
      </c>
      <c r="AR171">
        <v>5.3257599999999998</v>
      </c>
      <c r="AS171">
        <v>2.83908</v>
      </c>
      <c r="AT171">
        <v>10.311999999999999</v>
      </c>
      <c r="AU171">
        <v>69.272000000000006</v>
      </c>
      <c r="AV171">
        <v>54.454500000000003</v>
      </c>
      <c r="AW171">
        <v>0.78374299999999997</v>
      </c>
      <c r="AX171" s="17">
        <v>17000000000</v>
      </c>
      <c r="AY171">
        <v>2.83908</v>
      </c>
      <c r="AZ171">
        <v>0.76</v>
      </c>
      <c r="BA171">
        <v>2.9290579999999999</v>
      </c>
      <c r="BB171">
        <v>2.9290581000000002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-1.1711800000000001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6.9562000000000001E-3</v>
      </c>
      <c r="CG171">
        <v>0.61854489999999995</v>
      </c>
      <c r="CH171">
        <v>0.44579400000000002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2.7017009999999999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0.38259779999999999</v>
      </c>
      <c r="DI171">
        <v>7.2991910000000004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0.47009410000000001</v>
      </c>
      <c r="DW171">
        <v>2.053293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13.897460000000001</v>
      </c>
      <c r="EW171">
        <v>7.1718100000000007E-2</v>
      </c>
      <c r="EX171">
        <v>7.1254700000000004E-2</v>
      </c>
      <c r="EY171">
        <v>7.1314900000000001E-2</v>
      </c>
      <c r="EZ171">
        <v>7.1518899999999996E-2</v>
      </c>
      <c r="FA171">
        <v>7.1587499999999998E-2</v>
      </c>
      <c r="FB171">
        <v>7.12647E-2</v>
      </c>
      <c r="FC171">
        <v>7.1342699999999995E-2</v>
      </c>
      <c r="FD171">
        <v>7.1731299999999998E-2</v>
      </c>
      <c r="FE171">
        <v>7.1507100000000004E-2</v>
      </c>
      <c r="FF171">
        <v>7.0881200000000005E-2</v>
      </c>
      <c r="FG171">
        <v>7.15036E-2</v>
      </c>
      <c r="FH171">
        <v>7.1220199999999997E-2</v>
      </c>
      <c r="FI171">
        <v>7.1726100000000001E-2</v>
      </c>
      <c r="FJ171">
        <v>7.1428900000000004E-2</v>
      </c>
      <c r="FK171">
        <v>0.47039029999999998</v>
      </c>
      <c r="FL171">
        <v>0.22126699999999999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-0.92970900000000001</v>
      </c>
      <c r="FZ171">
        <v>1.505352</v>
      </c>
      <c r="GA171">
        <v>2.0198</v>
      </c>
      <c r="GB171">
        <v>-0.1037299</v>
      </c>
      <c r="GC171">
        <v>0.42228959999999999</v>
      </c>
      <c r="GD171">
        <v>2.448318</v>
      </c>
      <c r="GE171">
        <v>0.34065089999999998</v>
      </c>
      <c r="GF171">
        <v>2.3408150000000001</v>
      </c>
      <c r="GG171">
        <v>-0.69528199999999996</v>
      </c>
      <c r="GH171">
        <v>4.2122460000000004</v>
      </c>
      <c r="GI171">
        <v>17.743020000000001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0.3574966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3.2013069999999999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106.33710000000001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17.100000000000001</v>
      </c>
      <c r="OD171">
        <v>30091.3</v>
      </c>
      <c r="OE171">
        <v>0.31</v>
      </c>
      <c r="OF171">
        <v>205.565</v>
      </c>
      <c r="OG171">
        <v>17.100000000000001</v>
      </c>
      <c r="OH171">
        <v>69.272000000000006</v>
      </c>
    </row>
    <row r="172" spans="1:398">
      <c r="A172">
        <v>16</v>
      </c>
      <c r="B172" t="s">
        <v>23</v>
      </c>
      <c r="C172" t="s">
        <v>22</v>
      </c>
      <c r="D172">
        <v>2015</v>
      </c>
      <c r="E172">
        <v>10.603999999999999</v>
      </c>
      <c r="F172">
        <v>3.4283999999999999</v>
      </c>
      <c r="G172">
        <v>718</v>
      </c>
      <c r="H172">
        <v>44.3</v>
      </c>
      <c r="I172">
        <v>85.7</v>
      </c>
      <c r="J172">
        <v>17.2</v>
      </c>
      <c r="K172">
        <v>10095.6</v>
      </c>
      <c r="L172">
        <v>0.4</v>
      </c>
      <c r="M172">
        <v>2.2999999999999998</v>
      </c>
      <c r="N172">
        <v>603247</v>
      </c>
      <c r="O172">
        <v>20.82</v>
      </c>
      <c r="P172">
        <v>1.39</v>
      </c>
      <c r="Q172">
        <v>5581.19</v>
      </c>
      <c r="R172">
        <v>48.6</v>
      </c>
      <c r="S172">
        <v>0.48291099999999998</v>
      </c>
      <c r="T172">
        <v>-0.93286789999999997</v>
      </c>
      <c r="U172">
        <v>1.6338619999999999</v>
      </c>
      <c r="V172">
        <v>1.609807</v>
      </c>
      <c r="W172">
        <v>0.62631349999999997</v>
      </c>
      <c r="X172">
        <v>0.36852750000000001</v>
      </c>
      <c r="Y172">
        <v>1.43266</v>
      </c>
      <c r="Z172">
        <v>0.69424609999999998</v>
      </c>
      <c r="AA172">
        <v>-0.75105639999999996</v>
      </c>
      <c r="AB172">
        <v>0.73425810000000002</v>
      </c>
      <c r="AC172">
        <v>2.4837509999999998</v>
      </c>
      <c r="AD172">
        <v>2.242807</v>
      </c>
      <c r="AE172">
        <v>-0.69519819999999999</v>
      </c>
      <c r="AF172">
        <v>0.54870370000000002</v>
      </c>
      <c r="AG172">
        <v>0.45054660000000002</v>
      </c>
      <c r="AH172">
        <v>3.1293340000000001</v>
      </c>
      <c r="AI172">
        <v>2.3612310000000001</v>
      </c>
      <c r="AJ172">
        <v>1.232094</v>
      </c>
      <c r="AK172">
        <v>6.5764690000000003</v>
      </c>
      <c r="AL172">
        <v>4.4508530000000004</v>
      </c>
      <c r="AM172">
        <v>2.8449089999999999</v>
      </c>
      <c r="AN172">
        <v>9.2198550000000008</v>
      </c>
      <c r="AO172">
        <v>13.310079999999999</v>
      </c>
      <c r="AP172">
        <v>0.32930369999999998</v>
      </c>
      <c r="AQ172">
        <v>8.6271559999999994</v>
      </c>
      <c r="AR172">
        <v>5.3247999999999998</v>
      </c>
      <c r="AS172">
        <v>2.8094000000000001</v>
      </c>
      <c r="AT172">
        <v>10.3218</v>
      </c>
      <c r="AU172">
        <v>69.564999999999998</v>
      </c>
      <c r="AV172">
        <v>55.435699999999997</v>
      </c>
      <c r="AW172">
        <v>0.72088600000000003</v>
      </c>
      <c r="AX172" s="17">
        <v>13000000000</v>
      </c>
      <c r="AY172">
        <v>2.8847999999999998</v>
      </c>
      <c r="AZ172">
        <v>0.78</v>
      </c>
      <c r="BA172">
        <v>3.035914</v>
      </c>
      <c r="BB172">
        <v>3.0359139000000002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-1.07881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7.4019000000000003E-3</v>
      </c>
      <c r="CG172">
        <v>0.62809870000000001</v>
      </c>
      <c r="CH172">
        <v>0.46667999999999998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2.8795829999999998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0.39450790000000002</v>
      </c>
      <c r="DI172">
        <v>8.2919959999999993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0.48991699999999999</v>
      </c>
      <c r="DW172">
        <v>2.2460740000000001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13.89476</v>
      </c>
      <c r="EW172">
        <v>7.1733199999999997E-2</v>
      </c>
      <c r="EX172">
        <v>7.1251800000000004E-2</v>
      </c>
      <c r="EY172">
        <v>7.1385299999999999E-2</v>
      </c>
      <c r="EZ172">
        <v>7.1510500000000005E-2</v>
      </c>
      <c r="FA172">
        <v>7.1571499999999996E-2</v>
      </c>
      <c r="FB172">
        <v>7.1246900000000002E-2</v>
      </c>
      <c r="FC172">
        <v>7.1243899999999999E-2</v>
      </c>
      <c r="FD172">
        <v>7.1745699999999996E-2</v>
      </c>
      <c r="FE172">
        <v>7.1502899999999994E-2</v>
      </c>
      <c r="FF172">
        <v>7.0903800000000003E-2</v>
      </c>
      <c r="FG172">
        <v>7.1485999999999994E-2</v>
      </c>
      <c r="FH172">
        <v>7.1254300000000007E-2</v>
      </c>
      <c r="FI172">
        <v>7.1740499999999999E-2</v>
      </c>
      <c r="FJ172">
        <v>7.1423500000000001E-2</v>
      </c>
      <c r="FK172">
        <v>0.48233860000000001</v>
      </c>
      <c r="FL172">
        <v>0.23265050000000001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-0.93286789999999997</v>
      </c>
      <c r="FZ172">
        <v>1.6338619999999999</v>
      </c>
      <c r="GA172">
        <v>1.609807</v>
      </c>
      <c r="GB172">
        <v>0.36852750000000001</v>
      </c>
      <c r="GC172">
        <v>0.69424609999999998</v>
      </c>
      <c r="GD172">
        <v>2.4837509999999998</v>
      </c>
      <c r="GE172">
        <v>0.45054660000000002</v>
      </c>
      <c r="GF172">
        <v>2.242807</v>
      </c>
      <c r="GG172">
        <v>-0.69519819999999999</v>
      </c>
      <c r="GH172">
        <v>4.5426900000000003</v>
      </c>
      <c r="GI172">
        <v>20.636030000000002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0.37622410000000001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3.5432980000000001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106.5389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17.899999999999999</v>
      </c>
      <c r="OD172">
        <v>30387.1</v>
      </c>
      <c r="OE172">
        <v>0.34</v>
      </c>
      <c r="OF172">
        <v>205.36699999999999</v>
      </c>
      <c r="OG172">
        <v>16.600000000000001</v>
      </c>
      <c r="OH172">
        <v>69.564999999999998</v>
      </c>
    </row>
    <row r="173" spans="1:398">
      <c r="A173">
        <v>16</v>
      </c>
      <c r="B173" t="s">
        <v>23</v>
      </c>
      <c r="C173" t="s">
        <v>22</v>
      </c>
      <c r="D173">
        <v>2016</v>
      </c>
      <c r="E173">
        <v>10.526999999999999</v>
      </c>
      <c r="F173">
        <v>3.4605999999999999</v>
      </c>
      <c r="G173">
        <v>651</v>
      </c>
      <c r="H173">
        <v>45.9</v>
      </c>
      <c r="I173">
        <v>86</v>
      </c>
      <c r="J173">
        <v>17.8</v>
      </c>
      <c r="K173">
        <v>8945.6</v>
      </c>
      <c r="L173">
        <v>0.5</v>
      </c>
      <c r="M173">
        <v>2.2999999999999998</v>
      </c>
      <c r="N173">
        <v>612645</v>
      </c>
      <c r="O173">
        <v>29.34</v>
      </c>
      <c r="P173">
        <v>1.35</v>
      </c>
      <c r="Q173">
        <v>5476.95</v>
      </c>
      <c r="R173">
        <v>48.9</v>
      </c>
      <c r="S173">
        <v>0.48322999999999999</v>
      </c>
      <c r="T173">
        <v>-0.94222289999999997</v>
      </c>
      <c r="U173">
        <v>1.664766</v>
      </c>
      <c r="V173">
        <v>1.1011120000000001</v>
      </c>
      <c r="W173">
        <v>0.72931029999999997</v>
      </c>
      <c r="X173">
        <v>0.4101978</v>
      </c>
      <c r="Y173">
        <v>1.5287379999999999</v>
      </c>
      <c r="Z173">
        <v>0.54418129999999998</v>
      </c>
      <c r="AA173">
        <v>-0.47292210000000001</v>
      </c>
      <c r="AB173">
        <v>0.73425810000000002</v>
      </c>
      <c r="AC173">
        <v>2.5336539999999999</v>
      </c>
      <c r="AD173">
        <v>2.0467909999999998</v>
      </c>
      <c r="AE173">
        <v>-0.72954140000000001</v>
      </c>
      <c r="AF173">
        <v>0.56450739999999999</v>
      </c>
      <c r="AG173">
        <v>0.89429579999999997</v>
      </c>
      <c r="AH173">
        <v>3.2979810000000001</v>
      </c>
      <c r="AI173">
        <v>2.3539430000000001</v>
      </c>
      <c r="AJ173">
        <v>1.2414419999999999</v>
      </c>
      <c r="AK173">
        <v>6.4785089999999999</v>
      </c>
      <c r="AL173">
        <v>4.4543470000000003</v>
      </c>
      <c r="AM173">
        <v>2.8791980000000001</v>
      </c>
      <c r="AN173">
        <v>9.0989170000000001</v>
      </c>
      <c r="AO173">
        <v>13.32554</v>
      </c>
      <c r="AP173">
        <v>0.3001046</v>
      </c>
      <c r="AQ173">
        <v>8.6083029999999994</v>
      </c>
      <c r="AR173">
        <v>5.3231000000000002</v>
      </c>
      <c r="AS173">
        <v>2.7788200000000001</v>
      </c>
      <c r="AT173">
        <v>10.335800000000001</v>
      </c>
      <c r="AU173">
        <v>69.855000000000004</v>
      </c>
      <c r="AV173">
        <v>54.432099999999998</v>
      </c>
      <c r="AW173">
        <v>1.3595699999999999</v>
      </c>
      <c r="AX173" s="17">
        <v>26000000000</v>
      </c>
      <c r="AY173">
        <v>2.83908</v>
      </c>
      <c r="AZ173">
        <v>0.76</v>
      </c>
      <c r="BA173">
        <v>3.378952</v>
      </c>
      <c r="BB173">
        <v>3.3789517999999998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-0.73396899999999998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7.6376999999999999E-3</v>
      </c>
      <c r="CG173">
        <v>0.62758449999999999</v>
      </c>
      <c r="CH173">
        <v>0.472161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3.0289830000000002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0.3938623</v>
      </c>
      <c r="DI173">
        <v>9.1747390000000006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0.4769642</v>
      </c>
      <c r="DW173">
        <v>2.3020269999999998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13.89452</v>
      </c>
      <c r="EW173">
        <v>7.1736499999999995E-2</v>
      </c>
      <c r="EX173">
        <v>7.1254700000000004E-2</v>
      </c>
      <c r="EY173">
        <v>7.1456500000000006E-2</v>
      </c>
      <c r="EZ173">
        <v>7.15002E-2</v>
      </c>
      <c r="FA173">
        <v>7.15721E-2</v>
      </c>
      <c r="FB173">
        <v>7.1235199999999999E-2</v>
      </c>
      <c r="FC173">
        <v>7.1315799999999999E-2</v>
      </c>
      <c r="FD173">
        <v>7.1688199999999994E-2</v>
      </c>
      <c r="FE173">
        <v>7.1507000000000001E-2</v>
      </c>
      <c r="FF173">
        <v>7.0910299999999996E-2</v>
      </c>
      <c r="FG173">
        <v>7.1360800000000002E-2</v>
      </c>
      <c r="FH173">
        <v>7.1288199999999996E-2</v>
      </c>
      <c r="FI173">
        <v>7.1748999999999993E-2</v>
      </c>
      <c r="FJ173">
        <v>7.1425500000000003E-2</v>
      </c>
      <c r="FK173">
        <v>0.48273050000000001</v>
      </c>
      <c r="FL173">
        <v>0.23302880000000001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-0.94222289999999997</v>
      </c>
      <c r="FZ173">
        <v>1.664766</v>
      </c>
      <c r="GA173">
        <v>1.1011120000000001</v>
      </c>
      <c r="GB173">
        <v>0.4101978</v>
      </c>
      <c r="GC173">
        <v>0.54418129999999998</v>
      </c>
      <c r="GD173">
        <v>2.5336539999999999</v>
      </c>
      <c r="GE173">
        <v>0.89429579999999997</v>
      </c>
      <c r="GF173">
        <v>2.0467909999999998</v>
      </c>
      <c r="GG173">
        <v>-0.72954140000000001</v>
      </c>
      <c r="GH173">
        <v>4.7851590000000002</v>
      </c>
      <c r="GI173">
        <v>22.897749999999998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0.36687520000000001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3.6367210000000001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106.8279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17.100000000000001</v>
      </c>
      <c r="OD173">
        <v>30815.1</v>
      </c>
      <c r="OE173">
        <v>0.48</v>
      </c>
      <c r="OF173">
        <v>205.018</v>
      </c>
      <c r="OG173">
        <v>16.100000000000001</v>
      </c>
      <c r="OH173">
        <v>69.855000000000004</v>
      </c>
    </row>
    <row r="174" spans="1:398">
      <c r="A174">
        <v>16</v>
      </c>
      <c r="B174" t="s">
        <v>23</v>
      </c>
      <c r="C174" t="s">
        <v>22</v>
      </c>
      <c r="D174">
        <v>2017</v>
      </c>
      <c r="E174">
        <v>10.391999999999999</v>
      </c>
      <c r="F174">
        <v>3.5396999999999998</v>
      </c>
      <c r="G174">
        <v>624</v>
      </c>
      <c r="H174">
        <v>47.8</v>
      </c>
      <c r="I174">
        <v>88.9</v>
      </c>
      <c r="J174">
        <v>18.399999999999999</v>
      </c>
      <c r="K174">
        <v>8232.5</v>
      </c>
      <c r="L174">
        <v>0.6</v>
      </c>
      <c r="M174">
        <v>2.1</v>
      </c>
      <c r="N174">
        <v>591196</v>
      </c>
      <c r="O174">
        <v>28.61</v>
      </c>
      <c r="P174">
        <v>1.42</v>
      </c>
      <c r="Q174">
        <v>5370.55</v>
      </c>
      <c r="R174">
        <v>50.8</v>
      </c>
      <c r="S174">
        <v>0.49184</v>
      </c>
      <c r="T174">
        <v>-0.9586247</v>
      </c>
      <c r="U174">
        <v>1.7406820000000001</v>
      </c>
      <c r="V174">
        <v>0.89611540000000001</v>
      </c>
      <c r="W174">
        <v>0.8516186</v>
      </c>
      <c r="X174">
        <v>0.81300649999999997</v>
      </c>
      <c r="Y174">
        <v>1.624817</v>
      </c>
      <c r="Z174">
        <v>0.45112809999999998</v>
      </c>
      <c r="AA174">
        <v>-0.19478770000000001</v>
      </c>
      <c r="AB174">
        <v>0.47040490000000001</v>
      </c>
      <c r="AC174">
        <v>2.4197609999999998</v>
      </c>
      <c r="AD174">
        <v>2.3898190000000001</v>
      </c>
      <c r="AE174">
        <v>-0.76459319999999997</v>
      </c>
      <c r="AF174">
        <v>0.66459570000000001</v>
      </c>
      <c r="AG174">
        <v>0.85627500000000001</v>
      </c>
      <c r="AH174">
        <v>3.447419</v>
      </c>
      <c r="AI174">
        <v>2.3410359999999999</v>
      </c>
      <c r="AJ174">
        <v>1.2640420000000001</v>
      </c>
      <c r="AK174">
        <v>6.4361509999999997</v>
      </c>
      <c r="AL174">
        <v>4.4875119999999997</v>
      </c>
      <c r="AM174">
        <v>2.9123510000000001</v>
      </c>
      <c r="AN174">
        <v>9.0158450000000006</v>
      </c>
      <c r="AO174">
        <v>13.289899999999999</v>
      </c>
      <c r="AP174">
        <v>0.35065679999999999</v>
      </c>
      <c r="AQ174">
        <v>8.5886859999999992</v>
      </c>
      <c r="AR174">
        <v>5.3216000000000001</v>
      </c>
      <c r="AS174">
        <v>2.7972800000000002</v>
      </c>
      <c r="AT174">
        <v>10.353199999999999</v>
      </c>
      <c r="AU174">
        <v>70.144000000000005</v>
      </c>
      <c r="AV174">
        <v>57.582999999999998</v>
      </c>
      <c r="AW174">
        <v>0.44334200000000001</v>
      </c>
      <c r="AX174" s="17">
        <v>8700000000</v>
      </c>
      <c r="AY174">
        <v>2.8735599999999999</v>
      </c>
      <c r="AZ174">
        <v>0.79</v>
      </c>
      <c r="BA174">
        <v>3.3537560000000002</v>
      </c>
      <c r="BB174">
        <v>3.3537564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-0.755023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7.9216000000000009E-3</v>
      </c>
      <c r="CG174">
        <v>0.63628720000000005</v>
      </c>
      <c r="CH174">
        <v>0.47008899999999998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3.2294960000000001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0.40486129999999998</v>
      </c>
      <c r="DI174">
        <v>10.429650000000001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0.50266690000000003</v>
      </c>
      <c r="DW174">
        <v>2.5513020000000002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13.89486</v>
      </c>
      <c r="EW174">
        <v>7.1737800000000004E-2</v>
      </c>
      <c r="EX174">
        <v>7.1246599999999993E-2</v>
      </c>
      <c r="EY174">
        <v>7.1485199999999999E-2</v>
      </c>
      <c r="EZ174">
        <v>7.1484599999999995E-2</v>
      </c>
      <c r="FA174">
        <v>7.1546299999999993E-2</v>
      </c>
      <c r="FB174">
        <v>7.1221199999999998E-2</v>
      </c>
      <c r="FC174">
        <v>7.1360099999999996E-2</v>
      </c>
      <c r="FD174">
        <v>7.1631500000000001E-2</v>
      </c>
      <c r="FE174">
        <v>7.1549100000000004E-2</v>
      </c>
      <c r="FF174">
        <v>7.0952100000000004E-2</v>
      </c>
      <c r="FG174">
        <v>7.1374599999999996E-2</v>
      </c>
      <c r="FH174">
        <v>7.1248800000000001E-2</v>
      </c>
      <c r="FI174">
        <v>7.1754600000000002E-2</v>
      </c>
      <c r="FJ174">
        <v>7.1407600000000002E-2</v>
      </c>
      <c r="FK174">
        <v>0.49132619999999999</v>
      </c>
      <c r="FL174">
        <v>0.24140139999999999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-0.9586247</v>
      </c>
      <c r="FZ174">
        <v>1.7406820000000001</v>
      </c>
      <c r="GA174">
        <v>0.89611540000000001</v>
      </c>
      <c r="GB174">
        <v>0.81300649999999997</v>
      </c>
      <c r="GC174">
        <v>0.45112809999999998</v>
      </c>
      <c r="GD174">
        <v>2.4197609999999998</v>
      </c>
      <c r="GE174">
        <v>0.85627500000000001</v>
      </c>
      <c r="GF174">
        <v>2.3898190000000001</v>
      </c>
      <c r="GG174">
        <v>-0.76459319999999997</v>
      </c>
      <c r="GH174">
        <v>4.9530719999999997</v>
      </c>
      <c r="GI174">
        <v>24.532920000000001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0.38814769999999998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3.9129269999999998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  <c r="KN174">
        <v>1</v>
      </c>
      <c r="KO174">
        <v>1</v>
      </c>
      <c r="KP174">
        <v>1</v>
      </c>
      <c r="KQ174">
        <v>1</v>
      </c>
      <c r="KR174">
        <v>1</v>
      </c>
      <c r="KS174">
        <v>1</v>
      </c>
      <c r="KT174">
        <v>1</v>
      </c>
      <c r="KU174">
        <v>1</v>
      </c>
      <c r="KV174">
        <v>1</v>
      </c>
      <c r="KW174">
        <v>1</v>
      </c>
      <c r="KX174">
        <v>1</v>
      </c>
      <c r="KY174">
        <v>1</v>
      </c>
      <c r="KZ174">
        <v>1</v>
      </c>
      <c r="LA174">
        <v>1</v>
      </c>
      <c r="LB174">
        <v>1</v>
      </c>
      <c r="LC174">
        <v>1</v>
      </c>
      <c r="LD174">
        <v>1</v>
      </c>
      <c r="LE174">
        <v>1</v>
      </c>
      <c r="LF174">
        <v>1</v>
      </c>
      <c r="LG174">
        <v>1</v>
      </c>
      <c r="LH174">
        <v>1</v>
      </c>
      <c r="LI174">
        <v>1</v>
      </c>
      <c r="LJ174">
        <v>1</v>
      </c>
      <c r="LK174">
        <v>1</v>
      </c>
      <c r="LL174">
        <v>1</v>
      </c>
      <c r="LM174">
        <v>1</v>
      </c>
      <c r="LN174">
        <v>1</v>
      </c>
      <c r="LO174">
        <v>1</v>
      </c>
      <c r="LP174">
        <v>1</v>
      </c>
      <c r="LQ174">
        <v>1</v>
      </c>
      <c r="LR174">
        <v>1</v>
      </c>
      <c r="LS174">
        <v>1</v>
      </c>
      <c r="LT174">
        <v>1</v>
      </c>
      <c r="LU174">
        <v>1</v>
      </c>
      <c r="LV174">
        <v>1</v>
      </c>
      <c r="LW174">
        <v>1</v>
      </c>
      <c r="LX174">
        <v>1</v>
      </c>
      <c r="LY174">
        <v>1</v>
      </c>
      <c r="LZ174">
        <v>1</v>
      </c>
      <c r="MA174">
        <v>1</v>
      </c>
      <c r="MB174">
        <v>1</v>
      </c>
      <c r="MC174">
        <v>1</v>
      </c>
      <c r="MD174">
        <v>1</v>
      </c>
      <c r="ME174">
        <v>1</v>
      </c>
      <c r="MF174">
        <v>1</v>
      </c>
      <c r="MG174">
        <v>1</v>
      </c>
      <c r="MH174">
        <v>1</v>
      </c>
      <c r="MI174">
        <v>1</v>
      </c>
      <c r="MJ174">
        <v>1</v>
      </c>
      <c r="MK174">
        <v>1</v>
      </c>
      <c r="ML174">
        <v>1</v>
      </c>
      <c r="MM174">
        <v>1</v>
      </c>
      <c r="MN174">
        <v>1</v>
      </c>
      <c r="MO174">
        <v>1</v>
      </c>
      <c r="MP174">
        <v>1</v>
      </c>
      <c r="MQ174">
        <v>1</v>
      </c>
      <c r="MR174">
        <v>1</v>
      </c>
      <c r="MS174">
        <v>1</v>
      </c>
      <c r="MT174">
        <v>1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1</v>
      </c>
      <c r="NI174">
        <v>1</v>
      </c>
      <c r="NJ174">
        <v>1</v>
      </c>
      <c r="NK174">
        <v>1</v>
      </c>
      <c r="NL174">
        <v>1</v>
      </c>
      <c r="NM174">
        <v>1</v>
      </c>
      <c r="NN174">
        <v>1</v>
      </c>
      <c r="NO174">
        <v>1</v>
      </c>
      <c r="NP174">
        <v>107.18810000000001</v>
      </c>
      <c r="NQ174">
        <v>1</v>
      </c>
      <c r="NR174">
        <v>1</v>
      </c>
      <c r="NS174">
        <v>1</v>
      </c>
      <c r="NT174">
        <v>1</v>
      </c>
      <c r="NU174">
        <v>1</v>
      </c>
      <c r="NV174">
        <v>1</v>
      </c>
      <c r="NW174">
        <v>1</v>
      </c>
      <c r="NX174">
        <v>1</v>
      </c>
      <c r="NY174">
        <v>1</v>
      </c>
      <c r="NZ174">
        <v>1</v>
      </c>
      <c r="OA174">
        <v>1</v>
      </c>
      <c r="OB174">
        <v>1</v>
      </c>
      <c r="OC174">
        <v>17.7</v>
      </c>
      <c r="OD174">
        <v>31356.2</v>
      </c>
      <c r="OE174">
        <v>0.47</v>
      </c>
      <c r="OF174">
        <v>204.71100000000001</v>
      </c>
      <c r="OG174">
        <v>16.399999999999999</v>
      </c>
      <c r="OH174">
        <v>70.144000000000005</v>
      </c>
    </row>
    <row r="175" spans="1:398">
      <c r="A175">
        <v>16</v>
      </c>
      <c r="B175" t="s">
        <v>23</v>
      </c>
      <c r="C175" t="s">
        <v>22</v>
      </c>
      <c r="D175">
        <v>2018</v>
      </c>
      <c r="E175">
        <v>10.772</v>
      </c>
      <c r="F175">
        <v>3.5268999999999999</v>
      </c>
      <c r="G175">
        <v>616</v>
      </c>
      <c r="H175">
        <v>49.8</v>
      </c>
      <c r="I175">
        <v>84.3</v>
      </c>
      <c r="J175">
        <v>18.8</v>
      </c>
      <c r="K175">
        <v>5439.6</v>
      </c>
      <c r="L175">
        <v>0.7</v>
      </c>
      <c r="M175">
        <v>2.1</v>
      </c>
      <c r="N175">
        <v>585644</v>
      </c>
      <c r="O175">
        <v>23.39</v>
      </c>
      <c r="P175">
        <v>1.38</v>
      </c>
      <c r="Q175">
        <v>4917.82</v>
      </c>
      <c r="R175">
        <v>50.6</v>
      </c>
      <c r="S175">
        <v>0.47895300000000002</v>
      </c>
      <c r="T175">
        <v>-0.91245679999999996</v>
      </c>
      <c r="U175">
        <v>1.7283980000000001</v>
      </c>
      <c r="V175">
        <v>0.83537570000000005</v>
      </c>
      <c r="W175">
        <v>0.98036440000000002</v>
      </c>
      <c r="X175">
        <v>0.1740691</v>
      </c>
      <c r="Y175">
        <v>1.688869</v>
      </c>
      <c r="Z175">
        <v>8.6679400000000004E-2</v>
      </c>
      <c r="AA175">
        <v>8.3346600000000007E-2</v>
      </c>
      <c r="AB175">
        <v>0.47040490000000001</v>
      </c>
      <c r="AC175">
        <v>2.3902800000000002</v>
      </c>
      <c r="AD175">
        <v>2.1938029999999999</v>
      </c>
      <c r="AE175">
        <v>-0.9137499</v>
      </c>
      <c r="AF175">
        <v>0.65405999999999997</v>
      </c>
      <c r="AG175">
        <v>0.58440049999999999</v>
      </c>
      <c r="AH175">
        <v>3.3725019999999999</v>
      </c>
      <c r="AI175">
        <v>2.3769499999999999</v>
      </c>
      <c r="AJ175">
        <v>1.260419</v>
      </c>
      <c r="AK175">
        <v>6.4232469999999999</v>
      </c>
      <c r="AL175">
        <v>4.4343820000000003</v>
      </c>
      <c r="AM175">
        <v>2.9338570000000002</v>
      </c>
      <c r="AN175">
        <v>8.6014599999999994</v>
      </c>
      <c r="AO175">
        <v>13.280469999999999</v>
      </c>
      <c r="AP175">
        <v>0.32208350000000002</v>
      </c>
      <c r="AQ175">
        <v>8.5006210000000006</v>
      </c>
      <c r="AR175">
        <v>5.3197000000000001</v>
      </c>
      <c r="AS175">
        <v>2.83908</v>
      </c>
      <c r="AT175">
        <v>10.363300000000001</v>
      </c>
      <c r="AU175">
        <v>70.438000000000002</v>
      </c>
      <c r="AV175">
        <v>59.274999999999999</v>
      </c>
      <c r="AW175">
        <v>2.1076999999999999</v>
      </c>
      <c r="AX175" s="17">
        <v>44000000000</v>
      </c>
      <c r="AY175">
        <v>2.8847999999999998</v>
      </c>
      <c r="AZ175">
        <v>0.77</v>
      </c>
      <c r="BA175">
        <v>3.1523080000000001</v>
      </c>
      <c r="BB175">
        <v>3.1523085000000002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-0.94160900000000003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8.2161000000000005E-3</v>
      </c>
      <c r="CG175">
        <v>0.6304573</v>
      </c>
      <c r="CH175">
        <v>0.44799099999999997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3.278769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0.39747650000000001</v>
      </c>
      <c r="DI175">
        <v>10.75032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0.4854521</v>
      </c>
      <c r="DW175">
        <v>2.5246520000000001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13.8995</v>
      </c>
      <c r="EW175">
        <v>7.1707599999999996E-2</v>
      </c>
      <c r="EX175">
        <v>7.1232199999999996E-2</v>
      </c>
      <c r="EY175">
        <v>7.1472400000000005E-2</v>
      </c>
      <c r="EZ175">
        <v>7.1446499999999996E-2</v>
      </c>
      <c r="FA175">
        <v>7.1565900000000002E-2</v>
      </c>
      <c r="FB175">
        <v>7.11923E-2</v>
      </c>
      <c r="FC175">
        <v>7.1508600000000005E-2</v>
      </c>
      <c r="FD175">
        <v>7.1555900000000006E-2</v>
      </c>
      <c r="FE175">
        <v>7.1527400000000005E-2</v>
      </c>
      <c r="FF175">
        <v>7.0950700000000005E-2</v>
      </c>
      <c r="FG175">
        <v>7.1432899999999994E-2</v>
      </c>
      <c r="FH175">
        <v>7.1257000000000001E-2</v>
      </c>
      <c r="FI175">
        <v>7.1760599999999994E-2</v>
      </c>
      <c r="FJ175">
        <v>7.1389999999999995E-2</v>
      </c>
      <c r="FK175">
        <v>0.47839419999999999</v>
      </c>
      <c r="FL175">
        <v>0.22886100000000001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-0.91245679999999996</v>
      </c>
      <c r="FZ175">
        <v>1.7283980000000001</v>
      </c>
      <c r="GA175">
        <v>0.83537570000000005</v>
      </c>
      <c r="GB175">
        <v>0.1740691</v>
      </c>
      <c r="GC175">
        <v>8.6679400000000004E-2</v>
      </c>
      <c r="GD175">
        <v>2.3902800000000002</v>
      </c>
      <c r="GE175">
        <v>0.58440049999999999</v>
      </c>
      <c r="GF175">
        <v>2.1938029999999999</v>
      </c>
      <c r="GG175">
        <v>-0.9137499</v>
      </c>
      <c r="GH175">
        <v>4.8294509999999997</v>
      </c>
      <c r="GI175">
        <v>23.323589999999999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0.36836360000000001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3.718677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Q175">
        <v>1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1</v>
      </c>
      <c r="JW175">
        <v>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1</v>
      </c>
      <c r="KQ175">
        <v>1</v>
      </c>
      <c r="KR175">
        <v>1</v>
      </c>
      <c r="KS175">
        <v>1</v>
      </c>
      <c r="KT175">
        <v>1</v>
      </c>
      <c r="KU175">
        <v>1</v>
      </c>
      <c r="KV175">
        <v>1</v>
      </c>
      <c r="KW175">
        <v>1</v>
      </c>
      <c r="KX175">
        <v>1</v>
      </c>
      <c r="KY175">
        <v>1</v>
      </c>
      <c r="KZ175">
        <v>1</v>
      </c>
      <c r="LA175">
        <v>1</v>
      </c>
      <c r="LB175">
        <v>1</v>
      </c>
      <c r="LC175">
        <v>1</v>
      </c>
      <c r="LD175">
        <v>1</v>
      </c>
      <c r="LE175">
        <v>1</v>
      </c>
      <c r="LF175">
        <v>1</v>
      </c>
      <c r="LG175">
        <v>1</v>
      </c>
      <c r="LH175">
        <v>1</v>
      </c>
      <c r="LI175">
        <v>1</v>
      </c>
      <c r="LJ175">
        <v>1</v>
      </c>
      <c r="LK175">
        <v>1</v>
      </c>
      <c r="LL175">
        <v>1</v>
      </c>
      <c r="LM175">
        <v>1</v>
      </c>
      <c r="LN175">
        <v>1</v>
      </c>
      <c r="LO175">
        <v>1</v>
      </c>
      <c r="LP175">
        <v>1</v>
      </c>
      <c r="LQ175">
        <v>1</v>
      </c>
      <c r="LR175">
        <v>1</v>
      </c>
      <c r="LS175">
        <v>1</v>
      </c>
      <c r="LT175">
        <v>1</v>
      </c>
      <c r="LU175">
        <v>1</v>
      </c>
      <c r="LV175">
        <v>1</v>
      </c>
      <c r="LW175">
        <v>1</v>
      </c>
      <c r="LX175">
        <v>1</v>
      </c>
      <c r="LY175">
        <v>1</v>
      </c>
      <c r="LZ175">
        <v>1</v>
      </c>
      <c r="MA175">
        <v>1</v>
      </c>
      <c r="MB175">
        <v>1</v>
      </c>
      <c r="MC175">
        <v>1</v>
      </c>
      <c r="MD175">
        <v>1</v>
      </c>
      <c r="ME175">
        <v>1</v>
      </c>
      <c r="MF175">
        <v>1</v>
      </c>
      <c r="MG175">
        <v>1</v>
      </c>
      <c r="MH175">
        <v>1</v>
      </c>
      <c r="MI175">
        <v>1</v>
      </c>
      <c r="MJ175">
        <v>1</v>
      </c>
      <c r="MK175">
        <v>1</v>
      </c>
      <c r="ML175">
        <v>1</v>
      </c>
      <c r="MM175">
        <v>1</v>
      </c>
      <c r="MN175">
        <v>1</v>
      </c>
      <c r="MO175">
        <v>1</v>
      </c>
      <c r="MP175">
        <v>1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1</v>
      </c>
      <c r="NJ175">
        <v>1</v>
      </c>
      <c r="NK175">
        <v>1</v>
      </c>
      <c r="NL175">
        <v>1</v>
      </c>
      <c r="NM175">
        <v>1</v>
      </c>
      <c r="NN175">
        <v>1</v>
      </c>
      <c r="NO175">
        <v>1</v>
      </c>
      <c r="NP175">
        <v>107.398</v>
      </c>
      <c r="NQ175">
        <v>1</v>
      </c>
      <c r="NR175">
        <v>1</v>
      </c>
      <c r="NS175">
        <v>1</v>
      </c>
      <c r="NT175">
        <v>1</v>
      </c>
      <c r="NU175">
        <v>1</v>
      </c>
      <c r="NV175">
        <v>1</v>
      </c>
      <c r="NW175">
        <v>1</v>
      </c>
      <c r="NX175">
        <v>1</v>
      </c>
      <c r="NY175">
        <v>1</v>
      </c>
      <c r="NZ175">
        <v>1</v>
      </c>
      <c r="OA175">
        <v>1</v>
      </c>
      <c r="OB175">
        <v>1</v>
      </c>
      <c r="OC175">
        <v>17.899999999999999</v>
      </c>
      <c r="OD175">
        <v>31675.599999999999</v>
      </c>
      <c r="OE175">
        <v>0.39</v>
      </c>
      <c r="OF175">
        <v>204.322</v>
      </c>
      <c r="OG175">
        <v>17.100000000000001</v>
      </c>
      <c r="OH175">
        <v>70.438000000000002</v>
      </c>
    </row>
    <row r="176" spans="1:398">
      <c r="A176">
        <v>16</v>
      </c>
      <c r="B176" t="s">
        <v>23</v>
      </c>
      <c r="C176" t="s">
        <v>22</v>
      </c>
      <c r="D176">
        <v>2019</v>
      </c>
      <c r="E176">
        <v>10.547000000000001</v>
      </c>
      <c r="F176">
        <v>3.4611999999999998</v>
      </c>
      <c r="G176">
        <v>585</v>
      </c>
      <c r="H176">
        <v>51.4</v>
      </c>
      <c r="I176">
        <v>82.2</v>
      </c>
      <c r="J176">
        <v>18.8</v>
      </c>
      <c r="K176">
        <v>5429</v>
      </c>
      <c r="L176">
        <v>0.9</v>
      </c>
      <c r="M176">
        <v>2.4</v>
      </c>
      <c r="N176">
        <v>644581</v>
      </c>
      <c r="O176">
        <v>48.51</v>
      </c>
      <c r="P176">
        <v>1.33</v>
      </c>
      <c r="Q176">
        <v>4465.09</v>
      </c>
      <c r="R176">
        <v>48.9</v>
      </c>
      <c r="S176">
        <v>0.49776100000000001</v>
      </c>
      <c r="T176">
        <v>-0.93979310000000005</v>
      </c>
      <c r="U176">
        <v>1.6653420000000001</v>
      </c>
      <c r="V176">
        <v>0.60000929999999997</v>
      </c>
      <c r="W176">
        <v>1.083361</v>
      </c>
      <c r="X176">
        <v>-0.11762069999999999</v>
      </c>
      <c r="Y176">
        <v>1.688869</v>
      </c>
      <c r="Z176">
        <v>8.5296200000000003E-2</v>
      </c>
      <c r="AA176">
        <v>0.6396153</v>
      </c>
      <c r="AB176">
        <v>0.86618490000000004</v>
      </c>
      <c r="AC176">
        <v>2.7032340000000001</v>
      </c>
      <c r="AD176">
        <v>1.948782</v>
      </c>
      <c r="AE176">
        <v>-1.062907</v>
      </c>
      <c r="AF176">
        <v>0.56450739999999999</v>
      </c>
      <c r="AG176">
        <v>1.8927309999999999</v>
      </c>
      <c r="AH176">
        <v>3.9168099999999999</v>
      </c>
      <c r="AI176">
        <v>2.3558409999999999</v>
      </c>
      <c r="AJ176">
        <v>1.2416149999999999</v>
      </c>
      <c r="AK176">
        <v>6.3716119999999998</v>
      </c>
      <c r="AL176">
        <v>4.4091550000000002</v>
      </c>
      <c r="AM176">
        <v>2.9338570000000002</v>
      </c>
      <c r="AN176">
        <v>8.5995100000000004</v>
      </c>
      <c r="AO176">
        <v>13.37636</v>
      </c>
      <c r="AP176">
        <v>0.28517900000000002</v>
      </c>
      <c r="AQ176">
        <v>8.404045</v>
      </c>
      <c r="AR176">
        <v>5.3081699999999996</v>
      </c>
      <c r="AS176">
        <v>2.8507099999999999</v>
      </c>
      <c r="AT176">
        <v>10.379099999999999</v>
      </c>
      <c r="AU176">
        <v>70.736000000000004</v>
      </c>
      <c r="AV176">
        <v>58.694200000000002</v>
      </c>
      <c r="AW176">
        <v>1.77067</v>
      </c>
      <c r="AX176" s="17">
        <v>36000000000</v>
      </c>
      <c r="AY176">
        <v>2.9014199999999999</v>
      </c>
      <c r="AZ176">
        <v>0.77</v>
      </c>
      <c r="BA176">
        <v>3.8817699999999999</v>
      </c>
      <c r="BB176">
        <v>3.8817699000000001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-0.21072099999999999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8.4320000000000003E-3</v>
      </c>
      <c r="CG176">
        <v>0.63231519999999997</v>
      </c>
      <c r="CH176">
        <v>0.49010300000000001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3.5128740000000001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0.39982250000000003</v>
      </c>
      <c r="DI176">
        <v>12.34028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0.4868827</v>
      </c>
      <c r="DW176">
        <v>2.7049129999999999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13.89423</v>
      </c>
      <c r="EW176">
        <v>7.1739499999999998E-2</v>
      </c>
      <c r="EX176">
        <v>7.1277300000000002E-2</v>
      </c>
      <c r="EY176">
        <v>7.1533899999999997E-2</v>
      </c>
      <c r="EZ176">
        <v>7.1463299999999993E-2</v>
      </c>
      <c r="FA176">
        <v>7.1613999999999997E-2</v>
      </c>
      <c r="FB176">
        <v>7.1227200000000004E-2</v>
      </c>
      <c r="FC176">
        <v>7.15388E-2</v>
      </c>
      <c r="FD176">
        <v>7.1485599999999996E-2</v>
      </c>
      <c r="FE176">
        <v>7.1496100000000007E-2</v>
      </c>
      <c r="FF176">
        <v>7.0921399999999996E-2</v>
      </c>
      <c r="FG176">
        <v>7.1123199999999998E-2</v>
      </c>
      <c r="FH176">
        <v>7.1321899999999994E-2</v>
      </c>
      <c r="FI176">
        <v>7.1818699999999999E-2</v>
      </c>
      <c r="FJ176">
        <v>7.14389E-2</v>
      </c>
      <c r="FK176">
        <v>0.4971988</v>
      </c>
      <c r="FL176">
        <v>0.2472066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-0.93979310000000005</v>
      </c>
      <c r="FZ176">
        <v>1.6653420000000001</v>
      </c>
      <c r="GA176">
        <v>0.60000929999999997</v>
      </c>
      <c r="GB176">
        <v>-0.11762069999999999</v>
      </c>
      <c r="GC176">
        <v>8.5296200000000003E-2</v>
      </c>
      <c r="GD176">
        <v>2.7032340000000001</v>
      </c>
      <c r="GE176">
        <v>1.8927309999999999</v>
      </c>
      <c r="GF176">
        <v>1.948782</v>
      </c>
      <c r="GG176">
        <v>-1.062907</v>
      </c>
      <c r="GH176">
        <v>5.7046469999999996</v>
      </c>
      <c r="GI176">
        <v>32.542999999999999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0.38284299999999999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4.3925780000000003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1</v>
      </c>
      <c r="KQ176">
        <v>1</v>
      </c>
      <c r="KR176">
        <v>1</v>
      </c>
      <c r="KS176">
        <v>1</v>
      </c>
      <c r="KT176">
        <v>1</v>
      </c>
      <c r="KU176">
        <v>1</v>
      </c>
      <c r="KV176">
        <v>1</v>
      </c>
      <c r="KW176">
        <v>1</v>
      </c>
      <c r="KX176">
        <v>1</v>
      </c>
      <c r="KY176">
        <v>1</v>
      </c>
      <c r="KZ176">
        <v>1</v>
      </c>
      <c r="LA176">
        <v>1</v>
      </c>
      <c r="LB176">
        <v>1</v>
      </c>
      <c r="LC176">
        <v>1</v>
      </c>
      <c r="LD176">
        <v>1</v>
      </c>
      <c r="LE176">
        <v>1</v>
      </c>
      <c r="LF176">
        <v>1</v>
      </c>
      <c r="LG176">
        <v>1</v>
      </c>
      <c r="LH176">
        <v>1</v>
      </c>
      <c r="LI176">
        <v>1</v>
      </c>
      <c r="LJ176">
        <v>1</v>
      </c>
      <c r="LK176">
        <v>1</v>
      </c>
      <c r="LL176">
        <v>1</v>
      </c>
      <c r="LM176">
        <v>1</v>
      </c>
      <c r="LN176">
        <v>1</v>
      </c>
      <c r="LO176">
        <v>1</v>
      </c>
      <c r="LP176">
        <v>1</v>
      </c>
      <c r="LQ176">
        <v>1</v>
      </c>
      <c r="LR176">
        <v>1</v>
      </c>
      <c r="LS176">
        <v>1</v>
      </c>
      <c r="LT176">
        <v>1</v>
      </c>
      <c r="LU176">
        <v>1</v>
      </c>
      <c r="LV176">
        <v>1</v>
      </c>
      <c r="LW176">
        <v>1</v>
      </c>
      <c r="LX176">
        <v>1</v>
      </c>
      <c r="LY176">
        <v>1</v>
      </c>
      <c r="LZ176">
        <v>1</v>
      </c>
      <c r="MA176">
        <v>1</v>
      </c>
      <c r="MB176">
        <v>1</v>
      </c>
      <c r="MC176">
        <v>1</v>
      </c>
      <c r="MD176">
        <v>1</v>
      </c>
      <c r="ME176">
        <v>1</v>
      </c>
      <c r="MF176">
        <v>1</v>
      </c>
      <c r="MG176">
        <v>1</v>
      </c>
      <c r="MH176">
        <v>1</v>
      </c>
      <c r="MI176">
        <v>1</v>
      </c>
      <c r="MJ176">
        <v>1</v>
      </c>
      <c r="MK176">
        <v>1</v>
      </c>
      <c r="ML176">
        <v>1</v>
      </c>
      <c r="MM176">
        <v>1</v>
      </c>
      <c r="MN176">
        <v>1</v>
      </c>
      <c r="MO176">
        <v>1</v>
      </c>
      <c r="MP176">
        <v>1</v>
      </c>
      <c r="MQ176">
        <v>1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1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1</v>
      </c>
      <c r="NP176">
        <v>107.7259</v>
      </c>
      <c r="NQ176">
        <v>1</v>
      </c>
      <c r="NR176">
        <v>1</v>
      </c>
      <c r="NS176">
        <v>1</v>
      </c>
      <c r="NT176">
        <v>1</v>
      </c>
      <c r="NU176">
        <v>1</v>
      </c>
      <c r="NV176">
        <v>1</v>
      </c>
      <c r="NW176">
        <v>1</v>
      </c>
      <c r="NX176">
        <v>1</v>
      </c>
      <c r="NY176">
        <v>1</v>
      </c>
      <c r="NZ176">
        <v>1</v>
      </c>
      <c r="OA176">
        <v>1</v>
      </c>
      <c r="OB176">
        <v>1</v>
      </c>
      <c r="OC176">
        <v>18.2</v>
      </c>
      <c r="OD176">
        <v>32180.400000000001</v>
      </c>
      <c r="OE176">
        <v>0.81</v>
      </c>
      <c r="OF176">
        <v>201.98099999999999</v>
      </c>
      <c r="OG176">
        <v>17.3</v>
      </c>
      <c r="OH176">
        <v>70.736000000000004</v>
      </c>
    </row>
    <row r="177" spans="1:398">
      <c r="A177">
        <v>16</v>
      </c>
      <c r="B177" t="s">
        <v>23</v>
      </c>
      <c r="C177" t="s">
        <v>22</v>
      </c>
      <c r="D177">
        <v>2020</v>
      </c>
      <c r="E177">
        <v>9.6020000000000003</v>
      </c>
      <c r="F177">
        <v>3.4285999999999999</v>
      </c>
      <c r="G177">
        <v>554</v>
      </c>
      <c r="H177">
        <v>51.4</v>
      </c>
      <c r="I177">
        <v>86.4</v>
      </c>
      <c r="J177">
        <v>2.6</v>
      </c>
      <c r="K177">
        <v>6243.2</v>
      </c>
      <c r="L177">
        <v>0.7</v>
      </c>
      <c r="M177">
        <v>2.6</v>
      </c>
      <c r="N177">
        <v>617149</v>
      </c>
      <c r="O177">
        <v>21.51</v>
      </c>
      <c r="P177">
        <v>1.2</v>
      </c>
      <c r="Q177">
        <v>4012.36</v>
      </c>
      <c r="R177">
        <v>46.5</v>
      </c>
      <c r="S177">
        <v>0.416958</v>
      </c>
      <c r="T177">
        <v>-1.054605</v>
      </c>
      <c r="U177">
        <v>1.6340539999999999</v>
      </c>
      <c r="V177">
        <v>0.36464289999999999</v>
      </c>
      <c r="W177">
        <v>1.083361</v>
      </c>
      <c r="X177">
        <v>0.4657578</v>
      </c>
      <c r="Y177">
        <v>-0.90525199999999995</v>
      </c>
      <c r="Z177">
        <v>0.19154209999999999</v>
      </c>
      <c r="AA177">
        <v>8.3346600000000007E-2</v>
      </c>
      <c r="AB177">
        <v>1.1300380000000001</v>
      </c>
      <c r="AC177">
        <v>2.5575709999999998</v>
      </c>
      <c r="AD177">
        <v>1.311728</v>
      </c>
      <c r="AE177">
        <v>-1.2120629999999999</v>
      </c>
      <c r="AF177">
        <v>0.43807980000000002</v>
      </c>
      <c r="AG177">
        <v>0.48648409999999997</v>
      </c>
      <c r="AH177">
        <v>1.9865710000000001</v>
      </c>
      <c r="AI177">
        <v>2.261971</v>
      </c>
      <c r="AJ177">
        <v>1.2321519999999999</v>
      </c>
      <c r="AK177">
        <v>6.3171650000000001</v>
      </c>
      <c r="AL177">
        <v>4.4589879999999997</v>
      </c>
      <c r="AM177">
        <v>0.95551140000000001</v>
      </c>
      <c r="AN177">
        <v>8.7392479999999999</v>
      </c>
      <c r="AO177">
        <v>13.33287</v>
      </c>
      <c r="AP177">
        <v>0.1823216</v>
      </c>
      <c r="AQ177">
        <v>8.2971350000000008</v>
      </c>
      <c r="AR177">
        <v>5.3033000000000001</v>
      </c>
      <c r="AS177">
        <v>2.9285199999999998</v>
      </c>
      <c r="AT177">
        <v>10.2911</v>
      </c>
      <c r="AU177">
        <v>71.039000000000001</v>
      </c>
      <c r="AV177">
        <v>53.939500000000002</v>
      </c>
      <c r="AW177">
        <v>-0.89387000000000005</v>
      </c>
      <c r="AX177" s="17">
        <v>-17000000000</v>
      </c>
      <c r="AY177">
        <v>2.9285199999999998</v>
      </c>
      <c r="AZ177">
        <v>0.79</v>
      </c>
      <c r="BA177">
        <v>3.0685180000000001</v>
      </c>
      <c r="BB177">
        <v>3.0685178999999998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-1.0216499999999999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8.3614999999999991E-3</v>
      </c>
      <c r="CG177">
        <v>0.56668549999999995</v>
      </c>
      <c r="CH177">
        <v>0.39124999999999999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1.9152899999999999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0.32113249999999999</v>
      </c>
      <c r="DI177">
        <v>3.6683340000000002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0.44768150000000001</v>
      </c>
      <c r="DW177">
        <v>1.5130790000000001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13.91194</v>
      </c>
      <c r="EW177">
        <v>7.1665999999999994E-2</v>
      </c>
      <c r="EX177">
        <v>7.1198600000000001E-2</v>
      </c>
      <c r="EY177">
        <v>7.1477299999999994E-2</v>
      </c>
      <c r="EZ177">
        <v>7.13757E-2</v>
      </c>
      <c r="FA177">
        <v>7.1486499999999994E-2</v>
      </c>
      <c r="FB177">
        <v>7.1786600000000006E-2</v>
      </c>
      <c r="FC177">
        <v>7.1399799999999999E-2</v>
      </c>
      <c r="FD177">
        <v>7.1496299999999999E-2</v>
      </c>
      <c r="FE177">
        <v>7.1369299999999997E-2</v>
      </c>
      <c r="FF177">
        <v>7.0879800000000007E-2</v>
      </c>
      <c r="FG177">
        <v>7.1407300000000007E-2</v>
      </c>
      <c r="FH177">
        <v>7.1320300000000003E-2</v>
      </c>
      <c r="FI177">
        <v>7.1759500000000004E-2</v>
      </c>
      <c r="FJ177">
        <v>7.1376899999999993E-2</v>
      </c>
      <c r="FK177">
        <v>0.41633750000000003</v>
      </c>
      <c r="FL177">
        <v>0.17333699999999999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-1.054605</v>
      </c>
      <c r="FZ177">
        <v>1.6340539999999999</v>
      </c>
      <c r="GA177">
        <v>0.36464289999999999</v>
      </c>
      <c r="GB177">
        <v>0.4657578</v>
      </c>
      <c r="GC177">
        <v>0.19154209999999999</v>
      </c>
      <c r="GD177">
        <v>2.5575709999999998</v>
      </c>
      <c r="GE177">
        <v>0.48648409999999997</v>
      </c>
      <c r="GF177">
        <v>1.311728</v>
      </c>
      <c r="GG177">
        <v>-1.2120629999999999</v>
      </c>
      <c r="GH177">
        <v>2.8997470000000001</v>
      </c>
      <c r="GI177">
        <v>8.4085330000000003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0.3289067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2.2907999999999999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1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1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105.9071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1</v>
      </c>
      <c r="NW177">
        <v>1</v>
      </c>
      <c r="NX177">
        <v>1</v>
      </c>
      <c r="NY177">
        <v>1</v>
      </c>
      <c r="NZ177">
        <v>1</v>
      </c>
      <c r="OA177">
        <v>1</v>
      </c>
      <c r="OB177">
        <v>1</v>
      </c>
      <c r="OC177">
        <v>18.7</v>
      </c>
      <c r="OD177">
        <v>29469.8</v>
      </c>
      <c r="OE177">
        <v>0.36</v>
      </c>
      <c r="OF177">
        <v>200.999</v>
      </c>
      <c r="OG177">
        <v>18.7</v>
      </c>
      <c r="OH177">
        <v>71.039000000000001</v>
      </c>
    </row>
    <row r="178" spans="1:398">
      <c r="A178">
        <v>17</v>
      </c>
      <c r="B178" t="s">
        <v>21</v>
      </c>
      <c r="C178" t="s">
        <v>20</v>
      </c>
      <c r="D178">
        <v>2010</v>
      </c>
      <c r="E178">
        <v>13.795</v>
      </c>
      <c r="F178">
        <v>0.80610000000000004</v>
      </c>
      <c r="G178">
        <v>516</v>
      </c>
      <c r="H178">
        <v>4.9000000000000004</v>
      </c>
      <c r="I178">
        <v>72.400000000000006</v>
      </c>
      <c r="J178">
        <v>3.9</v>
      </c>
      <c r="K178">
        <v>123.3</v>
      </c>
      <c r="L178">
        <v>0.2</v>
      </c>
      <c r="M178">
        <v>1.4</v>
      </c>
      <c r="N178">
        <v>27198</v>
      </c>
      <c r="O178">
        <v>2</v>
      </c>
      <c r="P178">
        <v>1.05</v>
      </c>
      <c r="Q178">
        <v>6380.57</v>
      </c>
      <c r="R178">
        <v>41</v>
      </c>
      <c r="S178">
        <v>0.19689999999999999</v>
      </c>
      <c r="T178">
        <v>-0.54517919999999997</v>
      </c>
      <c r="U178">
        <v>-0.88289019999999996</v>
      </c>
      <c r="V178">
        <v>7.6129199999999994E-2</v>
      </c>
      <c r="W178">
        <v>-1.909978</v>
      </c>
      <c r="X178">
        <v>-1.4788349999999999</v>
      </c>
      <c r="Y178">
        <v>-0.69708170000000003</v>
      </c>
      <c r="Z178">
        <v>-0.60705070000000005</v>
      </c>
      <c r="AA178">
        <v>-1.3073250000000001</v>
      </c>
      <c r="AB178">
        <v>-0.45308130000000002</v>
      </c>
      <c r="AC178">
        <v>-0.57505519999999999</v>
      </c>
      <c r="AD178">
        <v>0.57666499999999998</v>
      </c>
      <c r="AE178">
        <v>-0.4318322</v>
      </c>
      <c r="AF178">
        <v>0.14835010000000001</v>
      </c>
      <c r="AG178">
        <v>-0.52965989999999996</v>
      </c>
      <c r="AH178">
        <v>-1.8303579999999999</v>
      </c>
      <c r="AI178">
        <v>2.6243059999999998</v>
      </c>
      <c r="AJ178">
        <v>-0.2155475</v>
      </c>
      <c r="AK178">
        <v>6.2461070000000003</v>
      </c>
      <c r="AL178">
        <v>4.2822069999999997</v>
      </c>
      <c r="AM178">
        <v>1.3609770000000001</v>
      </c>
      <c r="AN178">
        <v>4.8146199999999997</v>
      </c>
      <c r="AO178">
        <v>10.210900000000001</v>
      </c>
      <c r="AP178">
        <v>4.8790100000000003E-2</v>
      </c>
      <c r="AQ178">
        <v>8.7610130000000002</v>
      </c>
      <c r="AR178">
        <v>3.9003199999999998</v>
      </c>
      <c r="AS178">
        <v>3.0680499999999999</v>
      </c>
      <c r="AT178">
        <v>9.2950599999999994</v>
      </c>
      <c r="AU178">
        <v>66.757000000000005</v>
      </c>
      <c r="AV178">
        <v>131.62700000000001</v>
      </c>
      <c r="AW178">
        <v>3.0097</v>
      </c>
      <c r="AX178" s="17">
        <v>1100000000</v>
      </c>
      <c r="AY178">
        <v>3.1986699999999999</v>
      </c>
      <c r="AZ178">
        <v>0.25</v>
      </c>
      <c r="BA178">
        <v>0.69314719999999996</v>
      </c>
      <c r="BB178">
        <v>0.69314717999999997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-0.43078300000000003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1.4139999999999999E-4</v>
      </c>
      <c r="CG178">
        <v>0.3815114</v>
      </c>
      <c r="CH178">
        <v>0.11121399999999999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-1.7419469999999999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0.14555100000000001</v>
      </c>
      <c r="DI178">
        <v>3.0343779999999998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9.5377900000000002E-2</v>
      </c>
      <c r="DW178">
        <v>-0.4354867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13.958539999999999</v>
      </c>
      <c r="EW178">
        <v>7.1353399999999997E-2</v>
      </c>
      <c r="EX178">
        <v>7.1485400000000004E-2</v>
      </c>
      <c r="EY178">
        <v>7.1280899999999994E-2</v>
      </c>
      <c r="EZ178">
        <v>7.1624999999999994E-2</v>
      </c>
      <c r="FA178">
        <v>7.1380600000000002E-2</v>
      </c>
      <c r="FB178">
        <v>7.1477600000000002E-2</v>
      </c>
      <c r="FC178">
        <v>7.1623599999999996E-2</v>
      </c>
      <c r="FD178">
        <v>7.1554599999999996E-2</v>
      </c>
      <c r="FE178">
        <v>7.1384299999999998E-2</v>
      </c>
      <c r="FF178">
        <v>7.1565500000000004E-2</v>
      </c>
      <c r="FG178">
        <v>7.1513199999999999E-2</v>
      </c>
      <c r="FH178">
        <v>7.1187899999999998E-2</v>
      </c>
      <c r="FI178">
        <v>7.1367100000000003E-2</v>
      </c>
      <c r="FJ178">
        <v>7.1200899999999998E-2</v>
      </c>
      <c r="FK178">
        <v>0.1965788</v>
      </c>
      <c r="FL178">
        <v>3.8643200000000003E-2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-0.54517919999999997</v>
      </c>
      <c r="FZ178">
        <v>-0.88289019999999996</v>
      </c>
      <c r="GA178">
        <v>7.6129199999999994E-2</v>
      </c>
      <c r="GB178">
        <v>-1.4788349999999999</v>
      </c>
      <c r="GC178">
        <v>-0.60705070000000005</v>
      </c>
      <c r="GD178">
        <v>-0.57505519999999999</v>
      </c>
      <c r="GE178">
        <v>-0.52965989999999996</v>
      </c>
      <c r="GF178">
        <v>0.57666499999999998</v>
      </c>
      <c r="GG178">
        <v>-0.4318322</v>
      </c>
      <c r="GH178">
        <v>-2.6956229999999999</v>
      </c>
      <c r="GI178">
        <v>7.2663820000000001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4.9144699999999999E-2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-0.67390570000000005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  <c r="KN178">
        <v>1</v>
      </c>
      <c r="KO178">
        <v>1</v>
      </c>
      <c r="KP178">
        <v>1</v>
      </c>
      <c r="KQ178">
        <v>1</v>
      </c>
      <c r="KR178">
        <v>1</v>
      </c>
      <c r="KS178">
        <v>1</v>
      </c>
      <c r="KT178">
        <v>1</v>
      </c>
      <c r="KU178">
        <v>1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1</v>
      </c>
      <c r="LR178">
        <v>1</v>
      </c>
      <c r="LS178">
        <v>1</v>
      </c>
      <c r="LT178">
        <v>1</v>
      </c>
      <c r="LU178">
        <v>1</v>
      </c>
      <c r="LV178">
        <v>1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1</v>
      </c>
      <c r="MI178">
        <v>1</v>
      </c>
      <c r="MJ178">
        <v>1</v>
      </c>
      <c r="MK178">
        <v>1</v>
      </c>
      <c r="ML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>
        <v>86.398110000000003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1</v>
      </c>
      <c r="NW178">
        <v>1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24.5</v>
      </c>
      <c r="OD178">
        <v>10884.1</v>
      </c>
      <c r="OE178">
        <v>0.65</v>
      </c>
      <c r="OF178">
        <v>49.418100000000003</v>
      </c>
      <c r="OG178">
        <v>21.5</v>
      </c>
      <c r="OH178">
        <v>66.757000000000005</v>
      </c>
    </row>
    <row r="179" spans="1:398">
      <c r="A179">
        <v>17</v>
      </c>
      <c r="B179" t="s">
        <v>21</v>
      </c>
      <c r="C179" t="s">
        <v>20</v>
      </c>
      <c r="D179">
        <v>2011</v>
      </c>
      <c r="E179">
        <v>15.941000000000001</v>
      </c>
      <c r="F179">
        <v>0.78800000000000003</v>
      </c>
      <c r="G179">
        <v>523</v>
      </c>
      <c r="H179">
        <v>20</v>
      </c>
      <c r="I179">
        <v>70.3</v>
      </c>
      <c r="J179">
        <v>3.6</v>
      </c>
      <c r="K179">
        <v>347.2</v>
      </c>
      <c r="L179">
        <v>0.3</v>
      </c>
      <c r="M179">
        <v>1.4</v>
      </c>
      <c r="N179">
        <v>29071</v>
      </c>
      <c r="O179">
        <v>1.5</v>
      </c>
      <c r="P179">
        <v>1.03</v>
      </c>
      <c r="Q179">
        <v>6053.33</v>
      </c>
      <c r="R179">
        <v>40.299999999999997</v>
      </c>
      <c r="S179">
        <v>0.21354899999999999</v>
      </c>
      <c r="T179">
        <v>-0.28445229999999999</v>
      </c>
      <c r="U179">
        <v>-0.9002616</v>
      </c>
      <c r="V179">
        <v>0.12927640000000001</v>
      </c>
      <c r="W179">
        <v>-0.9379478</v>
      </c>
      <c r="X179">
        <v>-1.770524</v>
      </c>
      <c r="Y179">
        <v>-0.74512109999999998</v>
      </c>
      <c r="Z179">
        <v>-0.57783370000000001</v>
      </c>
      <c r="AA179">
        <v>-1.029191</v>
      </c>
      <c r="AB179">
        <v>-0.45308130000000002</v>
      </c>
      <c r="AC179">
        <v>-0.56510959999999999</v>
      </c>
      <c r="AD179">
        <v>0.47865679999999999</v>
      </c>
      <c r="AE179">
        <v>-0.53964710000000005</v>
      </c>
      <c r="AF179">
        <v>0.1114754</v>
      </c>
      <c r="AG179">
        <v>-0.55570160000000002</v>
      </c>
      <c r="AH179">
        <v>-1.4744379999999999</v>
      </c>
      <c r="AI179">
        <v>2.768894</v>
      </c>
      <c r="AJ179">
        <v>-0.2382572</v>
      </c>
      <c r="AK179">
        <v>6.259582</v>
      </c>
      <c r="AL179">
        <v>4.2527720000000002</v>
      </c>
      <c r="AM179">
        <v>1.280934</v>
      </c>
      <c r="AN179">
        <v>5.849901</v>
      </c>
      <c r="AO179">
        <v>10.2775</v>
      </c>
      <c r="AP179">
        <v>2.95588E-2</v>
      </c>
      <c r="AQ179">
        <v>8.7083639999999995</v>
      </c>
      <c r="AR179">
        <v>3.8777499999999998</v>
      </c>
      <c r="AS179">
        <v>3.12236</v>
      </c>
      <c r="AT179">
        <v>9.3789599999999993</v>
      </c>
      <c r="AU179">
        <v>66.741</v>
      </c>
      <c r="AV179">
        <v>149.64500000000001</v>
      </c>
      <c r="AW179">
        <v>4.3550899999999997</v>
      </c>
      <c r="AX179" s="17">
        <v>1900000000</v>
      </c>
      <c r="AY179">
        <v>3.2581000000000002</v>
      </c>
      <c r="AZ179">
        <v>0.23</v>
      </c>
      <c r="BA179">
        <v>0.40546510000000002</v>
      </c>
      <c r="BB179">
        <v>0.40546510000000002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-0.69314699999999996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2.8024999999999999E-3</v>
      </c>
      <c r="CG179">
        <v>0.40531669999999997</v>
      </c>
      <c r="CH179">
        <v>0.120173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-1.2970060000000001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0.1642816</v>
      </c>
      <c r="DI179">
        <v>1.682226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9.3222799999999995E-2</v>
      </c>
      <c r="DW179">
        <v>-0.29831150000000001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13.95534</v>
      </c>
      <c r="EW179">
        <v>7.1335099999999999E-2</v>
      </c>
      <c r="EX179">
        <v>7.1506700000000006E-2</v>
      </c>
      <c r="EY179">
        <v>7.1291400000000005E-2</v>
      </c>
      <c r="EZ179">
        <v>7.1449899999999997E-2</v>
      </c>
      <c r="FA179">
        <v>7.1418800000000005E-2</v>
      </c>
      <c r="FB179">
        <v>7.1509600000000006E-2</v>
      </c>
      <c r="FC179">
        <v>7.1614700000000003E-2</v>
      </c>
      <c r="FD179">
        <v>7.1502399999999994E-2</v>
      </c>
      <c r="FE179">
        <v>7.1401400000000004E-2</v>
      </c>
      <c r="FF179">
        <v>7.1577299999999996E-2</v>
      </c>
      <c r="FG179">
        <v>7.1540599999999996E-2</v>
      </c>
      <c r="FH179">
        <v>7.1220900000000004E-2</v>
      </c>
      <c r="FI179">
        <v>7.1403800000000003E-2</v>
      </c>
      <c r="FJ179">
        <v>7.1227299999999993E-2</v>
      </c>
      <c r="FK179">
        <v>0.21329390000000001</v>
      </c>
      <c r="FL179">
        <v>4.5494300000000001E-2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-0.28445229999999999</v>
      </c>
      <c r="FZ179">
        <v>-0.9002616</v>
      </c>
      <c r="GA179">
        <v>0.12927640000000001</v>
      </c>
      <c r="GB179">
        <v>-1.770524</v>
      </c>
      <c r="GC179">
        <v>-0.57783370000000001</v>
      </c>
      <c r="GD179">
        <v>-0.56510959999999999</v>
      </c>
      <c r="GE179">
        <v>-0.55570160000000002</v>
      </c>
      <c r="GF179">
        <v>0.47865679999999999</v>
      </c>
      <c r="GG179">
        <v>-0.53964710000000005</v>
      </c>
      <c r="GH179">
        <v>-2.1683560000000002</v>
      </c>
      <c r="GI179">
        <v>4.7017660000000001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4.90576E-2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-0.49872179999999999</v>
      </c>
      <c r="HJ179">
        <v>1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1</v>
      </c>
      <c r="KH179">
        <v>1</v>
      </c>
      <c r="KI179">
        <v>1</v>
      </c>
      <c r="KJ179">
        <v>1</v>
      </c>
      <c r="KK179">
        <v>1</v>
      </c>
      <c r="KL179">
        <v>1</v>
      </c>
      <c r="KM179">
        <v>1</v>
      </c>
      <c r="KN179">
        <v>1</v>
      </c>
      <c r="KO179">
        <v>1</v>
      </c>
      <c r="KP179">
        <v>1</v>
      </c>
      <c r="KQ179">
        <v>1</v>
      </c>
      <c r="KR179">
        <v>1</v>
      </c>
      <c r="KS179">
        <v>1</v>
      </c>
      <c r="KT179">
        <v>1</v>
      </c>
      <c r="KU179">
        <v>1</v>
      </c>
      <c r="KV179">
        <v>1</v>
      </c>
      <c r="KW179">
        <v>1</v>
      </c>
      <c r="KX179">
        <v>1</v>
      </c>
      <c r="KY179">
        <v>1</v>
      </c>
      <c r="KZ179">
        <v>1</v>
      </c>
      <c r="LA179">
        <v>1</v>
      </c>
      <c r="LB179">
        <v>1</v>
      </c>
      <c r="LC179">
        <v>1</v>
      </c>
      <c r="LD179">
        <v>1</v>
      </c>
      <c r="LE179">
        <v>1</v>
      </c>
      <c r="LF179">
        <v>1</v>
      </c>
      <c r="LG179">
        <v>1</v>
      </c>
      <c r="LH179">
        <v>1</v>
      </c>
      <c r="LI179">
        <v>1</v>
      </c>
      <c r="LJ179">
        <v>1</v>
      </c>
      <c r="LK179">
        <v>1</v>
      </c>
      <c r="LL179">
        <v>1</v>
      </c>
      <c r="LM179">
        <v>1</v>
      </c>
      <c r="LN179">
        <v>1</v>
      </c>
      <c r="LO179">
        <v>1</v>
      </c>
      <c r="LP179">
        <v>1</v>
      </c>
      <c r="LQ179">
        <v>1</v>
      </c>
      <c r="LR179">
        <v>1</v>
      </c>
      <c r="LS179">
        <v>1</v>
      </c>
      <c r="LT179">
        <v>1</v>
      </c>
      <c r="LU179">
        <v>1</v>
      </c>
      <c r="LV179">
        <v>1</v>
      </c>
      <c r="LW179">
        <v>1</v>
      </c>
      <c r="LX179">
        <v>1</v>
      </c>
      <c r="LY179">
        <v>1</v>
      </c>
      <c r="LZ179">
        <v>1</v>
      </c>
      <c r="MA179">
        <v>1</v>
      </c>
      <c r="MB179">
        <v>1</v>
      </c>
      <c r="MC179">
        <v>1</v>
      </c>
      <c r="MD179">
        <v>1</v>
      </c>
      <c r="ME179">
        <v>1</v>
      </c>
      <c r="MF179">
        <v>1</v>
      </c>
      <c r="MG179">
        <v>1</v>
      </c>
      <c r="MH179">
        <v>1</v>
      </c>
      <c r="MI179">
        <v>1</v>
      </c>
      <c r="MJ179">
        <v>1</v>
      </c>
      <c r="MK179">
        <v>1</v>
      </c>
      <c r="ML179">
        <v>1</v>
      </c>
      <c r="MM179">
        <v>1</v>
      </c>
      <c r="MN179">
        <v>1</v>
      </c>
      <c r="MO179">
        <v>1</v>
      </c>
      <c r="MP179">
        <v>1</v>
      </c>
      <c r="MQ179">
        <v>1</v>
      </c>
      <c r="MR179">
        <v>1</v>
      </c>
      <c r="MS179">
        <v>1</v>
      </c>
      <c r="MT179">
        <v>1</v>
      </c>
      <c r="MU179">
        <v>1</v>
      </c>
      <c r="MV179">
        <v>1</v>
      </c>
      <c r="MW179">
        <v>1</v>
      </c>
      <c r="MX179">
        <v>1</v>
      </c>
      <c r="MY179">
        <v>1</v>
      </c>
      <c r="MZ179">
        <v>1</v>
      </c>
      <c r="NA179">
        <v>1</v>
      </c>
      <c r="NB179">
        <v>1</v>
      </c>
      <c r="NC179">
        <v>1</v>
      </c>
      <c r="ND179">
        <v>1</v>
      </c>
      <c r="NE179">
        <v>1</v>
      </c>
      <c r="NF179">
        <v>1</v>
      </c>
      <c r="NG179">
        <v>1</v>
      </c>
      <c r="NH179">
        <v>1</v>
      </c>
      <c r="NI179">
        <v>1</v>
      </c>
      <c r="NJ179">
        <v>1</v>
      </c>
      <c r="NK179">
        <v>1</v>
      </c>
      <c r="NL179">
        <v>1</v>
      </c>
      <c r="NM179">
        <v>1</v>
      </c>
      <c r="NN179">
        <v>1</v>
      </c>
      <c r="NO179">
        <v>1</v>
      </c>
      <c r="NP179">
        <v>87.9649</v>
      </c>
      <c r="NQ179">
        <v>1</v>
      </c>
      <c r="NR179">
        <v>1</v>
      </c>
      <c r="NS179">
        <v>1</v>
      </c>
      <c r="NT179">
        <v>1</v>
      </c>
      <c r="NU179">
        <v>1</v>
      </c>
      <c r="NV179">
        <v>1</v>
      </c>
      <c r="NW179">
        <v>1</v>
      </c>
      <c r="NX179">
        <v>1</v>
      </c>
      <c r="NY179">
        <v>1</v>
      </c>
      <c r="NZ179">
        <v>1</v>
      </c>
      <c r="OA179">
        <v>1</v>
      </c>
      <c r="OB179">
        <v>1</v>
      </c>
      <c r="OC179">
        <v>26</v>
      </c>
      <c r="OD179">
        <v>11836.7</v>
      </c>
      <c r="OE179">
        <v>0.5</v>
      </c>
      <c r="OF179">
        <v>48.315300000000001</v>
      </c>
      <c r="OG179">
        <v>22.7</v>
      </c>
      <c r="OH179">
        <v>66.741</v>
      </c>
    </row>
    <row r="180" spans="1:398">
      <c r="A180">
        <v>17</v>
      </c>
      <c r="B180" t="s">
        <v>21</v>
      </c>
      <c r="C180" t="s">
        <v>20</v>
      </c>
      <c r="D180">
        <v>2012</v>
      </c>
      <c r="E180">
        <v>14.603999999999999</v>
      </c>
      <c r="F180">
        <v>0.89180000000000004</v>
      </c>
      <c r="G180">
        <v>523</v>
      </c>
      <c r="H180">
        <v>23.5</v>
      </c>
      <c r="I180">
        <v>68.7</v>
      </c>
      <c r="J180">
        <v>3.8</v>
      </c>
      <c r="K180">
        <v>358.9</v>
      </c>
      <c r="L180">
        <v>0.4</v>
      </c>
      <c r="M180">
        <v>1.4</v>
      </c>
      <c r="N180">
        <v>30335</v>
      </c>
      <c r="O180">
        <v>1.1399999999999999</v>
      </c>
      <c r="P180">
        <v>0.99</v>
      </c>
      <c r="Q180">
        <v>6359.71</v>
      </c>
      <c r="R180">
        <v>41.8</v>
      </c>
      <c r="S180">
        <v>0.21940499999999999</v>
      </c>
      <c r="T180">
        <v>-0.44689030000000002</v>
      </c>
      <c r="U180">
        <v>-0.80063960000000001</v>
      </c>
      <c r="V180">
        <v>0.12927640000000001</v>
      </c>
      <c r="W180">
        <v>-0.71264260000000001</v>
      </c>
      <c r="X180">
        <v>-1.992764</v>
      </c>
      <c r="Y180">
        <v>-0.71309480000000003</v>
      </c>
      <c r="Z180">
        <v>-0.57630689999999996</v>
      </c>
      <c r="AA180">
        <v>-0.75105639999999996</v>
      </c>
      <c r="AB180">
        <v>-0.45308130000000002</v>
      </c>
      <c r="AC180">
        <v>-0.55839780000000006</v>
      </c>
      <c r="AD180">
        <v>0.28264030000000001</v>
      </c>
      <c r="AE180">
        <v>-0.43870520000000002</v>
      </c>
      <c r="AF180">
        <v>0.19049260000000001</v>
      </c>
      <c r="AG180">
        <v>-0.5744515</v>
      </c>
      <c r="AH180">
        <v>-1.236092</v>
      </c>
      <c r="AI180">
        <v>2.681295</v>
      </c>
      <c r="AJ180">
        <v>-0.1145134</v>
      </c>
      <c r="AK180">
        <v>6.259582</v>
      </c>
      <c r="AL180">
        <v>4.229749</v>
      </c>
      <c r="AM180">
        <v>1.3350010000000001</v>
      </c>
      <c r="AN180">
        <v>5.8830439999999999</v>
      </c>
      <c r="AO180">
        <v>10.32006</v>
      </c>
      <c r="AP180">
        <v>-1.00503E-2</v>
      </c>
      <c r="AQ180">
        <v>8.7577379999999998</v>
      </c>
      <c r="AR180">
        <v>3.8643399999999999</v>
      </c>
      <c r="AS180">
        <v>3.17388</v>
      </c>
      <c r="AT180">
        <v>9.4352699999999992</v>
      </c>
      <c r="AU180">
        <v>66.864000000000004</v>
      </c>
      <c r="AV180">
        <v>156.63900000000001</v>
      </c>
      <c r="AW180">
        <v>1.5855600000000001</v>
      </c>
      <c r="AX180" s="17">
        <v>680000000</v>
      </c>
      <c r="AY180">
        <v>3.2958400000000001</v>
      </c>
      <c r="AZ180">
        <v>0.23</v>
      </c>
      <c r="BA180">
        <v>0.13102820000000001</v>
      </c>
      <c r="BB180">
        <v>0.13102825000000001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-0.967584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3.4077000000000001E-3</v>
      </c>
      <c r="CG180">
        <v>0.41143020000000002</v>
      </c>
      <c r="CH180">
        <v>0.12609100000000001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-1.0378430000000001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0.1692748</v>
      </c>
      <c r="DI180">
        <v>1.077118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9.4629000000000005E-2</v>
      </c>
      <c r="DW180">
        <v>-0.2387039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13.95411</v>
      </c>
      <c r="EW180">
        <v>7.13646E-2</v>
      </c>
      <c r="EX180">
        <v>7.1486999999999995E-2</v>
      </c>
      <c r="EY180">
        <v>7.1299299999999996E-2</v>
      </c>
      <c r="EZ180">
        <v>7.1419800000000006E-2</v>
      </c>
      <c r="FA180">
        <v>7.1442099999999994E-2</v>
      </c>
      <c r="FB180">
        <v>7.1505899999999997E-2</v>
      </c>
      <c r="FC180">
        <v>7.1619699999999994E-2</v>
      </c>
      <c r="FD180">
        <v>7.1446999999999997E-2</v>
      </c>
      <c r="FE180">
        <v>7.14085E-2</v>
      </c>
      <c r="FF180">
        <v>7.1580599999999994E-2</v>
      </c>
      <c r="FG180">
        <v>7.1554999999999994E-2</v>
      </c>
      <c r="FH180">
        <v>7.1258000000000002E-2</v>
      </c>
      <c r="FI180">
        <v>7.1392700000000003E-2</v>
      </c>
      <c r="FJ180">
        <v>7.1219699999999997E-2</v>
      </c>
      <c r="FK180">
        <v>0.2191767</v>
      </c>
      <c r="FL180">
        <v>4.8038400000000002E-2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-0.44689030000000002</v>
      </c>
      <c r="FZ180">
        <v>-0.80063960000000001</v>
      </c>
      <c r="GA180">
        <v>0.12927640000000001</v>
      </c>
      <c r="GB180">
        <v>-1.992764</v>
      </c>
      <c r="GC180">
        <v>-0.57630689999999996</v>
      </c>
      <c r="GD180">
        <v>-0.55839780000000006</v>
      </c>
      <c r="GE180">
        <v>-0.5744515</v>
      </c>
      <c r="GF180">
        <v>0.28264030000000001</v>
      </c>
      <c r="GG180">
        <v>-0.43870520000000002</v>
      </c>
      <c r="GH180">
        <v>-1.851977</v>
      </c>
      <c r="GI180">
        <v>3.4298190000000002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5.0410700000000003E-2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-0.42595470000000002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1</v>
      </c>
      <c r="KE180">
        <v>1</v>
      </c>
      <c r="KF180">
        <v>1</v>
      </c>
      <c r="KG180">
        <v>1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1</v>
      </c>
      <c r="KN180">
        <v>1</v>
      </c>
      <c r="KO180">
        <v>1</v>
      </c>
      <c r="KP180">
        <v>1</v>
      </c>
      <c r="KQ180">
        <v>1</v>
      </c>
      <c r="KR180">
        <v>1</v>
      </c>
      <c r="KS180">
        <v>1</v>
      </c>
      <c r="KT180">
        <v>1</v>
      </c>
      <c r="KU180">
        <v>1</v>
      </c>
      <c r="KV180">
        <v>1</v>
      </c>
      <c r="KW180">
        <v>1</v>
      </c>
      <c r="KX180">
        <v>1</v>
      </c>
      <c r="KY180">
        <v>1</v>
      </c>
      <c r="KZ180">
        <v>1</v>
      </c>
      <c r="LA180">
        <v>1</v>
      </c>
      <c r="LB180">
        <v>1</v>
      </c>
      <c r="LC180">
        <v>1</v>
      </c>
      <c r="LD180">
        <v>1</v>
      </c>
      <c r="LE180">
        <v>1</v>
      </c>
      <c r="LF180">
        <v>1</v>
      </c>
      <c r="LG180">
        <v>1</v>
      </c>
      <c r="LH180">
        <v>1</v>
      </c>
      <c r="LI180">
        <v>1</v>
      </c>
      <c r="LJ180">
        <v>1</v>
      </c>
      <c r="LK180">
        <v>1</v>
      </c>
      <c r="LL180">
        <v>1</v>
      </c>
      <c r="LM180">
        <v>1</v>
      </c>
      <c r="LN180">
        <v>1</v>
      </c>
      <c r="LO180">
        <v>1</v>
      </c>
      <c r="LP180">
        <v>1</v>
      </c>
      <c r="LQ180">
        <v>1</v>
      </c>
      <c r="LR180">
        <v>1</v>
      </c>
      <c r="LS180">
        <v>1</v>
      </c>
      <c r="LT180">
        <v>1</v>
      </c>
      <c r="LU180">
        <v>1</v>
      </c>
      <c r="LV180">
        <v>1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1</v>
      </c>
      <c r="ME180">
        <v>1</v>
      </c>
      <c r="MF180">
        <v>1</v>
      </c>
      <c r="MG180">
        <v>1</v>
      </c>
      <c r="MH180">
        <v>1</v>
      </c>
      <c r="MI180">
        <v>1</v>
      </c>
      <c r="MJ180">
        <v>1</v>
      </c>
      <c r="MK180">
        <v>1</v>
      </c>
      <c r="ML180">
        <v>1</v>
      </c>
      <c r="MM180">
        <v>1</v>
      </c>
      <c r="MN180">
        <v>1</v>
      </c>
      <c r="MO180">
        <v>1</v>
      </c>
      <c r="MP180">
        <v>1</v>
      </c>
      <c r="MQ180">
        <v>1</v>
      </c>
      <c r="MR180">
        <v>1</v>
      </c>
      <c r="MS180">
        <v>1</v>
      </c>
      <c r="MT180">
        <v>1</v>
      </c>
      <c r="MU180">
        <v>1</v>
      </c>
      <c r="MV180">
        <v>1</v>
      </c>
      <c r="MW180">
        <v>1</v>
      </c>
      <c r="MX180">
        <v>1</v>
      </c>
      <c r="MY180">
        <v>1</v>
      </c>
      <c r="MZ180">
        <v>1</v>
      </c>
      <c r="NA180">
        <v>1</v>
      </c>
      <c r="NB180">
        <v>1</v>
      </c>
      <c r="NC180">
        <v>1</v>
      </c>
      <c r="ND180">
        <v>1</v>
      </c>
      <c r="NE180">
        <v>1</v>
      </c>
      <c r="NF180">
        <v>1</v>
      </c>
      <c r="NG180">
        <v>1</v>
      </c>
      <c r="NH180">
        <v>1</v>
      </c>
      <c r="NI180">
        <v>1</v>
      </c>
      <c r="NJ180">
        <v>1</v>
      </c>
      <c r="NK180">
        <v>1</v>
      </c>
      <c r="NL180">
        <v>1</v>
      </c>
      <c r="NM180">
        <v>1</v>
      </c>
      <c r="NN180">
        <v>1</v>
      </c>
      <c r="NO180">
        <v>1</v>
      </c>
      <c r="NP180">
        <v>89.024240000000006</v>
      </c>
      <c r="NQ180">
        <v>1</v>
      </c>
      <c r="NR180">
        <v>1</v>
      </c>
      <c r="NS180">
        <v>1</v>
      </c>
      <c r="NT180">
        <v>1</v>
      </c>
      <c r="NU180">
        <v>1</v>
      </c>
      <c r="NV180">
        <v>1</v>
      </c>
      <c r="NW180">
        <v>1</v>
      </c>
      <c r="NX180">
        <v>1</v>
      </c>
      <c r="NY180">
        <v>1</v>
      </c>
      <c r="NZ180">
        <v>1</v>
      </c>
      <c r="OA180">
        <v>1</v>
      </c>
      <c r="OB180">
        <v>1</v>
      </c>
      <c r="OC180">
        <v>27</v>
      </c>
      <c r="OD180">
        <v>12522.3</v>
      </c>
      <c r="OE180">
        <v>0.38</v>
      </c>
      <c r="OF180">
        <v>47.671599999999998</v>
      </c>
      <c r="OG180">
        <v>23.9</v>
      </c>
      <c r="OH180">
        <v>66.864000000000004</v>
      </c>
    </row>
    <row r="181" spans="1:398">
      <c r="A181">
        <v>17</v>
      </c>
      <c r="B181" t="s">
        <v>21</v>
      </c>
      <c r="C181" t="s">
        <v>20</v>
      </c>
      <c r="D181">
        <v>2013</v>
      </c>
      <c r="E181">
        <v>17.414999999999999</v>
      </c>
      <c r="F181">
        <v>0.76290000000000002</v>
      </c>
      <c r="G181">
        <v>539</v>
      </c>
      <c r="H181">
        <v>27.8</v>
      </c>
      <c r="I181">
        <v>69.5</v>
      </c>
      <c r="J181">
        <v>3.1</v>
      </c>
      <c r="K181">
        <v>363.2</v>
      </c>
      <c r="L181">
        <v>0.5</v>
      </c>
      <c r="M181">
        <v>1.4</v>
      </c>
      <c r="N181">
        <v>33120</v>
      </c>
      <c r="O181">
        <v>1</v>
      </c>
      <c r="P181">
        <v>0.97</v>
      </c>
      <c r="Q181">
        <v>6645.58</v>
      </c>
      <c r="R181">
        <v>38.6</v>
      </c>
      <c r="S181">
        <v>0.227268</v>
      </c>
      <c r="T181">
        <v>-0.1053695</v>
      </c>
      <c r="U181">
        <v>-0.92435140000000005</v>
      </c>
      <c r="V181">
        <v>0.25075589999999998</v>
      </c>
      <c r="W181">
        <v>-0.43583919999999998</v>
      </c>
      <c r="X181">
        <v>-1.8816440000000001</v>
      </c>
      <c r="Y181">
        <v>-0.82518650000000004</v>
      </c>
      <c r="Z181">
        <v>-0.57574579999999997</v>
      </c>
      <c r="AA181">
        <v>-0.47292210000000001</v>
      </c>
      <c r="AB181">
        <v>-0.45308130000000002</v>
      </c>
      <c r="AC181">
        <v>-0.54360949999999997</v>
      </c>
      <c r="AD181">
        <v>0.18463199999999999</v>
      </c>
      <c r="AE181">
        <v>-0.34452349999999998</v>
      </c>
      <c r="AF181">
        <v>2.1922500000000001E-2</v>
      </c>
      <c r="AG181">
        <v>-0.58174320000000002</v>
      </c>
      <c r="AH181">
        <v>-1.2719609999999999</v>
      </c>
      <c r="AI181">
        <v>2.857332</v>
      </c>
      <c r="AJ181">
        <v>-0.27062829999999999</v>
      </c>
      <c r="AK181">
        <v>6.2897160000000003</v>
      </c>
      <c r="AL181">
        <v>4.2413270000000001</v>
      </c>
      <c r="AM181">
        <v>1.131402</v>
      </c>
      <c r="AN181">
        <v>5.8949540000000002</v>
      </c>
      <c r="AO181">
        <v>10.40789</v>
      </c>
      <c r="AP181">
        <v>-3.0459199999999999E-2</v>
      </c>
      <c r="AQ181">
        <v>8.8017070000000004</v>
      </c>
      <c r="AR181">
        <v>3.8542000000000001</v>
      </c>
      <c r="AS181">
        <v>3.2695699999999999</v>
      </c>
      <c r="AT181">
        <v>9.4850600000000007</v>
      </c>
      <c r="AU181">
        <v>66.986000000000004</v>
      </c>
      <c r="AV181">
        <v>156.62700000000001</v>
      </c>
      <c r="AW181">
        <v>1.66004</v>
      </c>
      <c r="AX181" s="17">
        <v>770000000</v>
      </c>
      <c r="AY181">
        <v>3.2958400000000001</v>
      </c>
      <c r="AZ181">
        <v>0.22</v>
      </c>
      <c r="BA181">
        <v>0</v>
      </c>
      <c r="BB181">
        <v>0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-1.07881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4.1457999999999998E-3</v>
      </c>
      <c r="CG181">
        <v>0.4210139</v>
      </c>
      <c r="CH181">
        <v>0.12712999999999999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-1.138269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0.17725270000000001</v>
      </c>
      <c r="DI181">
        <v>1.2956559999999999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9.26231E-2</v>
      </c>
      <c r="DW181">
        <v>-0.25041910000000001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13.953239999999999</v>
      </c>
      <c r="EW181">
        <v>7.1324600000000002E-2</v>
      </c>
      <c r="EX181">
        <v>7.1524500000000005E-2</v>
      </c>
      <c r="EY181">
        <v>7.1288599999999994E-2</v>
      </c>
      <c r="EZ181">
        <v>7.1381700000000006E-2</v>
      </c>
      <c r="FA181">
        <v>7.14389E-2</v>
      </c>
      <c r="FB181">
        <v>7.1547100000000002E-2</v>
      </c>
      <c r="FC181">
        <v>7.1623800000000001E-2</v>
      </c>
      <c r="FD181">
        <v>7.1394399999999997E-2</v>
      </c>
      <c r="FE181">
        <v>7.1413699999999997E-2</v>
      </c>
      <c r="FF181">
        <v>7.1578299999999997E-2</v>
      </c>
      <c r="FG181">
        <v>7.1562700000000007E-2</v>
      </c>
      <c r="FH181">
        <v>7.1278900000000006E-2</v>
      </c>
      <c r="FI181">
        <v>7.1381399999999998E-2</v>
      </c>
      <c r="FJ181">
        <v>7.1261400000000003E-2</v>
      </c>
      <c r="FK181">
        <v>0.22702839999999999</v>
      </c>
      <c r="FL181">
        <v>5.1541900000000002E-2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-0.1053695</v>
      </c>
      <c r="FZ181">
        <v>-0.92435140000000005</v>
      </c>
      <c r="GA181">
        <v>0.25075589999999998</v>
      </c>
      <c r="GB181">
        <v>-1.8816440000000001</v>
      </c>
      <c r="GC181">
        <v>-0.57574579999999997</v>
      </c>
      <c r="GD181">
        <v>-0.54360949999999997</v>
      </c>
      <c r="GE181">
        <v>-0.58174320000000002</v>
      </c>
      <c r="GF181">
        <v>0.18463199999999999</v>
      </c>
      <c r="GG181">
        <v>-0.34452349999999998</v>
      </c>
      <c r="GH181">
        <v>-1.8568389999999999</v>
      </c>
      <c r="GI181">
        <v>3.4478520000000001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4.9946200000000003E-2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-0.4085046</v>
      </c>
      <c r="HJ181">
        <v>1</v>
      </c>
      <c r="HK181">
        <v>1</v>
      </c>
      <c r="HL181">
        <v>1</v>
      </c>
      <c r="HM181">
        <v>1</v>
      </c>
      <c r="HN181">
        <v>1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1</v>
      </c>
      <c r="IO181">
        <v>1</v>
      </c>
      <c r="IP181">
        <v>1</v>
      </c>
      <c r="IQ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1</v>
      </c>
      <c r="IZ181">
        <v>1</v>
      </c>
      <c r="JA181">
        <v>1</v>
      </c>
      <c r="JB181">
        <v>1</v>
      </c>
      <c r="JC181">
        <v>1</v>
      </c>
      <c r="JD181">
        <v>1</v>
      </c>
      <c r="JE181">
        <v>1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1</v>
      </c>
      <c r="JL181">
        <v>1</v>
      </c>
      <c r="JM181">
        <v>1</v>
      </c>
      <c r="JN181">
        <v>1</v>
      </c>
      <c r="JO181">
        <v>1</v>
      </c>
      <c r="JP181">
        <v>1</v>
      </c>
      <c r="JQ181">
        <v>1</v>
      </c>
      <c r="JR181">
        <v>1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1</v>
      </c>
      <c r="KD181">
        <v>1</v>
      </c>
      <c r="KE181">
        <v>1</v>
      </c>
      <c r="KF181">
        <v>1</v>
      </c>
      <c r="KG181">
        <v>1</v>
      </c>
      <c r="KH181">
        <v>1</v>
      </c>
      <c r="KI181">
        <v>1</v>
      </c>
      <c r="KJ181">
        <v>1</v>
      </c>
      <c r="KK181">
        <v>1</v>
      </c>
      <c r="KL181">
        <v>1</v>
      </c>
      <c r="KM181">
        <v>1</v>
      </c>
      <c r="KN181">
        <v>1</v>
      </c>
      <c r="KO181">
        <v>1</v>
      </c>
      <c r="KP181">
        <v>1</v>
      </c>
      <c r="KQ181">
        <v>1</v>
      </c>
      <c r="KR181">
        <v>1</v>
      </c>
      <c r="KS181">
        <v>1</v>
      </c>
      <c r="KT181">
        <v>1</v>
      </c>
      <c r="KU181">
        <v>1</v>
      </c>
      <c r="KV181">
        <v>1</v>
      </c>
      <c r="KW181">
        <v>1</v>
      </c>
      <c r="KX181">
        <v>1</v>
      </c>
      <c r="KY181">
        <v>1</v>
      </c>
      <c r="KZ181">
        <v>1</v>
      </c>
      <c r="LA181">
        <v>1</v>
      </c>
      <c r="LB181">
        <v>1</v>
      </c>
      <c r="LC181">
        <v>1</v>
      </c>
      <c r="LD181">
        <v>1</v>
      </c>
      <c r="LE181">
        <v>1</v>
      </c>
      <c r="LF181">
        <v>1</v>
      </c>
      <c r="LG181">
        <v>1</v>
      </c>
      <c r="LH181">
        <v>1</v>
      </c>
      <c r="LI181">
        <v>1</v>
      </c>
      <c r="LJ181">
        <v>1</v>
      </c>
      <c r="LK181">
        <v>1</v>
      </c>
      <c r="LL181">
        <v>1</v>
      </c>
      <c r="LM181">
        <v>1</v>
      </c>
      <c r="LN181">
        <v>1</v>
      </c>
      <c r="LO181">
        <v>1</v>
      </c>
      <c r="LP181">
        <v>1</v>
      </c>
      <c r="LQ181">
        <v>1</v>
      </c>
      <c r="LR181">
        <v>1</v>
      </c>
      <c r="LS181">
        <v>1</v>
      </c>
      <c r="LT181">
        <v>1</v>
      </c>
      <c r="LU181">
        <v>1</v>
      </c>
      <c r="LV181">
        <v>1</v>
      </c>
      <c r="LW181">
        <v>1</v>
      </c>
      <c r="LX181">
        <v>1</v>
      </c>
      <c r="LY181">
        <v>1</v>
      </c>
      <c r="LZ181">
        <v>1</v>
      </c>
      <c r="MA181">
        <v>1</v>
      </c>
      <c r="MB181">
        <v>1</v>
      </c>
      <c r="MC181">
        <v>1</v>
      </c>
      <c r="MD181">
        <v>1</v>
      </c>
      <c r="ME181">
        <v>1</v>
      </c>
      <c r="MF181">
        <v>1</v>
      </c>
      <c r="MG181">
        <v>1</v>
      </c>
      <c r="MH181">
        <v>1</v>
      </c>
      <c r="MI181">
        <v>1</v>
      </c>
      <c r="MJ181">
        <v>1</v>
      </c>
      <c r="MK181">
        <v>1</v>
      </c>
      <c r="ML181">
        <v>1</v>
      </c>
      <c r="MM181">
        <v>1</v>
      </c>
      <c r="MN181">
        <v>1</v>
      </c>
      <c r="MO181">
        <v>1</v>
      </c>
      <c r="MP181">
        <v>1</v>
      </c>
      <c r="MQ181">
        <v>1</v>
      </c>
      <c r="MR181">
        <v>1</v>
      </c>
      <c r="MS181">
        <v>1</v>
      </c>
      <c r="MT181">
        <v>1</v>
      </c>
      <c r="MU181">
        <v>1</v>
      </c>
      <c r="MV181">
        <v>1</v>
      </c>
      <c r="MW181">
        <v>1</v>
      </c>
      <c r="MX181">
        <v>1</v>
      </c>
      <c r="MY181">
        <v>1</v>
      </c>
      <c r="MZ181">
        <v>1</v>
      </c>
      <c r="NA181">
        <v>1</v>
      </c>
      <c r="NB181">
        <v>1</v>
      </c>
      <c r="NC181">
        <v>1</v>
      </c>
      <c r="ND181">
        <v>1</v>
      </c>
      <c r="NE181">
        <v>1</v>
      </c>
      <c r="NF181">
        <v>1</v>
      </c>
      <c r="NG181">
        <v>1</v>
      </c>
      <c r="NH181">
        <v>1</v>
      </c>
      <c r="NI181">
        <v>1</v>
      </c>
      <c r="NJ181">
        <v>1</v>
      </c>
      <c r="NK181">
        <v>1</v>
      </c>
      <c r="NL181">
        <v>1</v>
      </c>
      <c r="NM181">
        <v>1</v>
      </c>
      <c r="NN181">
        <v>1</v>
      </c>
      <c r="NO181">
        <v>1</v>
      </c>
      <c r="NP181">
        <v>89.966340000000002</v>
      </c>
      <c r="NQ181">
        <v>1</v>
      </c>
      <c r="NR181">
        <v>1</v>
      </c>
      <c r="NS181">
        <v>1</v>
      </c>
      <c r="NT181">
        <v>1</v>
      </c>
      <c r="NU181">
        <v>1</v>
      </c>
      <c r="NV181">
        <v>1</v>
      </c>
      <c r="NW181">
        <v>1</v>
      </c>
      <c r="NX181">
        <v>1</v>
      </c>
      <c r="NY181">
        <v>1</v>
      </c>
      <c r="NZ181">
        <v>1</v>
      </c>
      <c r="OA181">
        <v>1</v>
      </c>
      <c r="OB181">
        <v>1</v>
      </c>
      <c r="OC181">
        <v>27</v>
      </c>
      <c r="OD181">
        <v>13161.6</v>
      </c>
      <c r="OE181">
        <v>0.34</v>
      </c>
      <c r="OF181">
        <v>47.190899999999999</v>
      </c>
      <c r="OG181">
        <v>26.3</v>
      </c>
      <c r="OH181">
        <v>66.986000000000004</v>
      </c>
    </row>
    <row r="182" spans="1:398">
      <c r="A182">
        <v>17</v>
      </c>
      <c r="B182" t="s">
        <v>21</v>
      </c>
      <c r="C182" t="s">
        <v>20</v>
      </c>
      <c r="D182">
        <v>2014</v>
      </c>
      <c r="E182">
        <v>17.321000000000002</v>
      </c>
      <c r="F182">
        <v>0.84140000000000004</v>
      </c>
      <c r="G182">
        <v>544</v>
      </c>
      <c r="H182">
        <v>30.5</v>
      </c>
      <c r="I182">
        <v>75.7</v>
      </c>
      <c r="J182">
        <v>3.7</v>
      </c>
      <c r="K182">
        <v>475.7</v>
      </c>
      <c r="L182">
        <v>0.6</v>
      </c>
      <c r="M182">
        <v>1.5</v>
      </c>
      <c r="N182">
        <v>34685</v>
      </c>
      <c r="O182">
        <v>1.0833299999999999</v>
      </c>
      <c r="P182">
        <v>1</v>
      </c>
      <c r="Q182">
        <v>6605.4</v>
      </c>
      <c r="R182">
        <v>39.9</v>
      </c>
      <c r="S182">
        <v>0.248256</v>
      </c>
      <c r="T182">
        <v>-0.1167902</v>
      </c>
      <c r="U182">
        <v>-0.84901099999999996</v>
      </c>
      <c r="V182">
        <v>0.28871819999999998</v>
      </c>
      <c r="W182">
        <v>-0.2620324</v>
      </c>
      <c r="X182">
        <v>-1.020467</v>
      </c>
      <c r="Y182">
        <v>-0.72910790000000003</v>
      </c>
      <c r="Z182">
        <v>-0.56106560000000005</v>
      </c>
      <c r="AA182">
        <v>-0.19478770000000001</v>
      </c>
      <c r="AB182">
        <v>-0.32115470000000002</v>
      </c>
      <c r="AC182">
        <v>-0.53529939999999998</v>
      </c>
      <c r="AD182">
        <v>0.33164440000000001</v>
      </c>
      <c r="AE182">
        <v>-0.35776279999999999</v>
      </c>
      <c r="AF182">
        <v>9.0404200000000004E-2</v>
      </c>
      <c r="AG182">
        <v>-0.57740290000000005</v>
      </c>
      <c r="AH182">
        <v>-1.0950880000000001</v>
      </c>
      <c r="AI182">
        <v>2.8519199999999998</v>
      </c>
      <c r="AJ182">
        <v>-0.17268810000000001</v>
      </c>
      <c r="AK182">
        <v>6.2989490000000004</v>
      </c>
      <c r="AL182">
        <v>4.326778</v>
      </c>
      <c r="AM182">
        <v>1.308333</v>
      </c>
      <c r="AN182">
        <v>6.1647869999999996</v>
      </c>
      <c r="AO182">
        <v>10.45406</v>
      </c>
      <c r="AP182">
        <v>0</v>
      </c>
      <c r="AQ182">
        <v>8.7956420000000008</v>
      </c>
      <c r="AR182">
        <v>3.8460000000000001</v>
      </c>
      <c r="AS182">
        <v>3.3214299999999999</v>
      </c>
      <c r="AT182">
        <v>9.5306899999999999</v>
      </c>
      <c r="AU182">
        <v>67.108000000000004</v>
      </c>
      <c r="AV182">
        <v>143.29</v>
      </c>
      <c r="AW182">
        <v>0.739699</v>
      </c>
      <c r="AX182" s="17">
        <v>360000000</v>
      </c>
      <c r="AY182">
        <v>3.28091</v>
      </c>
      <c r="AZ182">
        <v>0.21</v>
      </c>
      <c r="BA182">
        <v>8.0042600000000005E-2</v>
      </c>
      <c r="BB182">
        <v>8.0042639999999998E-2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-1.0017100000000001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4.5969000000000001E-3</v>
      </c>
      <c r="CG182">
        <v>0.44561050000000002</v>
      </c>
      <c r="CH182">
        <v>0.138542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-0.87517429999999996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0.19856869999999999</v>
      </c>
      <c r="DI182">
        <v>0.76593009999999995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9.35782E-2</v>
      </c>
      <c r="DW182">
        <v>-0.18378659999999999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13.94964</v>
      </c>
      <c r="EW182">
        <v>7.1345900000000004E-2</v>
      </c>
      <c r="EX182">
        <v>7.1523100000000006E-2</v>
      </c>
      <c r="EY182">
        <v>7.1303599999999995E-2</v>
      </c>
      <c r="EZ182">
        <v>7.1374900000000005E-2</v>
      </c>
      <c r="FA182">
        <v>7.1396899999999999E-2</v>
      </c>
      <c r="FB182">
        <v>7.1534399999999998E-2</v>
      </c>
      <c r="FC182">
        <v>7.1630600000000003E-2</v>
      </c>
      <c r="FD182">
        <v>7.1359500000000006E-2</v>
      </c>
      <c r="FE182">
        <v>7.1410000000000001E-2</v>
      </c>
      <c r="FF182">
        <v>7.1593000000000004E-2</v>
      </c>
      <c r="FG182">
        <v>7.1579400000000001E-2</v>
      </c>
      <c r="FH182">
        <v>7.1277800000000002E-2</v>
      </c>
      <c r="FI182">
        <v>7.1403099999999997E-2</v>
      </c>
      <c r="FJ182">
        <v>7.1267700000000003E-2</v>
      </c>
      <c r="FK182">
        <v>0.24800559999999999</v>
      </c>
      <c r="FL182">
        <v>6.15068E-2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-0.1167902</v>
      </c>
      <c r="FZ182">
        <v>-0.84901099999999996</v>
      </c>
      <c r="GA182">
        <v>0.28871819999999998</v>
      </c>
      <c r="GB182">
        <v>-1.020467</v>
      </c>
      <c r="GC182">
        <v>-0.56106560000000005</v>
      </c>
      <c r="GD182">
        <v>-0.53529939999999998</v>
      </c>
      <c r="GE182">
        <v>-0.57740290000000005</v>
      </c>
      <c r="GF182">
        <v>0.33164440000000001</v>
      </c>
      <c r="GG182">
        <v>-0.35776279999999999</v>
      </c>
      <c r="GH182">
        <v>-1.624633</v>
      </c>
      <c r="GI182">
        <v>2.6394329999999999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5.2081200000000001E-2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-0.341173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1</v>
      </c>
      <c r="LI182">
        <v>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1</v>
      </c>
      <c r="MF182">
        <v>1</v>
      </c>
      <c r="MG182">
        <v>1</v>
      </c>
      <c r="MH182">
        <v>1</v>
      </c>
      <c r="MI182">
        <v>1</v>
      </c>
      <c r="MJ182">
        <v>1</v>
      </c>
      <c r="MK182">
        <v>1</v>
      </c>
      <c r="ML182">
        <v>1</v>
      </c>
      <c r="MM182">
        <v>1</v>
      </c>
      <c r="MN182">
        <v>1</v>
      </c>
      <c r="MO182">
        <v>1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1</v>
      </c>
      <c r="MX182">
        <v>1</v>
      </c>
      <c r="MY182">
        <v>1</v>
      </c>
      <c r="MZ182">
        <v>1</v>
      </c>
      <c r="NA182">
        <v>1</v>
      </c>
      <c r="NB182">
        <v>1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1</v>
      </c>
      <c r="NI182">
        <v>1</v>
      </c>
      <c r="NJ182">
        <v>1</v>
      </c>
      <c r="NK182">
        <v>1</v>
      </c>
      <c r="NL182">
        <v>1</v>
      </c>
      <c r="NM182">
        <v>1</v>
      </c>
      <c r="NN182">
        <v>1</v>
      </c>
      <c r="NO182">
        <v>1</v>
      </c>
      <c r="NP182">
        <v>90.834050000000005</v>
      </c>
      <c r="NQ182">
        <v>1</v>
      </c>
      <c r="NR182">
        <v>1</v>
      </c>
      <c r="NS182">
        <v>1</v>
      </c>
      <c r="NT182">
        <v>1</v>
      </c>
      <c r="NU182">
        <v>1</v>
      </c>
      <c r="NV182">
        <v>1</v>
      </c>
      <c r="NW182">
        <v>1</v>
      </c>
      <c r="NX182">
        <v>1</v>
      </c>
      <c r="NY182">
        <v>1</v>
      </c>
      <c r="NZ182">
        <v>1</v>
      </c>
      <c r="OA182">
        <v>1</v>
      </c>
      <c r="OB182">
        <v>1</v>
      </c>
      <c r="OC182">
        <v>26.6</v>
      </c>
      <c r="OD182">
        <v>13776.1</v>
      </c>
      <c r="OE182">
        <v>0</v>
      </c>
      <c r="OF182">
        <v>46.805500000000002</v>
      </c>
      <c r="OG182">
        <v>27.7</v>
      </c>
      <c r="OH182">
        <v>67.108000000000004</v>
      </c>
    </row>
    <row r="183" spans="1:398">
      <c r="A183">
        <v>17</v>
      </c>
      <c r="B183" t="s">
        <v>21</v>
      </c>
      <c r="C183" t="s">
        <v>20</v>
      </c>
      <c r="D183">
        <v>2015</v>
      </c>
      <c r="E183">
        <v>16.568000000000001</v>
      </c>
      <c r="F183">
        <v>0.85860000000000003</v>
      </c>
      <c r="G183">
        <v>557</v>
      </c>
      <c r="H183">
        <v>33.200000000000003</v>
      </c>
      <c r="I183">
        <v>80.7</v>
      </c>
      <c r="J183">
        <v>4.0999999999999996</v>
      </c>
      <c r="K183">
        <v>213.5</v>
      </c>
      <c r="L183">
        <v>0.6</v>
      </c>
      <c r="M183">
        <v>1.6</v>
      </c>
      <c r="N183">
        <v>34866</v>
      </c>
      <c r="O183">
        <v>1.1666700000000001</v>
      </c>
      <c r="P183">
        <v>1.02</v>
      </c>
      <c r="Q183">
        <v>6935.43</v>
      </c>
      <c r="R183">
        <v>40.700000000000003</v>
      </c>
      <c r="S183">
        <v>0.26291900000000001</v>
      </c>
      <c r="T183">
        <v>-0.20827519999999999</v>
      </c>
      <c r="U183">
        <v>-0.83250329999999995</v>
      </c>
      <c r="V183">
        <v>0.3874203</v>
      </c>
      <c r="W183">
        <v>-8.8225499999999998E-2</v>
      </c>
      <c r="X183">
        <v>-0.32596989999999998</v>
      </c>
      <c r="Y183">
        <v>-0.66505559999999997</v>
      </c>
      <c r="Z183">
        <v>-0.59528029999999998</v>
      </c>
      <c r="AA183">
        <v>-0.19478770000000001</v>
      </c>
      <c r="AB183">
        <v>-0.18922800000000001</v>
      </c>
      <c r="AC183">
        <v>-0.53433830000000004</v>
      </c>
      <c r="AD183">
        <v>0.4296527</v>
      </c>
      <c r="AE183">
        <v>-0.24903040000000001</v>
      </c>
      <c r="AF183">
        <v>0.13254669999999999</v>
      </c>
      <c r="AG183">
        <v>-0.57306259999999998</v>
      </c>
      <c r="AH183">
        <v>-1.0171429999999999</v>
      </c>
      <c r="AI183">
        <v>2.8074729999999999</v>
      </c>
      <c r="AJ183">
        <v>-0.15245210000000001</v>
      </c>
      <c r="AK183">
        <v>6.322565</v>
      </c>
      <c r="AL183">
        <v>4.3907379999999998</v>
      </c>
      <c r="AM183">
        <v>1.410987</v>
      </c>
      <c r="AN183">
        <v>5.3636369999999998</v>
      </c>
      <c r="AO183">
        <v>10.45927</v>
      </c>
      <c r="AP183">
        <v>1.98026E-2</v>
      </c>
      <c r="AQ183">
        <v>8.844398</v>
      </c>
      <c r="AR183">
        <v>3.8365900000000002</v>
      </c>
      <c r="AS183">
        <v>3.3673000000000002</v>
      </c>
      <c r="AT183">
        <v>9.5680399999999999</v>
      </c>
      <c r="AU183">
        <v>67.23</v>
      </c>
      <c r="AV183">
        <v>138.196</v>
      </c>
      <c r="AW183">
        <v>2.4962200000000001</v>
      </c>
      <c r="AX183" s="17">
        <v>1000000000</v>
      </c>
      <c r="AY183">
        <v>3.31419</v>
      </c>
      <c r="AZ183">
        <v>0.21</v>
      </c>
      <c r="BA183">
        <v>0.1541508</v>
      </c>
      <c r="BB183">
        <v>0.15415075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-0.92460200000000003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5.0413999999999997E-3</v>
      </c>
      <c r="CG183">
        <v>0.4561925</v>
      </c>
      <c r="CH183">
        <v>0.14399799999999999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-0.85396970000000005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0.20811160000000001</v>
      </c>
      <c r="DI183">
        <v>0.72926429999999998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9.5800399999999994E-2</v>
      </c>
      <c r="DW183">
        <v>-0.17933360000000001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13.947929999999999</v>
      </c>
      <c r="EW183">
        <v>7.1368000000000001E-2</v>
      </c>
      <c r="EX183">
        <v>7.1527800000000002E-2</v>
      </c>
      <c r="EY183">
        <v>7.13009E-2</v>
      </c>
      <c r="EZ183">
        <v>7.1359400000000003E-2</v>
      </c>
      <c r="FA183">
        <v>7.1360099999999996E-2</v>
      </c>
      <c r="FB183">
        <v>7.1523299999999998E-2</v>
      </c>
      <c r="FC183">
        <v>7.1667400000000006E-2</v>
      </c>
      <c r="FD183">
        <v>7.1369500000000002E-2</v>
      </c>
      <c r="FE183">
        <v>7.13974E-2</v>
      </c>
      <c r="FF183">
        <v>7.1601399999999996E-2</v>
      </c>
      <c r="FG183">
        <v>7.1586399999999994E-2</v>
      </c>
      <c r="FH183">
        <v>7.1274500000000005E-2</v>
      </c>
      <c r="FI183">
        <v>7.1393899999999996E-2</v>
      </c>
      <c r="FJ183">
        <v>7.127E-2</v>
      </c>
      <c r="FK183">
        <v>0.26263700000000001</v>
      </c>
      <c r="FL183">
        <v>6.8978200000000003E-2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-0.20827519999999999</v>
      </c>
      <c r="FZ183">
        <v>-0.83250329999999995</v>
      </c>
      <c r="GA183">
        <v>0.3874203</v>
      </c>
      <c r="GB183">
        <v>-0.32596989999999998</v>
      </c>
      <c r="GC183">
        <v>-0.59528029999999998</v>
      </c>
      <c r="GD183">
        <v>-0.53433830000000004</v>
      </c>
      <c r="GE183">
        <v>-0.57306259999999998</v>
      </c>
      <c r="GF183">
        <v>0.4296527</v>
      </c>
      <c r="GG183">
        <v>-0.24903040000000001</v>
      </c>
      <c r="GH183">
        <v>-1.5230760000000001</v>
      </c>
      <c r="GI183">
        <v>2.3197619999999999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5.5153800000000003E-2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-0.31984600000000002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1</v>
      </c>
      <c r="IQ183">
        <v>1</v>
      </c>
      <c r="IR183">
        <v>1</v>
      </c>
      <c r="IS183">
        <v>1</v>
      </c>
      <c r="IT183">
        <v>1</v>
      </c>
      <c r="IU183">
        <v>1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1</v>
      </c>
      <c r="JR183">
        <v>1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1</v>
      </c>
      <c r="KQ183">
        <v>1</v>
      </c>
      <c r="KR183">
        <v>1</v>
      </c>
      <c r="KS183">
        <v>1</v>
      </c>
      <c r="KT183">
        <v>1</v>
      </c>
      <c r="KU183">
        <v>1</v>
      </c>
      <c r="KV183">
        <v>1</v>
      </c>
      <c r="KW183">
        <v>1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1</v>
      </c>
      <c r="LI183">
        <v>1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1</v>
      </c>
      <c r="LQ183">
        <v>1</v>
      </c>
      <c r="LR183">
        <v>1</v>
      </c>
      <c r="LS183">
        <v>1</v>
      </c>
      <c r="LT183">
        <v>1</v>
      </c>
      <c r="LU183">
        <v>1</v>
      </c>
      <c r="LV183">
        <v>1</v>
      </c>
      <c r="LW183">
        <v>1</v>
      </c>
      <c r="LX183">
        <v>1</v>
      </c>
      <c r="LY183">
        <v>1</v>
      </c>
      <c r="LZ183">
        <v>1</v>
      </c>
      <c r="MA183">
        <v>1</v>
      </c>
      <c r="MB183">
        <v>1</v>
      </c>
      <c r="MC183">
        <v>1</v>
      </c>
      <c r="MD183">
        <v>1</v>
      </c>
      <c r="ME183">
        <v>1</v>
      </c>
      <c r="MF183">
        <v>1</v>
      </c>
      <c r="MG183">
        <v>1</v>
      </c>
      <c r="MH183">
        <v>1</v>
      </c>
      <c r="MI183">
        <v>1</v>
      </c>
      <c r="MJ183">
        <v>1</v>
      </c>
      <c r="MK183">
        <v>1</v>
      </c>
      <c r="ML183">
        <v>1</v>
      </c>
      <c r="MM183">
        <v>1</v>
      </c>
      <c r="MN183">
        <v>1</v>
      </c>
      <c r="MO183">
        <v>1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1</v>
      </c>
      <c r="NI183">
        <v>1</v>
      </c>
      <c r="NJ183">
        <v>1</v>
      </c>
      <c r="NK183">
        <v>1</v>
      </c>
      <c r="NL183">
        <v>1</v>
      </c>
      <c r="NM183">
        <v>1</v>
      </c>
      <c r="NN183">
        <v>1</v>
      </c>
      <c r="NO183">
        <v>1</v>
      </c>
      <c r="NP183">
        <v>91.547319999999999</v>
      </c>
      <c r="NQ183">
        <v>1</v>
      </c>
      <c r="NR183">
        <v>1</v>
      </c>
      <c r="NS183">
        <v>1</v>
      </c>
      <c r="NT183">
        <v>1</v>
      </c>
      <c r="NU183">
        <v>1</v>
      </c>
      <c r="NV183">
        <v>1</v>
      </c>
      <c r="NW183">
        <v>1</v>
      </c>
      <c r="NX183">
        <v>1</v>
      </c>
      <c r="NY183">
        <v>1</v>
      </c>
      <c r="NZ183">
        <v>1</v>
      </c>
      <c r="OA183">
        <v>1</v>
      </c>
      <c r="OB183">
        <v>1</v>
      </c>
      <c r="OC183">
        <v>27.5</v>
      </c>
      <c r="OD183">
        <v>14300.3</v>
      </c>
      <c r="OE183">
        <v>0</v>
      </c>
      <c r="OF183">
        <v>46.3673</v>
      </c>
      <c r="OG183">
        <v>29</v>
      </c>
      <c r="OH183">
        <v>67.23</v>
      </c>
    </row>
    <row r="184" spans="1:398">
      <c r="A184">
        <v>17</v>
      </c>
      <c r="B184" t="s">
        <v>21</v>
      </c>
      <c r="C184" t="s">
        <v>20</v>
      </c>
      <c r="D184">
        <v>2016</v>
      </c>
      <c r="E184">
        <v>17.969000000000001</v>
      </c>
      <c r="F184">
        <v>0.85009999999999997</v>
      </c>
      <c r="G184">
        <v>554</v>
      </c>
      <c r="H184">
        <v>48</v>
      </c>
      <c r="I184">
        <v>82.3</v>
      </c>
      <c r="J184">
        <v>4.5999999999999996</v>
      </c>
      <c r="K184">
        <v>158.1</v>
      </c>
      <c r="L184">
        <v>0.9</v>
      </c>
      <c r="M184">
        <v>1.8</v>
      </c>
      <c r="N184">
        <v>35211</v>
      </c>
      <c r="O184">
        <v>1.25</v>
      </c>
      <c r="P184">
        <v>1.02</v>
      </c>
      <c r="Q184">
        <v>7232.6</v>
      </c>
      <c r="R184">
        <v>40.4</v>
      </c>
      <c r="S184">
        <v>0.29754199999999997</v>
      </c>
      <c r="T184">
        <v>-3.8061699999999997E-2</v>
      </c>
      <c r="U184">
        <v>-0.8406612</v>
      </c>
      <c r="V184">
        <v>0.36464289999999999</v>
      </c>
      <c r="W184">
        <v>0.86449330000000002</v>
      </c>
      <c r="X184">
        <v>-0.1037299</v>
      </c>
      <c r="Y184">
        <v>-0.58499009999999996</v>
      </c>
      <c r="Z184">
        <v>-0.60250959999999998</v>
      </c>
      <c r="AA184">
        <v>0.6396153</v>
      </c>
      <c r="AB184">
        <v>7.46251E-2</v>
      </c>
      <c r="AC184">
        <v>-0.53250629999999999</v>
      </c>
      <c r="AD184">
        <v>0.4296527</v>
      </c>
      <c r="AE184">
        <v>-0.15112400000000001</v>
      </c>
      <c r="AF184">
        <v>0.11674329999999999</v>
      </c>
      <c r="AG184">
        <v>-0.56872239999999996</v>
      </c>
      <c r="AH184">
        <v>-0.48573820000000001</v>
      </c>
      <c r="AI184">
        <v>2.8886479999999999</v>
      </c>
      <c r="AJ184">
        <v>-0.1624013</v>
      </c>
      <c r="AK184">
        <v>6.3171650000000001</v>
      </c>
      <c r="AL184">
        <v>4.4103709999999996</v>
      </c>
      <c r="AM184">
        <v>1.5260560000000001</v>
      </c>
      <c r="AN184">
        <v>5.0632279999999996</v>
      </c>
      <c r="AO184">
        <v>10.469110000000001</v>
      </c>
      <c r="AP184">
        <v>1.98026E-2</v>
      </c>
      <c r="AQ184">
        <v>8.8863529999999997</v>
      </c>
      <c r="AR184">
        <v>3.82402</v>
      </c>
      <c r="AS184">
        <v>3.4499900000000001</v>
      </c>
      <c r="AT184">
        <v>9.6071100000000005</v>
      </c>
      <c r="AU184">
        <v>67.366</v>
      </c>
      <c r="AV184">
        <v>134.69</v>
      </c>
      <c r="AW184">
        <v>2.74031</v>
      </c>
      <c r="AX184" s="17">
        <v>1200000000</v>
      </c>
      <c r="AY184">
        <v>3.28091</v>
      </c>
      <c r="AZ184">
        <v>0.21</v>
      </c>
      <c r="BA184">
        <v>0.22314349999999999</v>
      </c>
      <c r="BB184">
        <v>0.22314355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-0.84749799999999997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7.5481000000000003E-3</v>
      </c>
      <c r="CG184">
        <v>0.49071759999999998</v>
      </c>
      <c r="CH184">
        <v>0.162663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-0.31134269999999997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0.24080370000000001</v>
      </c>
      <c r="DI184">
        <v>9.6934300000000001E-2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0.1030507</v>
      </c>
      <c r="DW184">
        <v>-6.5381999999999996E-2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13.94276</v>
      </c>
      <c r="EW184">
        <v>7.1373699999999998E-2</v>
      </c>
      <c r="EX184">
        <v>7.1556800000000004E-2</v>
      </c>
      <c r="EY184">
        <v>7.1332300000000001E-2</v>
      </c>
      <c r="EZ184">
        <v>7.1257200000000007E-2</v>
      </c>
      <c r="FA184">
        <v>7.1373500000000006E-2</v>
      </c>
      <c r="FB184">
        <v>7.1525900000000003E-2</v>
      </c>
      <c r="FC184">
        <v>7.17005E-2</v>
      </c>
      <c r="FD184">
        <v>7.1249400000000004E-2</v>
      </c>
      <c r="FE184">
        <v>7.1382000000000001E-2</v>
      </c>
      <c r="FF184">
        <v>7.1627200000000002E-2</v>
      </c>
      <c r="FG184">
        <v>7.1611300000000003E-2</v>
      </c>
      <c r="FH184">
        <v>7.1303199999999997E-2</v>
      </c>
      <c r="FI184">
        <v>7.1404899999999993E-2</v>
      </c>
      <c r="FJ184">
        <v>7.1302000000000004E-2</v>
      </c>
      <c r="FK184">
        <v>0.29717589999999999</v>
      </c>
      <c r="FL184">
        <v>8.8313500000000003E-2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-3.8061699999999997E-2</v>
      </c>
      <c r="FZ184">
        <v>-0.8406612</v>
      </c>
      <c r="GA184">
        <v>0.36464289999999999</v>
      </c>
      <c r="GB184">
        <v>-0.1037299</v>
      </c>
      <c r="GC184">
        <v>-0.60250959999999998</v>
      </c>
      <c r="GD184">
        <v>-0.53250629999999999</v>
      </c>
      <c r="GE184">
        <v>-0.56872239999999996</v>
      </c>
      <c r="GF184">
        <v>0.4296527</v>
      </c>
      <c r="GG184">
        <v>-0.15112400000000001</v>
      </c>
      <c r="GH184">
        <v>-0.75998619999999995</v>
      </c>
      <c r="GI184">
        <v>0.57757899999999995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6.2406900000000001E-2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-0.15959709999999999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1</v>
      </c>
      <c r="IP184">
        <v>1</v>
      </c>
      <c r="IQ184">
        <v>1</v>
      </c>
      <c r="IR184">
        <v>1</v>
      </c>
      <c r="IS184">
        <v>1</v>
      </c>
      <c r="IT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1</v>
      </c>
      <c r="JR184">
        <v>1</v>
      </c>
      <c r="JS184">
        <v>1</v>
      </c>
      <c r="JT184">
        <v>1</v>
      </c>
      <c r="JU184">
        <v>1</v>
      </c>
      <c r="JV184">
        <v>1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1</v>
      </c>
      <c r="KH184">
        <v>1</v>
      </c>
      <c r="KI184">
        <v>1</v>
      </c>
      <c r="KJ184">
        <v>1</v>
      </c>
      <c r="KK184">
        <v>1</v>
      </c>
      <c r="KL184">
        <v>1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1</v>
      </c>
      <c r="KT184">
        <v>1</v>
      </c>
      <c r="KU184">
        <v>1</v>
      </c>
      <c r="KV184">
        <v>1</v>
      </c>
      <c r="KW184">
        <v>1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1</v>
      </c>
      <c r="LF184">
        <v>1</v>
      </c>
      <c r="LG184">
        <v>1</v>
      </c>
      <c r="LH184">
        <v>1</v>
      </c>
      <c r="LI184">
        <v>1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1</v>
      </c>
      <c r="LR184">
        <v>1</v>
      </c>
      <c r="LS184">
        <v>1</v>
      </c>
      <c r="LT184">
        <v>1</v>
      </c>
      <c r="LU184">
        <v>1</v>
      </c>
      <c r="LV184">
        <v>1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1</v>
      </c>
      <c r="MF184">
        <v>1</v>
      </c>
      <c r="MG184">
        <v>1</v>
      </c>
      <c r="MH184">
        <v>1</v>
      </c>
      <c r="MI184">
        <v>1</v>
      </c>
      <c r="MJ184">
        <v>1</v>
      </c>
      <c r="MK184">
        <v>1</v>
      </c>
      <c r="ML184">
        <v>1</v>
      </c>
      <c r="MM184">
        <v>1</v>
      </c>
      <c r="MN184">
        <v>1</v>
      </c>
      <c r="MO184">
        <v>1</v>
      </c>
      <c r="MP184">
        <v>1</v>
      </c>
      <c r="MQ184">
        <v>1</v>
      </c>
      <c r="MR184">
        <v>1</v>
      </c>
      <c r="MS184">
        <v>1</v>
      </c>
      <c r="MT184">
        <v>1</v>
      </c>
      <c r="MU184">
        <v>1</v>
      </c>
      <c r="MV184">
        <v>1</v>
      </c>
      <c r="MW184">
        <v>1</v>
      </c>
      <c r="MX184">
        <v>1</v>
      </c>
      <c r="MY184">
        <v>1</v>
      </c>
      <c r="MZ184">
        <v>1</v>
      </c>
      <c r="NA184">
        <v>1</v>
      </c>
      <c r="NB184">
        <v>1</v>
      </c>
      <c r="NC184">
        <v>1</v>
      </c>
      <c r="ND184">
        <v>1</v>
      </c>
      <c r="NE184">
        <v>1</v>
      </c>
      <c r="NF184">
        <v>1</v>
      </c>
      <c r="NG184">
        <v>1</v>
      </c>
      <c r="NH184">
        <v>1</v>
      </c>
      <c r="NI184">
        <v>1</v>
      </c>
      <c r="NJ184">
        <v>1</v>
      </c>
      <c r="NK184">
        <v>1</v>
      </c>
      <c r="NL184">
        <v>1</v>
      </c>
      <c r="NM184">
        <v>1</v>
      </c>
      <c r="NN184">
        <v>1</v>
      </c>
      <c r="NO184">
        <v>1</v>
      </c>
      <c r="NP184">
        <v>92.296520000000001</v>
      </c>
      <c r="NQ184">
        <v>1</v>
      </c>
      <c r="NR184">
        <v>1</v>
      </c>
      <c r="NS184">
        <v>1</v>
      </c>
      <c r="NT184">
        <v>1</v>
      </c>
      <c r="NU184">
        <v>1</v>
      </c>
      <c r="NV184">
        <v>1</v>
      </c>
      <c r="NW184">
        <v>1</v>
      </c>
      <c r="NX184">
        <v>1</v>
      </c>
      <c r="NY184">
        <v>1</v>
      </c>
      <c r="NZ184">
        <v>1</v>
      </c>
      <c r="OA184">
        <v>1</v>
      </c>
      <c r="OB184">
        <v>1</v>
      </c>
      <c r="OC184">
        <v>26.6</v>
      </c>
      <c r="OD184">
        <v>14870.1</v>
      </c>
      <c r="OE184">
        <v>0</v>
      </c>
      <c r="OF184">
        <v>45.787700000000001</v>
      </c>
      <c r="OG184">
        <v>31.5</v>
      </c>
      <c r="OH184">
        <v>67.366</v>
      </c>
    </row>
    <row r="185" spans="1:398">
      <c r="A185">
        <v>17</v>
      </c>
      <c r="B185" t="s">
        <v>21</v>
      </c>
      <c r="C185" t="s">
        <v>20</v>
      </c>
      <c r="D185">
        <v>2017</v>
      </c>
      <c r="E185">
        <v>20.277999999999999</v>
      </c>
      <c r="F185">
        <v>0.79190000000000005</v>
      </c>
      <c r="G185">
        <v>548</v>
      </c>
      <c r="H185">
        <v>48.1</v>
      </c>
      <c r="I185">
        <v>82.2</v>
      </c>
      <c r="J185">
        <v>4.4000000000000004</v>
      </c>
      <c r="K185">
        <v>145.4</v>
      </c>
      <c r="L185">
        <v>1.1000000000000001</v>
      </c>
      <c r="M185">
        <v>1.9</v>
      </c>
      <c r="N185">
        <v>35822</v>
      </c>
      <c r="O185">
        <v>1.3333299999999999</v>
      </c>
      <c r="P185">
        <v>1.08</v>
      </c>
      <c r="Q185">
        <v>7385.26</v>
      </c>
      <c r="R185">
        <v>39.200000000000003</v>
      </c>
      <c r="S185">
        <v>0.31142599999999998</v>
      </c>
      <c r="T185">
        <v>0.24246880000000001</v>
      </c>
      <c r="U185">
        <v>-0.89651860000000005</v>
      </c>
      <c r="V185">
        <v>0.31908809999999999</v>
      </c>
      <c r="W185">
        <v>0.87093039999999999</v>
      </c>
      <c r="X185">
        <v>-0.11762069999999999</v>
      </c>
      <c r="Y185">
        <v>-0.61701629999999996</v>
      </c>
      <c r="Z185">
        <v>-0.60416669999999995</v>
      </c>
      <c r="AA185">
        <v>1.1958839999999999</v>
      </c>
      <c r="AB185">
        <v>0.2065517</v>
      </c>
      <c r="AC185">
        <v>-0.52926189999999995</v>
      </c>
      <c r="AD185">
        <v>0.72367800000000004</v>
      </c>
      <c r="AE185">
        <v>-0.10082960000000001</v>
      </c>
      <c r="AF185">
        <v>5.3529500000000001E-2</v>
      </c>
      <c r="AG185">
        <v>-0.5643821</v>
      </c>
      <c r="AH185">
        <v>-0.3787529</v>
      </c>
      <c r="AI185">
        <v>3.0095369999999999</v>
      </c>
      <c r="AJ185">
        <v>-0.23332020000000001</v>
      </c>
      <c r="AK185">
        <v>6.3062750000000003</v>
      </c>
      <c r="AL185">
        <v>4.4091550000000002</v>
      </c>
      <c r="AM185">
        <v>1.4816050000000001</v>
      </c>
      <c r="AN185">
        <v>4.9794879999999999</v>
      </c>
      <c r="AO185">
        <v>10.486319999999999</v>
      </c>
      <c r="AP185">
        <v>7.6961100000000005E-2</v>
      </c>
      <c r="AQ185">
        <v>8.9072410000000009</v>
      </c>
      <c r="AR185">
        <v>3.8100499999999999</v>
      </c>
      <c r="AS185">
        <v>3.5204599999999999</v>
      </c>
      <c r="AT185">
        <v>9.6661800000000007</v>
      </c>
      <c r="AU185">
        <v>67.516000000000005</v>
      </c>
      <c r="AV185">
        <v>144.91800000000001</v>
      </c>
      <c r="AW185">
        <v>2.8974600000000001</v>
      </c>
      <c r="AX185" s="17">
        <v>1400000000</v>
      </c>
      <c r="AY185">
        <v>3.3068900000000001</v>
      </c>
      <c r="AZ185">
        <v>0.22</v>
      </c>
      <c r="BA185">
        <v>0.28768199999999999</v>
      </c>
      <c r="BB185">
        <v>0.28768202999999998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-0.77039400000000002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7.5085000000000004E-3</v>
      </c>
      <c r="CG185">
        <v>0.50447710000000001</v>
      </c>
      <c r="CH185">
        <v>0.16946600000000001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-0.21996309999999999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0.25449719999999998</v>
      </c>
      <c r="DI185">
        <v>4.8383799999999998E-2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0.110985</v>
      </c>
      <c r="DW185">
        <v>-4.8391900000000002E-2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13.94088</v>
      </c>
      <c r="EW185">
        <v>7.1349499999999996E-2</v>
      </c>
      <c r="EX185">
        <v>7.1581400000000003E-2</v>
      </c>
      <c r="EY185">
        <v>7.1349899999999994E-2</v>
      </c>
      <c r="EZ185">
        <v>7.1268799999999993E-2</v>
      </c>
      <c r="FA185">
        <v>7.1385599999999994E-2</v>
      </c>
      <c r="FB185">
        <v>7.1545600000000001E-2</v>
      </c>
      <c r="FC185">
        <v>7.1711700000000003E-2</v>
      </c>
      <c r="FD185">
        <v>7.1172299999999994E-2</v>
      </c>
      <c r="FE185">
        <v>7.1372199999999997E-2</v>
      </c>
      <c r="FF185">
        <v>7.1635500000000005E-2</v>
      </c>
      <c r="FG185">
        <v>7.1619299999999997E-2</v>
      </c>
      <c r="FH185">
        <v>7.1274299999999999E-2</v>
      </c>
      <c r="FI185">
        <v>7.1407399999999996E-2</v>
      </c>
      <c r="FJ185">
        <v>7.1326700000000007E-2</v>
      </c>
      <c r="FK185">
        <v>0.3110002</v>
      </c>
      <c r="FL185">
        <v>9.6721100000000004E-2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0.24246880000000001</v>
      </c>
      <c r="FZ185">
        <v>-0.89651860000000005</v>
      </c>
      <c r="GA185">
        <v>0.31908809999999999</v>
      </c>
      <c r="GB185">
        <v>-0.11762069999999999</v>
      </c>
      <c r="GC185">
        <v>-0.60416669999999995</v>
      </c>
      <c r="GD185">
        <v>-0.52926189999999995</v>
      </c>
      <c r="GE185">
        <v>-0.5643821</v>
      </c>
      <c r="GF185">
        <v>0.72367800000000004</v>
      </c>
      <c r="GG185">
        <v>-0.10082960000000001</v>
      </c>
      <c r="GH185">
        <v>-0.5957633</v>
      </c>
      <c r="GI185">
        <v>0.35493390000000002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6.8419999999999995E-2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-0.13106789999999999</v>
      </c>
      <c r="HJ185">
        <v>1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1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  <c r="KW185">
        <v>1</v>
      </c>
      <c r="KX185">
        <v>1</v>
      </c>
      <c r="KY185">
        <v>1</v>
      </c>
      <c r="KZ185">
        <v>1</v>
      </c>
      <c r="LA185">
        <v>1</v>
      </c>
      <c r="LB185">
        <v>1</v>
      </c>
      <c r="LC185">
        <v>1</v>
      </c>
      <c r="LD185">
        <v>1</v>
      </c>
      <c r="LE185">
        <v>1</v>
      </c>
      <c r="LF185">
        <v>1</v>
      </c>
      <c r="LG185">
        <v>1</v>
      </c>
      <c r="LH185">
        <v>1</v>
      </c>
      <c r="LI185">
        <v>1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1</v>
      </c>
      <c r="LR185">
        <v>1</v>
      </c>
      <c r="LS185">
        <v>1</v>
      </c>
      <c r="LT185">
        <v>1</v>
      </c>
      <c r="LU185">
        <v>1</v>
      </c>
      <c r="LV185">
        <v>1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>
        <v>1</v>
      </c>
      <c r="ME185">
        <v>1</v>
      </c>
      <c r="MF185">
        <v>1</v>
      </c>
      <c r="MG185">
        <v>1</v>
      </c>
      <c r="MH185">
        <v>1</v>
      </c>
      <c r="MI185">
        <v>1</v>
      </c>
      <c r="MJ185">
        <v>1</v>
      </c>
      <c r="MK185">
        <v>1</v>
      </c>
      <c r="ML185">
        <v>1</v>
      </c>
      <c r="MM185">
        <v>1</v>
      </c>
      <c r="MN185">
        <v>1</v>
      </c>
      <c r="MO185">
        <v>1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  <c r="MX185">
        <v>1</v>
      </c>
      <c r="MY185">
        <v>1</v>
      </c>
      <c r="MZ185">
        <v>1</v>
      </c>
      <c r="NA185">
        <v>1</v>
      </c>
      <c r="NB185">
        <v>1</v>
      </c>
      <c r="NC185">
        <v>1</v>
      </c>
      <c r="ND185">
        <v>1</v>
      </c>
      <c r="NE185">
        <v>1</v>
      </c>
      <c r="NF185">
        <v>1</v>
      </c>
      <c r="NG185">
        <v>1</v>
      </c>
      <c r="NH185">
        <v>1</v>
      </c>
      <c r="NI185">
        <v>1</v>
      </c>
      <c r="NJ185">
        <v>1</v>
      </c>
      <c r="NK185">
        <v>1</v>
      </c>
      <c r="NL185">
        <v>1</v>
      </c>
      <c r="NM185">
        <v>1</v>
      </c>
      <c r="NN185">
        <v>1</v>
      </c>
      <c r="NO185">
        <v>1</v>
      </c>
      <c r="NP185">
        <v>93.435069999999996</v>
      </c>
      <c r="NQ185">
        <v>1</v>
      </c>
      <c r="NR185">
        <v>1</v>
      </c>
      <c r="NS185">
        <v>1</v>
      </c>
      <c r="NT185">
        <v>1</v>
      </c>
      <c r="NU185">
        <v>1</v>
      </c>
      <c r="NV185">
        <v>1</v>
      </c>
      <c r="NW185">
        <v>1</v>
      </c>
      <c r="NX185">
        <v>1</v>
      </c>
      <c r="NY185">
        <v>1</v>
      </c>
      <c r="NZ185">
        <v>1</v>
      </c>
      <c r="OA185">
        <v>1</v>
      </c>
      <c r="OB185">
        <v>1</v>
      </c>
      <c r="OC185">
        <v>27.3</v>
      </c>
      <c r="OD185">
        <v>15775</v>
      </c>
      <c r="OE185">
        <v>0</v>
      </c>
      <c r="OF185">
        <v>45.1526</v>
      </c>
      <c r="OG185">
        <v>33.799999999999997</v>
      </c>
      <c r="OH185">
        <v>67.516000000000005</v>
      </c>
    </row>
    <row r="186" spans="1:398">
      <c r="A186">
        <v>17</v>
      </c>
      <c r="B186" t="s">
        <v>21</v>
      </c>
      <c r="C186" t="s">
        <v>20</v>
      </c>
      <c r="D186">
        <v>2018</v>
      </c>
      <c r="E186">
        <v>20.193999999999999</v>
      </c>
      <c r="F186">
        <v>0.83740000000000003</v>
      </c>
      <c r="G186">
        <v>539</v>
      </c>
      <c r="H186">
        <v>52.6</v>
      </c>
      <c r="I186">
        <v>81.8</v>
      </c>
      <c r="J186">
        <v>4.3</v>
      </c>
      <c r="K186">
        <v>135</v>
      </c>
      <c r="L186">
        <v>0.7</v>
      </c>
      <c r="M186">
        <v>1.9</v>
      </c>
      <c r="N186">
        <v>35808</v>
      </c>
      <c r="O186">
        <v>1.4166700000000001</v>
      </c>
      <c r="P186">
        <v>1.05</v>
      </c>
      <c r="Q186">
        <v>8017.25</v>
      </c>
      <c r="R186">
        <v>41.4</v>
      </c>
      <c r="S186">
        <v>0.30371799999999999</v>
      </c>
      <c r="T186">
        <v>0.23226340000000001</v>
      </c>
      <c r="U186">
        <v>-0.85285</v>
      </c>
      <c r="V186">
        <v>0.25075589999999998</v>
      </c>
      <c r="W186">
        <v>1.160609</v>
      </c>
      <c r="X186">
        <v>-0.17317959999999999</v>
      </c>
      <c r="Y186">
        <v>-0.63302930000000002</v>
      </c>
      <c r="Z186">
        <v>-0.6055239</v>
      </c>
      <c r="AA186">
        <v>8.3346600000000007E-2</v>
      </c>
      <c r="AB186">
        <v>0.2065517</v>
      </c>
      <c r="AC186">
        <v>-0.52933629999999998</v>
      </c>
      <c r="AD186">
        <v>0.57666499999999998</v>
      </c>
      <c r="AE186">
        <v>0.1073875</v>
      </c>
      <c r="AF186">
        <v>0.1694214</v>
      </c>
      <c r="AG186">
        <v>-0.56004180000000003</v>
      </c>
      <c r="AH186">
        <v>-0.50406910000000005</v>
      </c>
      <c r="AI186">
        <v>3.0053860000000001</v>
      </c>
      <c r="AJ186">
        <v>-0.17745340000000001</v>
      </c>
      <c r="AK186">
        <v>6.2897160000000003</v>
      </c>
      <c r="AL186">
        <v>4.4042770000000004</v>
      </c>
      <c r="AM186">
        <v>1.458615</v>
      </c>
      <c r="AN186">
        <v>4.9052749999999996</v>
      </c>
      <c r="AO186">
        <v>10.48593</v>
      </c>
      <c r="AP186">
        <v>4.8790100000000003E-2</v>
      </c>
      <c r="AQ186">
        <v>8.9893509999999992</v>
      </c>
      <c r="AR186">
        <v>3.8006799999999998</v>
      </c>
      <c r="AS186">
        <v>3.5175000000000001</v>
      </c>
      <c r="AT186">
        <v>9.7237399999999994</v>
      </c>
      <c r="AU186">
        <v>67.679000000000002</v>
      </c>
      <c r="AV186">
        <v>147.202</v>
      </c>
      <c r="AW186">
        <v>2.3955000000000002</v>
      </c>
      <c r="AX186" s="17">
        <v>1300000000</v>
      </c>
      <c r="AY186">
        <v>3.30322</v>
      </c>
      <c r="AZ186">
        <v>0.21</v>
      </c>
      <c r="BA186">
        <v>0.34830670000000002</v>
      </c>
      <c r="BB186">
        <v>0.34830675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-0.69328999999999996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8.2083999999999994E-3</v>
      </c>
      <c r="CG186">
        <v>0.4975465</v>
      </c>
      <c r="CH186">
        <v>0.163992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-0.34249030000000003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0.24755250000000001</v>
      </c>
      <c r="DI186">
        <v>0.1172996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0.1044848</v>
      </c>
      <c r="DW186">
        <v>-7.1923000000000001E-2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13.9428</v>
      </c>
      <c r="EW186">
        <v>7.1342699999999995E-2</v>
      </c>
      <c r="EX186">
        <v>7.1560299999999993E-2</v>
      </c>
      <c r="EY186">
        <v>7.1350999999999998E-2</v>
      </c>
      <c r="EZ186">
        <v>7.1224999999999997E-2</v>
      </c>
      <c r="FA186">
        <v>7.1380700000000005E-2</v>
      </c>
      <c r="FB186">
        <v>7.1540900000000004E-2</v>
      </c>
      <c r="FC186">
        <v>7.1703100000000006E-2</v>
      </c>
      <c r="FD186">
        <v>7.1350999999999998E-2</v>
      </c>
      <c r="FE186">
        <v>7.1363899999999994E-2</v>
      </c>
      <c r="FF186">
        <v>7.1625800000000003E-2</v>
      </c>
      <c r="FG186">
        <v>7.1607699999999996E-2</v>
      </c>
      <c r="FH186">
        <v>7.1287299999999998E-2</v>
      </c>
      <c r="FI186">
        <v>7.1364899999999995E-2</v>
      </c>
      <c r="FJ186">
        <v>7.1295499999999998E-2</v>
      </c>
      <c r="FK186">
        <v>0.30332759999999998</v>
      </c>
      <c r="FL186">
        <v>9.2007599999999995E-2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0.23226340000000001</v>
      </c>
      <c r="FZ186">
        <v>-0.85285</v>
      </c>
      <c r="GA186">
        <v>0.25075589999999998</v>
      </c>
      <c r="GB186">
        <v>-0.17317959999999999</v>
      </c>
      <c r="GC186">
        <v>-0.6055239</v>
      </c>
      <c r="GD186">
        <v>-0.52933629999999998</v>
      </c>
      <c r="GE186">
        <v>-0.56004180000000003</v>
      </c>
      <c r="GF186">
        <v>0.57666499999999998</v>
      </c>
      <c r="GG186">
        <v>0.1073875</v>
      </c>
      <c r="GH186">
        <v>-0.79582459999999999</v>
      </c>
      <c r="GI186">
        <v>0.63333680000000003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6.36988E-2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-0.1671232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1</v>
      </c>
      <c r="IV186">
        <v>1</v>
      </c>
      <c r="IW186">
        <v>1</v>
      </c>
      <c r="IX186">
        <v>1</v>
      </c>
      <c r="IY186">
        <v>1</v>
      </c>
      <c r="IZ186">
        <v>1</v>
      </c>
      <c r="JA186">
        <v>1</v>
      </c>
      <c r="JB186">
        <v>1</v>
      </c>
      <c r="JC186">
        <v>1</v>
      </c>
      <c r="JD186">
        <v>1</v>
      </c>
      <c r="JE186">
        <v>1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1</v>
      </c>
      <c r="JQ186">
        <v>1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1</v>
      </c>
      <c r="KH186">
        <v>1</v>
      </c>
      <c r="KI186">
        <v>1</v>
      </c>
      <c r="KJ186">
        <v>1</v>
      </c>
      <c r="KK186">
        <v>1</v>
      </c>
      <c r="KL186">
        <v>1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1</v>
      </c>
      <c r="KU186">
        <v>1</v>
      </c>
      <c r="KV186">
        <v>1</v>
      </c>
      <c r="KW186">
        <v>1</v>
      </c>
      <c r="KX186">
        <v>1</v>
      </c>
      <c r="KY186">
        <v>1</v>
      </c>
      <c r="KZ186">
        <v>1</v>
      </c>
      <c r="LA186">
        <v>1</v>
      </c>
      <c r="LB186">
        <v>1</v>
      </c>
      <c r="LC186">
        <v>1</v>
      </c>
      <c r="LD186">
        <v>1</v>
      </c>
      <c r="LE186">
        <v>1</v>
      </c>
      <c r="LF186">
        <v>1</v>
      </c>
      <c r="LG186">
        <v>1</v>
      </c>
      <c r="LH186">
        <v>1</v>
      </c>
      <c r="LI186">
        <v>1</v>
      </c>
      <c r="LJ186">
        <v>1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1</v>
      </c>
      <c r="LQ186">
        <v>1</v>
      </c>
      <c r="LR186">
        <v>1</v>
      </c>
      <c r="LS186">
        <v>1</v>
      </c>
      <c r="LT186">
        <v>1</v>
      </c>
      <c r="LU186">
        <v>1</v>
      </c>
      <c r="LV186">
        <v>1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1</v>
      </c>
      <c r="MF186">
        <v>1</v>
      </c>
      <c r="MG186">
        <v>1</v>
      </c>
      <c r="MH186">
        <v>1</v>
      </c>
      <c r="MI186">
        <v>1</v>
      </c>
      <c r="MJ186">
        <v>1</v>
      </c>
      <c r="MK186">
        <v>1</v>
      </c>
      <c r="ML186">
        <v>1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1</v>
      </c>
      <c r="MV186">
        <v>1</v>
      </c>
      <c r="MW186">
        <v>1</v>
      </c>
      <c r="MX186">
        <v>1</v>
      </c>
      <c r="MY186">
        <v>1</v>
      </c>
      <c r="MZ186">
        <v>1</v>
      </c>
      <c r="NA186">
        <v>1</v>
      </c>
      <c r="NB186">
        <v>1</v>
      </c>
      <c r="NC186">
        <v>1</v>
      </c>
      <c r="ND186">
        <v>1</v>
      </c>
      <c r="NE186">
        <v>1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94.551090000000002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27.2</v>
      </c>
      <c r="OD186">
        <v>16709.599999999999</v>
      </c>
      <c r="OE186">
        <v>0</v>
      </c>
      <c r="OF186">
        <v>44.7316</v>
      </c>
      <c r="OG186">
        <v>33.700000000000003</v>
      </c>
      <c r="OH186">
        <v>67.679000000000002</v>
      </c>
    </row>
    <row r="187" spans="1:398">
      <c r="A187">
        <v>17</v>
      </c>
      <c r="B187" t="s">
        <v>21</v>
      </c>
      <c r="C187" t="s">
        <v>20</v>
      </c>
      <c r="D187">
        <v>2019</v>
      </c>
      <c r="E187">
        <v>20.562000000000001</v>
      </c>
      <c r="F187">
        <v>0.82050000000000001</v>
      </c>
      <c r="G187">
        <v>542</v>
      </c>
      <c r="H187">
        <v>49.7</v>
      </c>
      <c r="I187">
        <v>82.7</v>
      </c>
      <c r="J187">
        <v>3.9</v>
      </c>
      <c r="K187">
        <v>353.4</v>
      </c>
      <c r="L187">
        <v>0.7</v>
      </c>
      <c r="M187">
        <v>2</v>
      </c>
      <c r="N187">
        <v>37606</v>
      </c>
      <c r="O187">
        <v>1.5</v>
      </c>
      <c r="P187">
        <v>1.08</v>
      </c>
      <c r="Q187">
        <v>8649.25</v>
      </c>
      <c r="R187">
        <v>40.5</v>
      </c>
      <c r="S187">
        <v>0.307778</v>
      </c>
      <c r="T187">
        <v>0.27697329999999998</v>
      </c>
      <c r="U187">
        <v>-0.8690698</v>
      </c>
      <c r="V187">
        <v>0.27353329999999998</v>
      </c>
      <c r="W187">
        <v>0.97392730000000005</v>
      </c>
      <c r="X187">
        <v>-4.8170900000000003E-2</v>
      </c>
      <c r="Y187">
        <v>-0.69708170000000003</v>
      </c>
      <c r="Z187">
        <v>-0.5770246</v>
      </c>
      <c r="AA187">
        <v>8.3346600000000007E-2</v>
      </c>
      <c r="AB187">
        <v>0.33847840000000001</v>
      </c>
      <c r="AC187">
        <v>-0.51978899999999995</v>
      </c>
      <c r="AD187">
        <v>0.72367800000000004</v>
      </c>
      <c r="AE187">
        <v>0.31560440000000001</v>
      </c>
      <c r="AF187">
        <v>0.12201099999999999</v>
      </c>
      <c r="AG187">
        <v>-0.55570160000000002</v>
      </c>
      <c r="AH187">
        <v>-0.57652820000000005</v>
      </c>
      <c r="AI187">
        <v>3.0234450000000002</v>
      </c>
      <c r="AJ187">
        <v>-0.1978413</v>
      </c>
      <c r="AK187">
        <v>6.2952659999999998</v>
      </c>
      <c r="AL187">
        <v>4.4152199999999997</v>
      </c>
      <c r="AM187">
        <v>1.3609770000000001</v>
      </c>
      <c r="AN187">
        <v>5.8676000000000004</v>
      </c>
      <c r="AO187">
        <v>10.53492</v>
      </c>
      <c r="AP187">
        <v>7.6961100000000005E-2</v>
      </c>
      <c r="AQ187">
        <v>9.0652279999999994</v>
      </c>
      <c r="AR187">
        <v>3.79819</v>
      </c>
      <c r="AS187">
        <v>3.5115400000000001</v>
      </c>
      <c r="AT187">
        <v>9.7721</v>
      </c>
      <c r="AU187">
        <v>67.855000000000004</v>
      </c>
      <c r="AV187">
        <v>148.375</v>
      </c>
      <c r="AW187">
        <v>6.2303499999999996</v>
      </c>
      <c r="AX187" s="17">
        <v>3400000000</v>
      </c>
      <c r="AY187">
        <v>3.32863</v>
      </c>
      <c r="AZ187">
        <v>0.2</v>
      </c>
      <c r="BA187">
        <v>0.40546510000000002</v>
      </c>
      <c r="BB187">
        <v>0.40546510000000002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-0.61618600000000001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7.6585000000000004E-3</v>
      </c>
      <c r="CG187">
        <v>0.50628399999999996</v>
      </c>
      <c r="CH187">
        <v>0.166213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-0.30968440000000003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0.25632349999999998</v>
      </c>
      <c r="DI187">
        <v>9.5904400000000001E-2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0.10125679999999999</v>
      </c>
      <c r="DW187">
        <v>-6.1936900000000003E-2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13.942170000000001</v>
      </c>
      <c r="EW187">
        <v>7.1342199999999995E-2</v>
      </c>
      <c r="EX187">
        <v>7.1568099999999996E-2</v>
      </c>
      <c r="EY187">
        <v>7.1352899999999997E-2</v>
      </c>
      <c r="EZ187">
        <v>7.1254799999999993E-2</v>
      </c>
      <c r="FA187">
        <v>7.1377399999999994E-2</v>
      </c>
      <c r="FB187">
        <v>7.1564199999999994E-2</v>
      </c>
      <c r="FC187">
        <v>7.1681700000000001E-2</v>
      </c>
      <c r="FD187">
        <v>7.13559E-2</v>
      </c>
      <c r="FE187">
        <v>7.1348499999999995E-2</v>
      </c>
      <c r="FF187">
        <v>7.1624900000000005E-2</v>
      </c>
      <c r="FG187">
        <v>7.1609300000000001E-2</v>
      </c>
      <c r="FH187">
        <v>7.12729E-2</v>
      </c>
      <c r="FI187">
        <v>7.1336800000000006E-2</v>
      </c>
      <c r="FJ187">
        <v>7.1310499999999999E-2</v>
      </c>
      <c r="FK187">
        <v>0.30739240000000001</v>
      </c>
      <c r="FL187">
        <v>9.4490099999999994E-2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0.27697329999999998</v>
      </c>
      <c r="FZ187">
        <v>-0.8690698</v>
      </c>
      <c r="GA187">
        <v>0.27353329999999998</v>
      </c>
      <c r="GB187">
        <v>-4.8170900000000003E-2</v>
      </c>
      <c r="GC187">
        <v>-0.5770246</v>
      </c>
      <c r="GD187">
        <v>-0.51978899999999995</v>
      </c>
      <c r="GE187">
        <v>-0.55570160000000002</v>
      </c>
      <c r="GF187">
        <v>0.72367800000000004</v>
      </c>
      <c r="GG187">
        <v>0.31560440000000001</v>
      </c>
      <c r="GH187">
        <v>-0.88847830000000005</v>
      </c>
      <c r="GI187">
        <v>0.78939369999999998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6.1478499999999998E-2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-0.17769570000000001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1</v>
      </c>
      <c r="IP187">
        <v>1</v>
      </c>
      <c r="IQ187">
        <v>1</v>
      </c>
      <c r="IR187">
        <v>1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1</v>
      </c>
      <c r="JE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1</v>
      </c>
      <c r="JR187">
        <v>1</v>
      </c>
      <c r="JS187">
        <v>1</v>
      </c>
      <c r="JT187">
        <v>1</v>
      </c>
      <c r="JU187">
        <v>1</v>
      </c>
      <c r="JV187">
        <v>1</v>
      </c>
      <c r="JW187">
        <v>1</v>
      </c>
      <c r="JX187">
        <v>1</v>
      </c>
      <c r="JY187">
        <v>1</v>
      </c>
      <c r="JZ187">
        <v>1</v>
      </c>
      <c r="KA187">
        <v>1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1</v>
      </c>
      <c r="KN187">
        <v>1</v>
      </c>
      <c r="KO187">
        <v>1</v>
      </c>
      <c r="KP187">
        <v>1</v>
      </c>
      <c r="KQ187">
        <v>1</v>
      </c>
      <c r="KR187">
        <v>1</v>
      </c>
      <c r="KS187">
        <v>1</v>
      </c>
      <c r="KT187">
        <v>1</v>
      </c>
      <c r="KU187">
        <v>1</v>
      </c>
      <c r="KV187">
        <v>1</v>
      </c>
      <c r="KW187">
        <v>1</v>
      </c>
      <c r="KX187">
        <v>1</v>
      </c>
      <c r="KY187">
        <v>1</v>
      </c>
      <c r="KZ187">
        <v>1</v>
      </c>
      <c r="LA187">
        <v>1</v>
      </c>
      <c r="LB187">
        <v>1</v>
      </c>
      <c r="LC187">
        <v>1</v>
      </c>
      <c r="LD187">
        <v>1</v>
      </c>
      <c r="LE187">
        <v>1</v>
      </c>
      <c r="LF187">
        <v>1</v>
      </c>
      <c r="LG187">
        <v>1</v>
      </c>
      <c r="LH187">
        <v>1</v>
      </c>
      <c r="LI187">
        <v>1</v>
      </c>
      <c r="LJ187">
        <v>1</v>
      </c>
      <c r="LK187">
        <v>1</v>
      </c>
      <c r="LL187">
        <v>1</v>
      </c>
      <c r="LM187">
        <v>1</v>
      </c>
      <c r="LN187">
        <v>1</v>
      </c>
      <c r="LO187">
        <v>1</v>
      </c>
      <c r="LP187">
        <v>1</v>
      </c>
      <c r="LQ187">
        <v>1</v>
      </c>
      <c r="LR187">
        <v>1</v>
      </c>
      <c r="LS187">
        <v>1</v>
      </c>
      <c r="LT187">
        <v>1</v>
      </c>
      <c r="LU187">
        <v>1</v>
      </c>
      <c r="LV187">
        <v>1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1</v>
      </c>
      <c r="MC187">
        <v>1</v>
      </c>
      <c r="MD187">
        <v>1</v>
      </c>
      <c r="ME187">
        <v>1</v>
      </c>
      <c r="MF187">
        <v>1</v>
      </c>
      <c r="MG187">
        <v>1</v>
      </c>
      <c r="MH187">
        <v>1</v>
      </c>
      <c r="MI187">
        <v>1</v>
      </c>
      <c r="MJ187">
        <v>1</v>
      </c>
      <c r="MK187">
        <v>1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1</v>
      </c>
      <c r="MW187">
        <v>1</v>
      </c>
      <c r="MX187">
        <v>1</v>
      </c>
      <c r="MY187">
        <v>1</v>
      </c>
      <c r="MZ187">
        <v>1</v>
      </c>
      <c r="NA187">
        <v>1</v>
      </c>
      <c r="NB187">
        <v>1</v>
      </c>
      <c r="NC187">
        <v>1</v>
      </c>
      <c r="ND187">
        <v>1</v>
      </c>
      <c r="NE187">
        <v>1</v>
      </c>
      <c r="NF187">
        <v>1</v>
      </c>
      <c r="NG187">
        <v>1</v>
      </c>
      <c r="NH187">
        <v>1</v>
      </c>
      <c r="NI187">
        <v>1</v>
      </c>
      <c r="NJ187">
        <v>1</v>
      </c>
      <c r="NK187">
        <v>1</v>
      </c>
      <c r="NL187">
        <v>1</v>
      </c>
      <c r="NM187">
        <v>1</v>
      </c>
      <c r="NN187">
        <v>1</v>
      </c>
      <c r="NO187">
        <v>1</v>
      </c>
      <c r="NP187">
        <v>95.493870000000001</v>
      </c>
      <c r="NQ187">
        <v>1</v>
      </c>
      <c r="NR187">
        <v>1</v>
      </c>
      <c r="NS187">
        <v>1</v>
      </c>
      <c r="NT187">
        <v>1</v>
      </c>
      <c r="NU187">
        <v>1</v>
      </c>
      <c r="NV187">
        <v>1</v>
      </c>
      <c r="NW187">
        <v>1</v>
      </c>
      <c r="NX187">
        <v>1</v>
      </c>
      <c r="NY187">
        <v>1</v>
      </c>
      <c r="NZ187">
        <v>1</v>
      </c>
      <c r="OA187">
        <v>1</v>
      </c>
      <c r="OB187">
        <v>1</v>
      </c>
      <c r="OC187">
        <v>27.9</v>
      </c>
      <c r="OD187">
        <v>17537.5</v>
      </c>
      <c r="OE187">
        <v>0.54</v>
      </c>
      <c r="OF187">
        <v>44.6205</v>
      </c>
      <c r="OG187">
        <v>33.5</v>
      </c>
      <c r="OH187">
        <v>67.855000000000004</v>
      </c>
    </row>
    <row r="188" spans="1:398">
      <c r="A188">
        <v>17</v>
      </c>
      <c r="B188" t="s">
        <v>21</v>
      </c>
      <c r="C188" t="s">
        <v>20</v>
      </c>
      <c r="D188">
        <v>2020</v>
      </c>
      <c r="E188">
        <v>21.863</v>
      </c>
      <c r="F188">
        <v>0.77559999999999996</v>
      </c>
      <c r="G188">
        <v>523</v>
      </c>
      <c r="H188">
        <v>45.3</v>
      </c>
      <c r="I188">
        <v>82</v>
      </c>
      <c r="J188">
        <v>4</v>
      </c>
      <c r="K188">
        <v>406.2</v>
      </c>
      <c r="L188">
        <v>0.8</v>
      </c>
      <c r="M188">
        <v>1.9</v>
      </c>
      <c r="N188">
        <v>38335</v>
      </c>
      <c r="O188">
        <v>1.5833299999999999</v>
      </c>
      <c r="P188">
        <v>1</v>
      </c>
      <c r="Q188">
        <v>9281.24</v>
      </c>
      <c r="R188">
        <v>36.700000000000003</v>
      </c>
      <c r="S188">
        <v>0.29731000000000002</v>
      </c>
      <c r="T188">
        <v>0.43503760000000002</v>
      </c>
      <c r="U188">
        <v>-0.91216249999999999</v>
      </c>
      <c r="V188">
        <v>0.12927640000000001</v>
      </c>
      <c r="W188">
        <v>0.69068640000000003</v>
      </c>
      <c r="X188">
        <v>-0.14540020000000001</v>
      </c>
      <c r="Y188">
        <v>-0.68106869999999997</v>
      </c>
      <c r="Z188">
        <v>-0.57013469999999999</v>
      </c>
      <c r="AA188">
        <v>0.361481</v>
      </c>
      <c r="AB188">
        <v>0.2065517</v>
      </c>
      <c r="AC188">
        <v>-0.51591799999999999</v>
      </c>
      <c r="AD188">
        <v>0.33164440000000001</v>
      </c>
      <c r="AE188">
        <v>0.5238216</v>
      </c>
      <c r="AF188">
        <v>-7.8165799999999994E-2</v>
      </c>
      <c r="AG188">
        <v>-0.55136130000000005</v>
      </c>
      <c r="AH188">
        <v>-0.7624476</v>
      </c>
      <c r="AI188">
        <v>3.0847959999999999</v>
      </c>
      <c r="AJ188">
        <v>-0.25411830000000002</v>
      </c>
      <c r="AK188">
        <v>6.259582</v>
      </c>
      <c r="AL188">
        <v>4.4067189999999998</v>
      </c>
      <c r="AM188">
        <v>1.3862939999999999</v>
      </c>
      <c r="AN188">
        <v>6.0068450000000002</v>
      </c>
      <c r="AO188">
        <v>10.554119999999999</v>
      </c>
      <c r="AP188">
        <v>0</v>
      </c>
      <c r="AQ188">
        <v>9.1357510000000008</v>
      </c>
      <c r="AR188">
        <v>3.7984599999999999</v>
      </c>
      <c r="AS188">
        <v>3.4563199999999998</v>
      </c>
      <c r="AT188">
        <v>9.7722599999999993</v>
      </c>
      <c r="AU188">
        <v>68.046000000000006</v>
      </c>
      <c r="AV188">
        <v>135.797</v>
      </c>
      <c r="AW188">
        <v>7.9434500000000003</v>
      </c>
      <c r="AX188" s="17">
        <v>4600000000</v>
      </c>
      <c r="AY188">
        <v>3.3498999999999999</v>
      </c>
      <c r="AZ188">
        <v>0.21</v>
      </c>
      <c r="BA188">
        <v>0.4595323</v>
      </c>
      <c r="BB188">
        <v>0.45953229000000001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-0.53908199999999995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6.8719999999999996E-3</v>
      </c>
      <c r="CG188">
        <v>0.49711169999999999</v>
      </c>
      <c r="CH188">
        <v>0.161495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-0.4943187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0.24712010000000001</v>
      </c>
      <c r="DI188">
        <v>0.24435100000000001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0.1043935</v>
      </c>
      <c r="DW188">
        <v>-0.10380689999999999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v>13.94346</v>
      </c>
      <c r="EW188">
        <v>7.1318300000000001E-2</v>
      </c>
      <c r="EX188">
        <v>7.1573100000000001E-2</v>
      </c>
      <c r="EY188">
        <v>7.1367299999999995E-2</v>
      </c>
      <c r="EZ188">
        <v>7.1287100000000006E-2</v>
      </c>
      <c r="FA188">
        <v>7.1378399999999995E-2</v>
      </c>
      <c r="FB188">
        <v>7.15528E-2</v>
      </c>
      <c r="FC188">
        <v>7.16696E-2</v>
      </c>
      <c r="FD188">
        <v>7.13028E-2</v>
      </c>
      <c r="FE188">
        <v>7.1363800000000005E-2</v>
      </c>
      <c r="FF188">
        <v>7.1616600000000002E-2</v>
      </c>
      <c r="FG188">
        <v>7.1600899999999995E-2</v>
      </c>
      <c r="FH188">
        <v>7.13226E-2</v>
      </c>
      <c r="FI188">
        <v>7.1300199999999994E-2</v>
      </c>
      <c r="FJ188">
        <v>7.1346499999999993E-2</v>
      </c>
      <c r="FK188">
        <v>0.29697020000000002</v>
      </c>
      <c r="FL188">
        <v>8.81913E-2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0.43503760000000002</v>
      </c>
      <c r="FZ188">
        <v>-0.91216249999999999</v>
      </c>
      <c r="GA188">
        <v>0.12927640000000001</v>
      </c>
      <c r="GB188">
        <v>-0.14540020000000001</v>
      </c>
      <c r="GC188">
        <v>-0.57013469999999999</v>
      </c>
      <c r="GD188">
        <v>-0.51591799999999999</v>
      </c>
      <c r="GE188">
        <v>-0.55136130000000005</v>
      </c>
      <c r="GF188">
        <v>0.33164440000000001</v>
      </c>
      <c r="GG188">
        <v>0.5238216</v>
      </c>
      <c r="GH188">
        <v>-1.1145339999999999</v>
      </c>
      <c r="GI188">
        <v>1.242186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6.2363700000000001E-2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-0.23405210000000001</v>
      </c>
      <c r="HJ188">
        <v>1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1</v>
      </c>
      <c r="IX188">
        <v>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1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1</v>
      </c>
      <c r="JQ188">
        <v>1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1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1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1</v>
      </c>
      <c r="KN188">
        <v>1</v>
      </c>
      <c r="KO188">
        <v>1</v>
      </c>
      <c r="KP188">
        <v>1</v>
      </c>
      <c r="KQ188">
        <v>1</v>
      </c>
      <c r="KR188">
        <v>1</v>
      </c>
      <c r="KS188">
        <v>1</v>
      </c>
      <c r="KT188">
        <v>1</v>
      </c>
      <c r="KU188">
        <v>1</v>
      </c>
      <c r="KV188">
        <v>1</v>
      </c>
      <c r="KW188">
        <v>1</v>
      </c>
      <c r="KX188">
        <v>1</v>
      </c>
      <c r="KY188">
        <v>1</v>
      </c>
      <c r="KZ188">
        <v>1</v>
      </c>
      <c r="LA188">
        <v>1</v>
      </c>
      <c r="LB188">
        <v>1</v>
      </c>
      <c r="LC188">
        <v>1</v>
      </c>
      <c r="LD188">
        <v>1</v>
      </c>
      <c r="LE188">
        <v>1</v>
      </c>
      <c r="LF188">
        <v>1</v>
      </c>
      <c r="LG188">
        <v>1</v>
      </c>
      <c r="LH188">
        <v>1</v>
      </c>
      <c r="LI188">
        <v>1</v>
      </c>
      <c r="LJ188">
        <v>1</v>
      </c>
      <c r="LK188">
        <v>1</v>
      </c>
      <c r="LL188">
        <v>1</v>
      </c>
      <c r="LM188">
        <v>1</v>
      </c>
      <c r="LN188">
        <v>1</v>
      </c>
      <c r="LO188">
        <v>1</v>
      </c>
      <c r="LP188">
        <v>1</v>
      </c>
      <c r="LQ188">
        <v>1</v>
      </c>
      <c r="LR188">
        <v>1</v>
      </c>
      <c r="LS188">
        <v>1</v>
      </c>
      <c r="LT188">
        <v>1</v>
      </c>
      <c r="LU188">
        <v>1</v>
      </c>
      <c r="LV188">
        <v>1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1</v>
      </c>
      <c r="MC188">
        <v>1</v>
      </c>
      <c r="MD188">
        <v>1</v>
      </c>
      <c r="ME188">
        <v>1</v>
      </c>
      <c r="MF188">
        <v>1</v>
      </c>
      <c r="MG188">
        <v>1</v>
      </c>
      <c r="MH188">
        <v>1</v>
      </c>
      <c r="MI188">
        <v>1</v>
      </c>
      <c r="MJ188">
        <v>1</v>
      </c>
      <c r="MK188">
        <v>1</v>
      </c>
      <c r="ML188">
        <v>1</v>
      </c>
      <c r="MM188">
        <v>1</v>
      </c>
      <c r="MN188">
        <v>1</v>
      </c>
      <c r="MO188">
        <v>1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1</v>
      </c>
      <c r="MX188">
        <v>1</v>
      </c>
      <c r="MY188">
        <v>1</v>
      </c>
      <c r="MZ188">
        <v>1</v>
      </c>
      <c r="NA188">
        <v>1</v>
      </c>
      <c r="NB188">
        <v>1</v>
      </c>
      <c r="NC188">
        <v>1</v>
      </c>
      <c r="ND188">
        <v>1</v>
      </c>
      <c r="NE188">
        <v>1</v>
      </c>
      <c r="NF188">
        <v>1</v>
      </c>
      <c r="NG188">
        <v>1</v>
      </c>
      <c r="NH188">
        <v>1</v>
      </c>
      <c r="NI188">
        <v>1</v>
      </c>
      <c r="NJ188">
        <v>1</v>
      </c>
      <c r="NK188">
        <v>1</v>
      </c>
      <c r="NL188">
        <v>1</v>
      </c>
      <c r="NM188">
        <v>1</v>
      </c>
      <c r="NN188">
        <v>1</v>
      </c>
      <c r="NO188">
        <v>1</v>
      </c>
      <c r="NP188">
        <v>95.497</v>
      </c>
      <c r="NQ188">
        <v>1</v>
      </c>
      <c r="NR188">
        <v>1</v>
      </c>
      <c r="NS188">
        <v>1</v>
      </c>
      <c r="NT188">
        <v>1</v>
      </c>
      <c r="NU188">
        <v>1</v>
      </c>
      <c r="NV188">
        <v>1</v>
      </c>
      <c r="NW188">
        <v>1</v>
      </c>
      <c r="NX188">
        <v>1</v>
      </c>
      <c r="NY188">
        <v>1</v>
      </c>
      <c r="NZ188">
        <v>1</v>
      </c>
      <c r="OA188">
        <v>1</v>
      </c>
      <c r="OB188">
        <v>1</v>
      </c>
      <c r="OC188">
        <v>28.5</v>
      </c>
      <c r="OD188">
        <v>17540.3</v>
      </c>
      <c r="OE188">
        <v>0</v>
      </c>
      <c r="OF188">
        <v>44.6325</v>
      </c>
      <c r="OG188">
        <v>31.7</v>
      </c>
      <c r="OH188">
        <v>68.046000000000006</v>
      </c>
    </row>
    <row r="189" spans="1:398">
      <c r="A189">
        <v>18</v>
      </c>
      <c r="B189" t="s">
        <v>19</v>
      </c>
      <c r="C189" t="s">
        <v>18</v>
      </c>
      <c r="D189">
        <v>2010</v>
      </c>
      <c r="E189">
        <v>32.488999999999997</v>
      </c>
      <c r="F189">
        <v>4.2713000000000001</v>
      </c>
      <c r="G189">
        <v>486</v>
      </c>
      <c r="H189">
        <v>46.5</v>
      </c>
      <c r="I189">
        <v>85.7</v>
      </c>
      <c r="J189">
        <v>23.4</v>
      </c>
      <c r="K189">
        <v>2510.4</v>
      </c>
      <c r="L189">
        <v>0.7</v>
      </c>
      <c r="M189">
        <v>0.9</v>
      </c>
      <c r="N189">
        <v>1643</v>
      </c>
      <c r="O189">
        <v>1.8</v>
      </c>
      <c r="P189">
        <v>0.79</v>
      </c>
      <c r="Q189">
        <v>14304.2</v>
      </c>
      <c r="R189">
        <v>90.2</v>
      </c>
      <c r="S189">
        <v>0.46118599999999998</v>
      </c>
      <c r="T189">
        <v>1.726037</v>
      </c>
      <c r="U189">
        <v>2.4428350000000001</v>
      </c>
      <c r="V189">
        <v>-0.1516448</v>
      </c>
      <c r="W189">
        <v>0.76793389999999995</v>
      </c>
      <c r="X189">
        <v>0.36852750000000001</v>
      </c>
      <c r="Y189">
        <v>2.4254709999999999</v>
      </c>
      <c r="Z189">
        <v>-0.29555530000000002</v>
      </c>
      <c r="AA189">
        <v>8.3346600000000007E-2</v>
      </c>
      <c r="AB189">
        <v>-1.112714</v>
      </c>
      <c r="AC189">
        <v>-0.71075169999999999</v>
      </c>
      <c r="AD189">
        <v>-0.69744309999999998</v>
      </c>
      <c r="AE189">
        <v>2.1786699999999999</v>
      </c>
      <c r="AF189">
        <v>2.740113</v>
      </c>
      <c r="AG189">
        <v>-0.54007660000000002</v>
      </c>
      <c r="AH189">
        <v>2.6221420000000002</v>
      </c>
      <c r="AI189">
        <v>3.4809009999999998</v>
      </c>
      <c r="AJ189">
        <v>1.451918</v>
      </c>
      <c r="AK189">
        <v>6.1862089999999998</v>
      </c>
      <c r="AL189">
        <v>4.4508530000000004</v>
      </c>
      <c r="AM189">
        <v>3.152736</v>
      </c>
      <c r="AN189">
        <v>7.8281970000000003</v>
      </c>
      <c r="AO189">
        <v>7.4042789999999998</v>
      </c>
      <c r="AP189">
        <v>-0.2357223</v>
      </c>
      <c r="AQ189">
        <v>9.5683059999999998</v>
      </c>
      <c r="AR189">
        <v>5.2827799999999998</v>
      </c>
      <c r="AS189">
        <v>1.30833</v>
      </c>
      <c r="AT189">
        <v>11.5763</v>
      </c>
      <c r="AU189">
        <v>88.546999999999997</v>
      </c>
      <c r="AV189">
        <v>293.67200000000003</v>
      </c>
      <c r="AW189">
        <v>41.364600000000003</v>
      </c>
      <c r="AX189" s="17">
        <v>23000000000</v>
      </c>
      <c r="AY189">
        <v>3.3498999999999999</v>
      </c>
      <c r="AZ189">
        <v>0.74</v>
      </c>
      <c r="BA189">
        <v>0.58778660000000005</v>
      </c>
      <c r="BB189">
        <v>0.58778660999999999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1.26695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7.0225000000000001E-3</v>
      </c>
      <c r="CG189">
        <v>0.61020640000000004</v>
      </c>
      <c r="CH189">
        <v>0.31486799999999998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2.2815430000000001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0.37235190000000001</v>
      </c>
      <c r="DI189">
        <v>5.2054400000000003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0.45155269999999997</v>
      </c>
      <c r="DW189">
        <v>1.688342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13.917770000000001</v>
      </c>
      <c r="EW189">
        <v>7.1305599999999997E-2</v>
      </c>
      <c r="EX189">
        <v>7.1054999999999993E-2</v>
      </c>
      <c r="EY189">
        <v>7.1538900000000002E-2</v>
      </c>
      <c r="EZ189">
        <v>7.1411100000000005E-2</v>
      </c>
      <c r="FA189">
        <v>7.1479399999999998E-2</v>
      </c>
      <c r="FB189">
        <v>7.0990300000000006E-2</v>
      </c>
      <c r="FC189">
        <v>7.16223E-2</v>
      </c>
      <c r="FD189">
        <v>7.1484599999999995E-2</v>
      </c>
      <c r="FE189">
        <v>7.1724899999999994E-2</v>
      </c>
      <c r="FF189">
        <v>7.1850600000000001E-2</v>
      </c>
      <c r="FG189">
        <v>7.1728500000000001E-2</v>
      </c>
      <c r="FH189">
        <v>7.1609999999999993E-2</v>
      </c>
      <c r="FI189">
        <v>7.1204699999999996E-2</v>
      </c>
      <c r="FJ189">
        <v>7.0994100000000004E-2</v>
      </c>
      <c r="FK189">
        <v>0.45996130000000002</v>
      </c>
      <c r="FL189">
        <v>0.21156440000000001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1.726037</v>
      </c>
      <c r="FZ189">
        <v>2.4428350000000001</v>
      </c>
      <c r="GA189">
        <v>-0.1516448</v>
      </c>
      <c r="GB189">
        <v>0.36852750000000001</v>
      </c>
      <c r="GC189">
        <v>-0.29555530000000002</v>
      </c>
      <c r="GD189">
        <v>-0.71075169999999999</v>
      </c>
      <c r="GE189">
        <v>-0.54007660000000002</v>
      </c>
      <c r="GF189">
        <v>-0.69744309999999998</v>
      </c>
      <c r="GG189">
        <v>2.1786699999999999</v>
      </c>
      <c r="GH189">
        <v>2.8763329999999998</v>
      </c>
      <c r="GI189">
        <v>8.2732939999999999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0.34037139999999999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2.1284869999999998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1</v>
      </c>
      <c r="JI189">
        <v>1</v>
      </c>
      <c r="JJ189">
        <v>1</v>
      </c>
      <c r="JK189">
        <v>1</v>
      </c>
      <c r="JL189">
        <v>1</v>
      </c>
      <c r="JM189">
        <v>1</v>
      </c>
      <c r="JN189">
        <v>1</v>
      </c>
      <c r="JO189">
        <v>1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1</v>
      </c>
      <c r="KQ189">
        <v>1</v>
      </c>
      <c r="KR189">
        <v>1</v>
      </c>
      <c r="KS189">
        <v>1</v>
      </c>
      <c r="KT189">
        <v>1</v>
      </c>
      <c r="KU189">
        <v>1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1</v>
      </c>
      <c r="LF189">
        <v>1</v>
      </c>
      <c r="LG189">
        <v>1</v>
      </c>
      <c r="LH189">
        <v>1</v>
      </c>
      <c r="LI189">
        <v>1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1</v>
      </c>
      <c r="LV189">
        <v>1</v>
      </c>
      <c r="LW189">
        <v>1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1</v>
      </c>
      <c r="MF189">
        <v>1</v>
      </c>
      <c r="MG189">
        <v>1</v>
      </c>
      <c r="MH189">
        <v>1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1</v>
      </c>
      <c r="MX189">
        <v>1</v>
      </c>
      <c r="MY189">
        <v>1</v>
      </c>
      <c r="MZ189">
        <v>1</v>
      </c>
      <c r="NA189">
        <v>1</v>
      </c>
      <c r="NB189">
        <v>1</v>
      </c>
      <c r="NC189">
        <v>1</v>
      </c>
      <c r="ND189">
        <v>1</v>
      </c>
      <c r="NE189">
        <v>1</v>
      </c>
      <c r="NF189">
        <v>1</v>
      </c>
      <c r="NG189">
        <v>1</v>
      </c>
      <c r="NH189">
        <v>1</v>
      </c>
      <c r="NI189">
        <v>1</v>
      </c>
      <c r="NJ189">
        <v>1</v>
      </c>
      <c r="NK189">
        <v>1</v>
      </c>
      <c r="NL189">
        <v>1</v>
      </c>
      <c r="NM189">
        <v>1</v>
      </c>
      <c r="NN189">
        <v>1</v>
      </c>
      <c r="NO189">
        <v>1</v>
      </c>
      <c r="NP189">
        <v>134.011</v>
      </c>
      <c r="NQ189">
        <v>1</v>
      </c>
      <c r="NR189">
        <v>1</v>
      </c>
      <c r="NS189">
        <v>1</v>
      </c>
      <c r="NT189">
        <v>1</v>
      </c>
      <c r="NU189">
        <v>1</v>
      </c>
      <c r="NV189">
        <v>1</v>
      </c>
      <c r="NW189">
        <v>1</v>
      </c>
      <c r="NX189">
        <v>1</v>
      </c>
      <c r="NY189">
        <v>1</v>
      </c>
      <c r="NZ189">
        <v>1</v>
      </c>
      <c r="OA189">
        <v>1</v>
      </c>
      <c r="OB189">
        <v>1</v>
      </c>
      <c r="OC189">
        <v>28.5</v>
      </c>
      <c r="OD189">
        <v>106544</v>
      </c>
      <c r="OE189">
        <v>3.55</v>
      </c>
      <c r="OF189">
        <v>196.916</v>
      </c>
      <c r="OG189">
        <v>3.7</v>
      </c>
      <c r="OH189">
        <v>88.546999999999997</v>
      </c>
    </row>
    <row r="190" spans="1:398">
      <c r="A190">
        <v>18</v>
      </c>
      <c r="B190" t="s">
        <v>19</v>
      </c>
      <c r="C190" t="s">
        <v>18</v>
      </c>
      <c r="D190">
        <v>2011</v>
      </c>
      <c r="E190">
        <v>32.76</v>
      </c>
      <c r="F190">
        <v>4.2560000000000002</v>
      </c>
      <c r="G190">
        <v>365</v>
      </c>
      <c r="H190">
        <v>46.4</v>
      </c>
      <c r="I190">
        <v>86</v>
      </c>
      <c r="J190">
        <v>19.8</v>
      </c>
      <c r="K190">
        <v>2139.3000000000002</v>
      </c>
      <c r="L190">
        <v>0.7</v>
      </c>
      <c r="M190">
        <v>0.9</v>
      </c>
      <c r="N190">
        <v>1700</v>
      </c>
      <c r="O190">
        <v>1.67</v>
      </c>
      <c r="P190">
        <v>0.8</v>
      </c>
      <c r="Q190">
        <v>13678.4</v>
      </c>
      <c r="R190">
        <v>91.9</v>
      </c>
      <c r="S190">
        <v>0.43605300000000002</v>
      </c>
      <c r="T190">
        <v>1.7589619999999999</v>
      </c>
      <c r="U190">
        <v>2.4281510000000002</v>
      </c>
      <c r="V190">
        <v>-1.070333</v>
      </c>
      <c r="W190">
        <v>0.76149670000000003</v>
      </c>
      <c r="X190">
        <v>0.4101978</v>
      </c>
      <c r="Y190">
        <v>1.849</v>
      </c>
      <c r="Z190">
        <v>-0.34398050000000002</v>
      </c>
      <c r="AA190">
        <v>8.3346600000000007E-2</v>
      </c>
      <c r="AB190">
        <v>-1.112714</v>
      </c>
      <c r="AC190">
        <v>-0.710449</v>
      </c>
      <c r="AD190">
        <v>-0.64843899999999999</v>
      </c>
      <c r="AE190">
        <v>1.972494</v>
      </c>
      <c r="AF190">
        <v>2.8296670000000002</v>
      </c>
      <c r="AG190">
        <v>-0.54684739999999998</v>
      </c>
      <c r="AH190">
        <v>2.2747419999999998</v>
      </c>
      <c r="AI190">
        <v>3.4892080000000001</v>
      </c>
      <c r="AJ190">
        <v>1.4483299999999999</v>
      </c>
      <c r="AK190">
        <v>5.8998980000000003</v>
      </c>
      <c r="AL190">
        <v>4.4543470000000003</v>
      </c>
      <c r="AM190">
        <v>2.9856820000000002</v>
      </c>
      <c r="AN190">
        <v>7.668234</v>
      </c>
      <c r="AO190">
        <v>7.4383840000000001</v>
      </c>
      <c r="AP190">
        <v>-0.22314349999999999</v>
      </c>
      <c r="AQ190">
        <v>9.5235699999999994</v>
      </c>
      <c r="AR190">
        <v>5.3050100000000002</v>
      </c>
      <c r="AS190">
        <v>1.335</v>
      </c>
      <c r="AT190">
        <v>11.564500000000001</v>
      </c>
      <c r="AU190">
        <v>88.906000000000006</v>
      </c>
      <c r="AV190">
        <v>308.714</v>
      </c>
      <c r="AW190">
        <v>17.368600000000001</v>
      </c>
      <c r="AX190" s="17">
        <v>11000000000</v>
      </c>
      <c r="AY190">
        <v>3.4011999999999998</v>
      </c>
      <c r="AZ190">
        <v>0.72</v>
      </c>
      <c r="BA190">
        <v>0.51282360000000005</v>
      </c>
      <c r="BB190">
        <v>0.51282357999999995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1.1693800000000001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6.9572000000000002E-3</v>
      </c>
      <c r="CG190">
        <v>0.58464369999999999</v>
      </c>
      <c r="CH190">
        <v>0.29353099999999999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1.9528700000000001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0.34180820000000001</v>
      </c>
      <c r="DI190">
        <v>3.8136999999999999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0.42094340000000002</v>
      </c>
      <c r="DW190">
        <v>1.406066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13.922280000000001</v>
      </c>
      <c r="EW190">
        <v>7.1282899999999996E-2</v>
      </c>
      <c r="EX190">
        <v>7.1043200000000001E-2</v>
      </c>
      <c r="EY190">
        <v>7.1653599999999998E-2</v>
      </c>
      <c r="EZ190">
        <v>7.1391300000000005E-2</v>
      </c>
      <c r="FA190">
        <v>7.1455400000000002E-2</v>
      </c>
      <c r="FB190">
        <v>7.1083499999999994E-2</v>
      </c>
      <c r="FC190">
        <v>7.1627899999999994E-2</v>
      </c>
      <c r="FD190">
        <v>7.1463100000000002E-2</v>
      </c>
      <c r="FE190">
        <v>7.1701899999999999E-2</v>
      </c>
      <c r="FF190">
        <v>7.1827000000000002E-2</v>
      </c>
      <c r="FG190">
        <v>7.1708300000000003E-2</v>
      </c>
      <c r="FH190">
        <v>7.1579699999999996E-2</v>
      </c>
      <c r="FI190">
        <v>7.1213799999999994E-2</v>
      </c>
      <c r="FJ190">
        <v>7.0968500000000004E-2</v>
      </c>
      <c r="FK190">
        <v>0.4348648</v>
      </c>
      <c r="FL190">
        <v>0.18910740000000001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1.7589619999999999</v>
      </c>
      <c r="FZ190">
        <v>2.4281510000000002</v>
      </c>
      <c r="GA190">
        <v>-1.070333</v>
      </c>
      <c r="GB190">
        <v>0.4101978</v>
      </c>
      <c r="GC190">
        <v>-0.34398050000000002</v>
      </c>
      <c r="GD190">
        <v>-0.710449</v>
      </c>
      <c r="GE190">
        <v>-0.54684739999999998</v>
      </c>
      <c r="GF190">
        <v>-0.64843899999999999</v>
      </c>
      <c r="GG190">
        <v>1.972494</v>
      </c>
      <c r="GH190">
        <v>2.3327049999999998</v>
      </c>
      <c r="GI190">
        <v>5.4415149999999999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0.31310270000000001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1.679548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1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1</v>
      </c>
      <c r="KN190">
        <v>1</v>
      </c>
      <c r="KO190">
        <v>1</v>
      </c>
      <c r="KP190">
        <v>1</v>
      </c>
      <c r="KQ190">
        <v>1</v>
      </c>
      <c r="KR190">
        <v>1</v>
      </c>
      <c r="KS190">
        <v>1</v>
      </c>
      <c r="KT190">
        <v>1</v>
      </c>
      <c r="KU190">
        <v>1</v>
      </c>
      <c r="KV190">
        <v>1</v>
      </c>
      <c r="KW190">
        <v>1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1</v>
      </c>
      <c r="LF190">
        <v>1</v>
      </c>
      <c r="LG190">
        <v>1</v>
      </c>
      <c r="LH190">
        <v>1</v>
      </c>
      <c r="LI190">
        <v>1</v>
      </c>
      <c r="LJ190">
        <v>1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1</v>
      </c>
      <c r="LR190">
        <v>1</v>
      </c>
      <c r="LS190">
        <v>1</v>
      </c>
      <c r="LT190">
        <v>1</v>
      </c>
      <c r="LU190">
        <v>1</v>
      </c>
      <c r="LV190">
        <v>1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1</v>
      </c>
      <c r="MF190">
        <v>1</v>
      </c>
      <c r="MG190">
        <v>1</v>
      </c>
      <c r="MH190">
        <v>1</v>
      </c>
      <c r="MI190">
        <v>1</v>
      </c>
      <c r="MJ190">
        <v>1</v>
      </c>
      <c r="MK190">
        <v>1</v>
      </c>
      <c r="ML190">
        <v>1</v>
      </c>
      <c r="MM190">
        <v>1</v>
      </c>
      <c r="MN190">
        <v>1</v>
      </c>
      <c r="MO190">
        <v>1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1</v>
      </c>
      <c r="MX190">
        <v>1</v>
      </c>
      <c r="MY190">
        <v>1</v>
      </c>
      <c r="MZ190">
        <v>1</v>
      </c>
      <c r="NA190">
        <v>1</v>
      </c>
      <c r="NB190">
        <v>1</v>
      </c>
      <c r="NC190">
        <v>1</v>
      </c>
      <c r="ND190">
        <v>1</v>
      </c>
      <c r="NE190">
        <v>1</v>
      </c>
      <c r="NF190">
        <v>1</v>
      </c>
      <c r="NG190">
        <v>1</v>
      </c>
      <c r="NH190">
        <v>1</v>
      </c>
      <c r="NI190">
        <v>1</v>
      </c>
      <c r="NJ190">
        <v>1</v>
      </c>
      <c r="NK190">
        <v>1</v>
      </c>
      <c r="NL190">
        <v>1</v>
      </c>
      <c r="NM190">
        <v>1</v>
      </c>
      <c r="NN190">
        <v>1</v>
      </c>
      <c r="NO190">
        <v>1</v>
      </c>
      <c r="NP190">
        <v>133.73699999999999</v>
      </c>
      <c r="NQ190">
        <v>1</v>
      </c>
      <c r="NR190">
        <v>1</v>
      </c>
      <c r="NS190">
        <v>1</v>
      </c>
      <c r="NT190">
        <v>1</v>
      </c>
      <c r="NU190">
        <v>1</v>
      </c>
      <c r="NV190">
        <v>1</v>
      </c>
      <c r="NW190">
        <v>1</v>
      </c>
      <c r="NX190">
        <v>1</v>
      </c>
      <c r="NY190">
        <v>1</v>
      </c>
      <c r="NZ190">
        <v>1</v>
      </c>
      <c r="OA190">
        <v>1</v>
      </c>
      <c r="OB190">
        <v>1</v>
      </c>
      <c r="OC190">
        <v>30</v>
      </c>
      <c r="OD190">
        <v>105290</v>
      </c>
      <c r="OE190">
        <v>3.22</v>
      </c>
      <c r="OF190">
        <v>201.34200000000001</v>
      </c>
      <c r="OG190">
        <v>3.8</v>
      </c>
      <c r="OH190">
        <v>88.906000000000006</v>
      </c>
    </row>
    <row r="191" spans="1:398">
      <c r="A191">
        <v>18</v>
      </c>
      <c r="B191" t="s">
        <v>19</v>
      </c>
      <c r="C191" t="s">
        <v>18</v>
      </c>
      <c r="D191">
        <v>2012</v>
      </c>
      <c r="E191">
        <v>29.759</v>
      </c>
      <c r="F191">
        <v>4.3634000000000004</v>
      </c>
      <c r="G191">
        <v>378</v>
      </c>
      <c r="H191">
        <v>47.4</v>
      </c>
      <c r="I191">
        <v>86.8</v>
      </c>
      <c r="J191">
        <v>17.7</v>
      </c>
      <c r="K191">
        <v>2640.2</v>
      </c>
      <c r="L191">
        <v>0.7</v>
      </c>
      <c r="M191">
        <v>0.9</v>
      </c>
      <c r="N191">
        <v>1722</v>
      </c>
      <c r="O191">
        <v>2.81</v>
      </c>
      <c r="P191">
        <v>0.84</v>
      </c>
      <c r="Q191">
        <v>13784.6</v>
      </c>
      <c r="R191">
        <v>87.6</v>
      </c>
      <c r="S191">
        <v>0.43367600000000001</v>
      </c>
      <c r="T191">
        <v>1.3943570000000001</v>
      </c>
      <c r="U191">
        <v>2.5312290000000002</v>
      </c>
      <c r="V191">
        <v>-0.97163109999999997</v>
      </c>
      <c r="W191">
        <v>0.82586959999999998</v>
      </c>
      <c r="X191">
        <v>0.52131780000000005</v>
      </c>
      <c r="Y191">
        <v>1.5127250000000001</v>
      </c>
      <c r="Z191">
        <v>-0.27861750000000002</v>
      </c>
      <c r="AA191">
        <v>8.3346600000000007E-2</v>
      </c>
      <c r="AB191">
        <v>-1.112714</v>
      </c>
      <c r="AC191">
        <v>-0.71033219999999997</v>
      </c>
      <c r="AD191">
        <v>-0.45242250000000001</v>
      </c>
      <c r="AE191">
        <v>2.0074960000000002</v>
      </c>
      <c r="AF191">
        <v>2.6031499999999999</v>
      </c>
      <c r="AG191">
        <v>-0.48747249999999998</v>
      </c>
      <c r="AH191">
        <v>2.2414869999999998</v>
      </c>
      <c r="AI191">
        <v>3.393132</v>
      </c>
      <c r="AJ191">
        <v>1.473252</v>
      </c>
      <c r="AK191">
        <v>5.9348939999999999</v>
      </c>
      <c r="AL191">
        <v>4.4636069999999997</v>
      </c>
      <c r="AM191">
        <v>2.8735650000000001</v>
      </c>
      <c r="AN191">
        <v>7.8786100000000001</v>
      </c>
      <c r="AO191">
        <v>7.4512409999999996</v>
      </c>
      <c r="AP191">
        <v>-0.17435339999999999</v>
      </c>
      <c r="AQ191">
        <v>9.531307</v>
      </c>
      <c r="AR191">
        <v>5.3290199999999999</v>
      </c>
      <c r="AS191">
        <v>1.4350799999999999</v>
      </c>
      <c r="AT191">
        <v>11.556800000000001</v>
      </c>
      <c r="AU191">
        <v>89.248999999999995</v>
      </c>
      <c r="AV191">
        <v>311.78699999999998</v>
      </c>
      <c r="AW191">
        <v>-22.412299999999998</v>
      </c>
      <c r="AX191" s="17">
        <v>-13000000000</v>
      </c>
      <c r="AY191">
        <v>3.4499900000000001</v>
      </c>
      <c r="AZ191">
        <v>0.72</v>
      </c>
      <c r="BA191">
        <v>1.0331840000000001</v>
      </c>
      <c r="BB191">
        <v>1.0331843999999999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1.6658200000000001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7.0713E-3</v>
      </c>
      <c r="CG191">
        <v>0.58355880000000004</v>
      </c>
      <c r="CH191">
        <v>0.29210000000000003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1.9674560000000001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0.34054089999999998</v>
      </c>
      <c r="DI191">
        <v>3.8708830000000001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0.42016229999999999</v>
      </c>
      <c r="DW191">
        <v>1.416568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13.922790000000001</v>
      </c>
      <c r="EW191">
        <v>7.1323399999999995E-2</v>
      </c>
      <c r="EX191">
        <v>7.1033600000000002E-2</v>
      </c>
      <c r="EY191">
        <v>7.1635599999999994E-2</v>
      </c>
      <c r="EZ191">
        <v>7.1383000000000002E-2</v>
      </c>
      <c r="FA191">
        <v>7.1447700000000003E-2</v>
      </c>
      <c r="FB191">
        <v>7.1152800000000002E-2</v>
      </c>
      <c r="FC191">
        <v>7.1587899999999996E-2</v>
      </c>
      <c r="FD191">
        <v>7.1462100000000001E-2</v>
      </c>
      <c r="FE191">
        <v>7.1699399999999996E-2</v>
      </c>
      <c r="FF191">
        <v>7.1824299999999994E-2</v>
      </c>
      <c r="FG191">
        <v>7.1681800000000004E-2</v>
      </c>
      <c r="FH191">
        <v>7.1547100000000002E-2</v>
      </c>
      <c r="FI191">
        <v>7.1211800000000006E-2</v>
      </c>
      <c r="FJ191">
        <v>7.1009699999999995E-2</v>
      </c>
      <c r="FK191">
        <v>0.4326142</v>
      </c>
      <c r="FL191">
        <v>0.18715509999999999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1.3943570000000001</v>
      </c>
      <c r="FZ191">
        <v>2.5312290000000002</v>
      </c>
      <c r="GA191">
        <v>-0.97163109999999997</v>
      </c>
      <c r="GB191">
        <v>0.52131780000000005</v>
      </c>
      <c r="GC191">
        <v>-0.27861750000000002</v>
      </c>
      <c r="GD191">
        <v>-0.71033219999999997</v>
      </c>
      <c r="GE191">
        <v>-0.48747249999999998</v>
      </c>
      <c r="GF191">
        <v>-0.45242250000000001</v>
      </c>
      <c r="GG191">
        <v>2.0074960000000002</v>
      </c>
      <c r="GH191">
        <v>2.350498</v>
      </c>
      <c r="GI191">
        <v>5.5248419999999996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0.31148229999999999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1.6923589999999999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1</v>
      </c>
      <c r="LT191">
        <v>1</v>
      </c>
      <c r="LU191">
        <v>1</v>
      </c>
      <c r="LV191">
        <v>1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  <c r="NN191">
        <v>1</v>
      </c>
      <c r="NO191">
        <v>1</v>
      </c>
      <c r="NP191">
        <v>133.56030000000001</v>
      </c>
      <c r="NQ191">
        <v>1</v>
      </c>
      <c r="NR191">
        <v>1</v>
      </c>
      <c r="NS191">
        <v>1</v>
      </c>
      <c r="NT191">
        <v>1</v>
      </c>
      <c r="NU191">
        <v>1</v>
      </c>
      <c r="NV191">
        <v>1</v>
      </c>
      <c r="NW191">
        <v>1</v>
      </c>
      <c r="NX191">
        <v>1</v>
      </c>
      <c r="NY191">
        <v>1</v>
      </c>
      <c r="NZ191">
        <v>1</v>
      </c>
      <c r="OA191">
        <v>1</v>
      </c>
      <c r="OB191">
        <v>1</v>
      </c>
      <c r="OC191">
        <v>31.5</v>
      </c>
      <c r="OD191">
        <v>104488</v>
      </c>
      <c r="OE191">
        <v>5.29</v>
      </c>
      <c r="OF191">
        <v>206.23599999999999</v>
      </c>
      <c r="OG191">
        <v>4.2</v>
      </c>
      <c r="OH191">
        <v>89.248999999999995</v>
      </c>
    </row>
    <row r="192" spans="1:398">
      <c r="A192">
        <v>18</v>
      </c>
      <c r="B192" t="s">
        <v>19</v>
      </c>
      <c r="C192" t="s">
        <v>18</v>
      </c>
      <c r="D192">
        <v>2013</v>
      </c>
      <c r="E192">
        <v>30.675999999999998</v>
      </c>
      <c r="F192">
        <v>4.4683999999999999</v>
      </c>
      <c r="G192">
        <v>405</v>
      </c>
      <c r="H192">
        <v>46.3</v>
      </c>
      <c r="I192">
        <v>87.6</v>
      </c>
      <c r="J192">
        <v>15.2</v>
      </c>
      <c r="K192">
        <v>1588.1</v>
      </c>
      <c r="L192">
        <v>0.7</v>
      </c>
      <c r="M192">
        <v>0.9</v>
      </c>
      <c r="N192">
        <v>1799</v>
      </c>
      <c r="O192">
        <v>3.53</v>
      </c>
      <c r="P192">
        <v>0.83</v>
      </c>
      <c r="Q192">
        <v>14971.6</v>
      </c>
      <c r="R192">
        <v>87.2</v>
      </c>
      <c r="S192">
        <v>0.43675599999999998</v>
      </c>
      <c r="T192">
        <v>1.505768</v>
      </c>
      <c r="U192">
        <v>2.632002</v>
      </c>
      <c r="V192">
        <v>-0.7666345</v>
      </c>
      <c r="W192">
        <v>0.75505929999999999</v>
      </c>
      <c r="X192">
        <v>0.63243680000000002</v>
      </c>
      <c r="Y192">
        <v>1.112398</v>
      </c>
      <c r="Z192">
        <v>-0.41590719999999998</v>
      </c>
      <c r="AA192">
        <v>8.3346600000000007E-2</v>
      </c>
      <c r="AB192">
        <v>-1.112714</v>
      </c>
      <c r="AC192">
        <v>-0.70992330000000003</v>
      </c>
      <c r="AD192">
        <v>-0.50142659999999994</v>
      </c>
      <c r="AE192">
        <v>2.3985650000000001</v>
      </c>
      <c r="AF192">
        <v>2.5820789999999998</v>
      </c>
      <c r="AG192">
        <v>-0.4499726</v>
      </c>
      <c r="AH192">
        <v>2.0687180000000001</v>
      </c>
      <c r="AI192">
        <v>3.4234810000000002</v>
      </c>
      <c r="AJ192">
        <v>1.4970300000000001</v>
      </c>
      <c r="AK192">
        <v>6.0038869999999998</v>
      </c>
      <c r="AL192">
        <v>4.4727810000000003</v>
      </c>
      <c r="AM192">
        <v>2.721295</v>
      </c>
      <c r="AN192">
        <v>7.3702940000000003</v>
      </c>
      <c r="AO192">
        <v>7.4949859999999999</v>
      </c>
      <c r="AP192">
        <v>-0.18632960000000001</v>
      </c>
      <c r="AQ192">
        <v>9.6139109999999999</v>
      </c>
      <c r="AR192">
        <v>5.3521299999999998</v>
      </c>
      <c r="AS192">
        <v>1.74047</v>
      </c>
      <c r="AT192">
        <v>11.5649</v>
      </c>
      <c r="AU192">
        <v>89.573999999999998</v>
      </c>
      <c r="AV192">
        <v>320.53399999999999</v>
      </c>
      <c r="AW192">
        <v>71.500399999999999</v>
      </c>
      <c r="AX192" s="17">
        <v>47000000000</v>
      </c>
      <c r="AY192">
        <v>3.4499900000000001</v>
      </c>
      <c r="AZ192">
        <v>0.72</v>
      </c>
      <c r="BA192">
        <v>1.261298</v>
      </c>
      <c r="BB192">
        <v>1.2612977999999999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1.8717999999999999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6.8444999999999999E-3</v>
      </c>
      <c r="CG192">
        <v>0.58293349999999999</v>
      </c>
      <c r="CH192">
        <v>0.28484300000000001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1.7590380000000001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0.33981149999999999</v>
      </c>
      <c r="DI192">
        <v>3.0942150000000002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0.41971219999999998</v>
      </c>
      <c r="DW192">
        <v>1.266508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13.924060000000001</v>
      </c>
      <c r="EW192">
        <v>7.1308099999999999E-2</v>
      </c>
      <c r="EX192">
        <v>7.1020799999999995E-2</v>
      </c>
      <c r="EY192">
        <v>7.1597800000000003E-2</v>
      </c>
      <c r="EZ192">
        <v>7.1387800000000001E-2</v>
      </c>
      <c r="FA192">
        <v>7.1436200000000005E-2</v>
      </c>
      <c r="FB192">
        <v>7.1231600000000006E-2</v>
      </c>
      <c r="FC192">
        <v>7.1663299999999999E-2</v>
      </c>
      <c r="FD192">
        <v>7.1457199999999998E-2</v>
      </c>
      <c r="FE192">
        <v>7.1693000000000007E-2</v>
      </c>
      <c r="FF192">
        <v>7.1817300000000001E-2</v>
      </c>
      <c r="FG192">
        <v>7.1660699999999994E-2</v>
      </c>
      <c r="FH192">
        <v>7.1549000000000001E-2</v>
      </c>
      <c r="FI192">
        <v>7.1161299999999997E-2</v>
      </c>
      <c r="FJ192">
        <v>7.1015700000000001E-2</v>
      </c>
      <c r="FK192">
        <v>0.43566329999999998</v>
      </c>
      <c r="FL192">
        <v>0.18980250000000001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1.505768</v>
      </c>
      <c r="FZ192">
        <v>2.632002</v>
      </c>
      <c r="GA192">
        <v>-0.7666345</v>
      </c>
      <c r="GB192">
        <v>0.63243680000000002</v>
      </c>
      <c r="GC192">
        <v>-0.41590719999999998</v>
      </c>
      <c r="GD192">
        <v>-0.70992330000000003</v>
      </c>
      <c r="GE192">
        <v>-0.4499726</v>
      </c>
      <c r="GF192">
        <v>-0.50142659999999994</v>
      </c>
      <c r="GG192">
        <v>2.3985650000000001</v>
      </c>
      <c r="GH192">
        <v>2.1047630000000002</v>
      </c>
      <c r="GI192">
        <v>4.4300280000000001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0.3136776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1.5154300000000001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  <c r="NN192">
        <v>1</v>
      </c>
      <c r="NO192">
        <v>1</v>
      </c>
      <c r="NP192">
        <v>133.74780000000001</v>
      </c>
      <c r="NQ192">
        <v>1</v>
      </c>
      <c r="NR192">
        <v>1</v>
      </c>
      <c r="NS192">
        <v>1</v>
      </c>
      <c r="NT192">
        <v>1</v>
      </c>
      <c r="NU192">
        <v>1</v>
      </c>
      <c r="NV192">
        <v>1</v>
      </c>
      <c r="NW192">
        <v>1</v>
      </c>
      <c r="NX192">
        <v>1</v>
      </c>
      <c r="NY192">
        <v>1</v>
      </c>
      <c r="NZ192">
        <v>1</v>
      </c>
      <c r="OA192">
        <v>1</v>
      </c>
      <c r="OB192">
        <v>1</v>
      </c>
      <c r="OC192">
        <v>31.5</v>
      </c>
      <c r="OD192">
        <v>105339</v>
      </c>
      <c r="OE192">
        <v>6.5</v>
      </c>
      <c r="OF192">
        <v>211.05799999999999</v>
      </c>
      <c r="OG192">
        <v>5.7</v>
      </c>
      <c r="OH192">
        <v>89.573999999999998</v>
      </c>
    </row>
    <row r="193" spans="1:398">
      <c r="A193">
        <v>18</v>
      </c>
      <c r="B193" t="s">
        <v>19</v>
      </c>
      <c r="C193" t="s">
        <v>18</v>
      </c>
      <c r="D193">
        <v>2014</v>
      </c>
      <c r="E193">
        <v>29.841999999999999</v>
      </c>
      <c r="F193">
        <v>4.3621999999999996</v>
      </c>
      <c r="G193">
        <v>389</v>
      </c>
      <c r="H193">
        <v>47.7</v>
      </c>
      <c r="I193">
        <v>88</v>
      </c>
      <c r="J193">
        <v>11.1</v>
      </c>
      <c r="K193">
        <v>2134</v>
      </c>
      <c r="L193">
        <v>0.7</v>
      </c>
      <c r="M193">
        <v>0.9</v>
      </c>
      <c r="N193">
        <v>1800</v>
      </c>
      <c r="O193">
        <v>6.62</v>
      </c>
      <c r="P193">
        <v>0.8</v>
      </c>
      <c r="Q193">
        <v>14414</v>
      </c>
      <c r="R193">
        <v>89.3</v>
      </c>
      <c r="S193">
        <v>0.42267399999999999</v>
      </c>
      <c r="T193">
        <v>1.4044410000000001</v>
      </c>
      <c r="U193">
        <v>2.5300769999999999</v>
      </c>
      <c r="V193">
        <v>-0.88811399999999996</v>
      </c>
      <c r="W193">
        <v>0.84518150000000003</v>
      </c>
      <c r="X193">
        <v>0.68799670000000002</v>
      </c>
      <c r="Y193">
        <v>0.45586100000000002</v>
      </c>
      <c r="Z193">
        <v>-0.34467209999999998</v>
      </c>
      <c r="AA193">
        <v>8.3346600000000007E-2</v>
      </c>
      <c r="AB193">
        <v>-1.112714</v>
      </c>
      <c r="AC193">
        <v>-0.70991800000000005</v>
      </c>
      <c r="AD193">
        <v>-0.64843899999999999</v>
      </c>
      <c r="AE193">
        <v>2.2148639999999999</v>
      </c>
      <c r="AF193">
        <v>2.6927029999999998</v>
      </c>
      <c r="AG193">
        <v>-0.2890354</v>
      </c>
      <c r="AH193">
        <v>1.8385670000000001</v>
      </c>
      <c r="AI193">
        <v>3.3959169999999999</v>
      </c>
      <c r="AJ193">
        <v>1.4729760000000001</v>
      </c>
      <c r="AK193">
        <v>5.9635790000000002</v>
      </c>
      <c r="AL193">
        <v>4.4773370000000003</v>
      </c>
      <c r="AM193">
        <v>2.4069449999999999</v>
      </c>
      <c r="AN193">
        <v>7.6657529999999996</v>
      </c>
      <c r="AO193">
        <v>7.4955420000000004</v>
      </c>
      <c r="AP193">
        <v>-0.22314349999999999</v>
      </c>
      <c r="AQ193">
        <v>9.5759559999999997</v>
      </c>
      <c r="AR193">
        <v>5.3757000000000001</v>
      </c>
      <c r="AS193">
        <v>1.91692</v>
      </c>
      <c r="AT193">
        <v>11.567299999999999</v>
      </c>
      <c r="AU193">
        <v>89.884</v>
      </c>
      <c r="AV193">
        <v>333.42899999999997</v>
      </c>
      <c r="AW193">
        <v>63.106900000000003</v>
      </c>
      <c r="AX193" s="17">
        <v>43000000000</v>
      </c>
      <c r="AY193">
        <v>3.4078400000000002</v>
      </c>
      <c r="AZ193">
        <v>0.73</v>
      </c>
      <c r="BA193">
        <v>1.8900950000000001</v>
      </c>
      <c r="BB193">
        <v>1.8900954000000001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2.47654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7.0219000000000002E-3</v>
      </c>
      <c r="CG193">
        <v>0.5716232</v>
      </c>
      <c r="CH193">
        <v>0.27434900000000001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1.6244639999999999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0.32675310000000002</v>
      </c>
      <c r="DI193">
        <v>2.6388820000000002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0.41728500000000002</v>
      </c>
      <c r="DW193">
        <v>1.1858580000000001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13.92595</v>
      </c>
      <c r="EW193">
        <v>7.1312700000000007E-2</v>
      </c>
      <c r="EX193">
        <v>7.1035399999999999E-2</v>
      </c>
      <c r="EY193">
        <v>7.1607199999999996E-2</v>
      </c>
      <c r="EZ193">
        <v>7.1369299999999997E-2</v>
      </c>
      <c r="FA193">
        <v>7.1425100000000005E-2</v>
      </c>
      <c r="FB193">
        <v>7.1364999999999998E-2</v>
      </c>
      <c r="FC193">
        <v>7.1610699999999999E-2</v>
      </c>
      <c r="FD193">
        <v>7.1449100000000001E-2</v>
      </c>
      <c r="FE193">
        <v>7.1683499999999997E-2</v>
      </c>
      <c r="FF193">
        <v>7.1807599999999999E-2</v>
      </c>
      <c r="FG193">
        <v>7.1591600000000005E-2</v>
      </c>
      <c r="FH193">
        <v>7.1563100000000004E-2</v>
      </c>
      <c r="FI193">
        <v>7.1180300000000002E-2</v>
      </c>
      <c r="FJ193">
        <v>7.0999300000000001E-2</v>
      </c>
      <c r="FK193">
        <v>0.4216645</v>
      </c>
      <c r="FL193">
        <v>0.17780099999999999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1.4044410000000001</v>
      </c>
      <c r="FZ193">
        <v>2.5300769999999999</v>
      </c>
      <c r="GA193">
        <v>-0.88811399999999996</v>
      </c>
      <c r="GB193">
        <v>0.68799670000000002</v>
      </c>
      <c r="GC193">
        <v>-0.34467209999999998</v>
      </c>
      <c r="GD193">
        <v>-0.70991800000000005</v>
      </c>
      <c r="GE193">
        <v>-0.2890354</v>
      </c>
      <c r="GF193">
        <v>-0.64843899999999999</v>
      </c>
      <c r="GG193">
        <v>2.2148639999999999</v>
      </c>
      <c r="GH193">
        <v>1.7550079999999999</v>
      </c>
      <c r="GI193">
        <v>3.0800519999999998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0.30781510000000001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1.281156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1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1</v>
      </c>
      <c r="LV193">
        <v>1</v>
      </c>
      <c r="LW193">
        <v>1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1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  <c r="MX193">
        <v>1</v>
      </c>
      <c r="MY193">
        <v>1</v>
      </c>
      <c r="MZ193">
        <v>1</v>
      </c>
      <c r="NA193">
        <v>1</v>
      </c>
      <c r="NB193">
        <v>1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1</v>
      </c>
      <c r="NN193">
        <v>1</v>
      </c>
      <c r="NO193">
        <v>1</v>
      </c>
      <c r="NP193">
        <v>133.8015</v>
      </c>
      <c r="NQ193">
        <v>1</v>
      </c>
      <c r="NR193">
        <v>1</v>
      </c>
      <c r="NS193">
        <v>1</v>
      </c>
      <c r="NT193">
        <v>1</v>
      </c>
      <c r="NU193">
        <v>1</v>
      </c>
      <c r="NV193">
        <v>1</v>
      </c>
      <c r="NW193">
        <v>1</v>
      </c>
      <c r="NX193">
        <v>1</v>
      </c>
      <c r="NY193">
        <v>1</v>
      </c>
      <c r="NZ193">
        <v>1</v>
      </c>
      <c r="OA193">
        <v>1</v>
      </c>
      <c r="OB193">
        <v>1</v>
      </c>
      <c r="OC193">
        <v>30.2</v>
      </c>
      <c r="OD193">
        <v>105584</v>
      </c>
      <c r="OE193">
        <v>11.9</v>
      </c>
      <c r="OF193">
        <v>216.09200000000001</v>
      </c>
      <c r="OG193">
        <v>6.8</v>
      </c>
      <c r="OH193">
        <v>89.884</v>
      </c>
    </row>
    <row r="194" spans="1:398">
      <c r="A194">
        <v>18</v>
      </c>
      <c r="B194" t="s">
        <v>19</v>
      </c>
      <c r="C194" t="s">
        <v>18</v>
      </c>
      <c r="D194">
        <v>2015</v>
      </c>
      <c r="E194">
        <v>33.637999999999998</v>
      </c>
      <c r="F194">
        <v>3.8923000000000001</v>
      </c>
      <c r="G194">
        <v>373</v>
      </c>
      <c r="H194">
        <v>47.4</v>
      </c>
      <c r="I194">
        <v>86.9</v>
      </c>
      <c r="J194">
        <v>9.6</v>
      </c>
      <c r="K194">
        <v>1899.5</v>
      </c>
      <c r="L194">
        <v>1.1000000000000001</v>
      </c>
      <c r="M194">
        <v>1</v>
      </c>
      <c r="N194">
        <v>1839</v>
      </c>
      <c r="O194">
        <v>3.54</v>
      </c>
      <c r="P194">
        <v>0.79</v>
      </c>
      <c r="Q194">
        <v>14043</v>
      </c>
      <c r="R194">
        <v>91.2</v>
      </c>
      <c r="S194">
        <v>0.42446899999999999</v>
      </c>
      <c r="T194">
        <v>1.865634</v>
      </c>
      <c r="U194">
        <v>2.0790899999999999</v>
      </c>
      <c r="V194">
        <v>-1.009593</v>
      </c>
      <c r="W194">
        <v>0.82586959999999998</v>
      </c>
      <c r="X194">
        <v>0.53520749999999995</v>
      </c>
      <c r="Y194">
        <v>0.21566460000000001</v>
      </c>
      <c r="Z194">
        <v>-0.3752723</v>
      </c>
      <c r="AA194">
        <v>1.1958839999999999</v>
      </c>
      <c r="AB194">
        <v>-0.98078770000000004</v>
      </c>
      <c r="AC194">
        <v>-0.70971090000000003</v>
      </c>
      <c r="AD194">
        <v>-0.69744309999999998</v>
      </c>
      <c r="AE194">
        <v>2.0926369999999999</v>
      </c>
      <c r="AF194">
        <v>2.7927919999999999</v>
      </c>
      <c r="AG194">
        <v>-0.44945170000000001</v>
      </c>
      <c r="AH194">
        <v>1.718791</v>
      </c>
      <c r="AI194">
        <v>3.5156559999999999</v>
      </c>
      <c r="AJ194">
        <v>1.359</v>
      </c>
      <c r="AK194">
        <v>5.9215780000000002</v>
      </c>
      <c r="AL194">
        <v>4.4647579999999998</v>
      </c>
      <c r="AM194">
        <v>2.2617630000000002</v>
      </c>
      <c r="AN194">
        <v>7.5493459999999999</v>
      </c>
      <c r="AO194">
        <v>7.5169769999999998</v>
      </c>
      <c r="AP194">
        <v>-0.2357223</v>
      </c>
      <c r="AQ194">
        <v>9.5498809999999992</v>
      </c>
      <c r="AR194">
        <v>5.3993000000000002</v>
      </c>
      <c r="AS194">
        <v>2.2082700000000002</v>
      </c>
      <c r="AT194">
        <v>11.5661</v>
      </c>
      <c r="AU194">
        <v>90.179000000000002</v>
      </c>
      <c r="AV194">
        <v>351.13200000000001</v>
      </c>
      <c r="AW194">
        <v>53.1357</v>
      </c>
      <c r="AX194" s="17">
        <v>32000000000</v>
      </c>
      <c r="AY194">
        <v>3.4436200000000001</v>
      </c>
      <c r="AZ194">
        <v>0.72</v>
      </c>
      <c r="BA194">
        <v>1.264127</v>
      </c>
      <c r="BB194">
        <v>1.2641267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1.82616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6.9252999999999997E-3</v>
      </c>
      <c r="CG194">
        <v>0.5781345</v>
      </c>
      <c r="CH194">
        <v>0.26744200000000001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1.5964389999999999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0.33423950000000002</v>
      </c>
      <c r="DI194">
        <v>2.548616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0.41625689999999999</v>
      </c>
      <c r="DW194">
        <v>1.1494359999999999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13.926259999999999</v>
      </c>
      <c r="EW194">
        <v>7.1265899999999993E-2</v>
      </c>
      <c r="EX194">
        <v>7.1110199999999998E-2</v>
      </c>
      <c r="EY194">
        <v>7.1624999999999994E-2</v>
      </c>
      <c r="EZ194">
        <v>7.1372500000000005E-2</v>
      </c>
      <c r="FA194">
        <v>7.1434300000000006E-2</v>
      </c>
      <c r="FB194">
        <v>7.1419899999999994E-2</v>
      </c>
      <c r="FC194">
        <v>7.1627700000000002E-2</v>
      </c>
      <c r="FD194">
        <v>7.1270500000000001E-2</v>
      </c>
      <c r="FE194">
        <v>7.1656300000000006E-2</v>
      </c>
      <c r="FF194">
        <v>7.1805800000000003E-2</v>
      </c>
      <c r="FG194">
        <v>7.16498E-2</v>
      </c>
      <c r="FH194">
        <v>7.1569900000000006E-2</v>
      </c>
      <c r="FI194">
        <v>7.1199100000000001E-2</v>
      </c>
      <c r="FJ194">
        <v>7.0992899999999998E-2</v>
      </c>
      <c r="FK194">
        <v>0.42347889999999999</v>
      </c>
      <c r="FL194">
        <v>0.1793344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1.865634</v>
      </c>
      <c r="FZ194">
        <v>2.0790899999999999</v>
      </c>
      <c r="GA194">
        <v>-1.009593</v>
      </c>
      <c r="GB194">
        <v>0.53520749999999995</v>
      </c>
      <c r="GC194">
        <v>-0.3752723</v>
      </c>
      <c r="GD194">
        <v>-0.70971090000000003</v>
      </c>
      <c r="GE194">
        <v>-0.44945170000000001</v>
      </c>
      <c r="GF194">
        <v>-0.69744309999999998</v>
      </c>
      <c r="GG194">
        <v>2.0926369999999999</v>
      </c>
      <c r="GH194">
        <v>1.542665</v>
      </c>
      <c r="GI194">
        <v>2.3798159999999999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0.30490479999999998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1.110719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1</v>
      </c>
      <c r="MF194">
        <v>1</v>
      </c>
      <c r="MG194">
        <v>1</v>
      </c>
      <c r="MH194">
        <v>1</v>
      </c>
      <c r="MI194">
        <v>1</v>
      </c>
      <c r="MJ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1</v>
      </c>
      <c r="MX194">
        <v>1</v>
      </c>
      <c r="MY194">
        <v>1</v>
      </c>
      <c r="MZ194">
        <v>1</v>
      </c>
      <c r="NA194">
        <v>1</v>
      </c>
      <c r="NB194">
        <v>1</v>
      </c>
      <c r="NC194">
        <v>1</v>
      </c>
      <c r="ND194">
        <v>1</v>
      </c>
      <c r="NE194">
        <v>1</v>
      </c>
      <c r="NF194">
        <v>1</v>
      </c>
      <c r="NG194">
        <v>1</v>
      </c>
      <c r="NH194">
        <v>1</v>
      </c>
      <c r="NI194">
        <v>1</v>
      </c>
      <c r="NJ194">
        <v>1</v>
      </c>
      <c r="NK194">
        <v>1</v>
      </c>
      <c r="NL194">
        <v>1</v>
      </c>
      <c r="NM194">
        <v>1</v>
      </c>
      <c r="NN194">
        <v>1</v>
      </c>
      <c r="NO194">
        <v>1</v>
      </c>
      <c r="NP194">
        <v>133.7749</v>
      </c>
      <c r="NQ194">
        <v>1</v>
      </c>
      <c r="NR194">
        <v>1</v>
      </c>
      <c r="NS194">
        <v>1</v>
      </c>
      <c r="NT194">
        <v>1</v>
      </c>
      <c r="NU194">
        <v>1</v>
      </c>
      <c r="NV194">
        <v>1</v>
      </c>
      <c r="NW194">
        <v>1</v>
      </c>
      <c r="NX194">
        <v>1</v>
      </c>
      <c r="NY194">
        <v>1</v>
      </c>
      <c r="NZ194">
        <v>1</v>
      </c>
      <c r="OA194">
        <v>1</v>
      </c>
      <c r="OB194">
        <v>1</v>
      </c>
      <c r="OC194">
        <v>31.3</v>
      </c>
      <c r="OD194">
        <v>105462</v>
      </c>
      <c r="OE194">
        <v>6.21</v>
      </c>
      <c r="OF194">
        <v>221.25200000000001</v>
      </c>
      <c r="OG194">
        <v>9.1</v>
      </c>
      <c r="OH194">
        <v>90.179000000000002</v>
      </c>
    </row>
    <row r="195" spans="1:398">
      <c r="A195">
        <v>18</v>
      </c>
      <c r="B195" t="s">
        <v>19</v>
      </c>
      <c r="C195" t="s">
        <v>18</v>
      </c>
      <c r="D195">
        <v>2016</v>
      </c>
      <c r="E195">
        <v>30.890999999999998</v>
      </c>
      <c r="F195">
        <v>4.0552000000000001</v>
      </c>
      <c r="G195">
        <v>387</v>
      </c>
      <c r="H195">
        <v>49.2</v>
      </c>
      <c r="I195">
        <v>87.4</v>
      </c>
      <c r="J195">
        <v>7.1</v>
      </c>
      <c r="K195">
        <v>2087.8000000000002</v>
      </c>
      <c r="L195">
        <v>0.9</v>
      </c>
      <c r="M195">
        <v>1</v>
      </c>
      <c r="N195">
        <v>1924</v>
      </c>
      <c r="O195">
        <v>2.7</v>
      </c>
      <c r="P195">
        <v>0.82</v>
      </c>
      <c r="Q195">
        <v>13998.8</v>
      </c>
      <c r="R195">
        <v>90.9</v>
      </c>
      <c r="S195">
        <v>0.41596899999999998</v>
      </c>
      <c r="T195">
        <v>1.5318890000000001</v>
      </c>
      <c r="U195">
        <v>2.2354340000000001</v>
      </c>
      <c r="V195">
        <v>-0.90329890000000002</v>
      </c>
      <c r="W195">
        <v>0.94174080000000004</v>
      </c>
      <c r="X195">
        <v>0.60465720000000001</v>
      </c>
      <c r="Y195">
        <v>-0.18466279999999999</v>
      </c>
      <c r="Z195">
        <v>-0.35070079999999998</v>
      </c>
      <c r="AA195">
        <v>0.6396153</v>
      </c>
      <c r="AB195">
        <v>-0.98078770000000004</v>
      </c>
      <c r="AC195">
        <v>-0.70925950000000004</v>
      </c>
      <c r="AD195">
        <v>-0.55043070000000005</v>
      </c>
      <c r="AE195">
        <v>2.0780620000000001</v>
      </c>
      <c r="AF195">
        <v>2.7769889999999999</v>
      </c>
      <c r="AG195">
        <v>-0.49320160000000002</v>
      </c>
      <c r="AH195">
        <v>1.577447</v>
      </c>
      <c r="AI195">
        <v>3.4304649999999999</v>
      </c>
      <c r="AJ195">
        <v>1.4</v>
      </c>
      <c r="AK195">
        <v>5.9584250000000001</v>
      </c>
      <c r="AL195">
        <v>4.4704949999999997</v>
      </c>
      <c r="AM195">
        <v>1.9600949999999999</v>
      </c>
      <c r="AN195">
        <v>7.643866</v>
      </c>
      <c r="AO195">
        <v>7.5621609999999997</v>
      </c>
      <c r="AP195">
        <v>-0.19845099999999999</v>
      </c>
      <c r="AQ195">
        <v>9.5467259999999996</v>
      </c>
      <c r="AR195">
        <v>5.4208499999999997</v>
      </c>
      <c r="AS195">
        <v>2.6026899999999999</v>
      </c>
      <c r="AT195">
        <v>11.5931</v>
      </c>
      <c r="AU195">
        <v>90.46</v>
      </c>
      <c r="AV195">
        <v>348.43700000000001</v>
      </c>
      <c r="AW195">
        <v>-1.99438</v>
      </c>
      <c r="AX195" s="17">
        <v>-1200000000</v>
      </c>
      <c r="AY195">
        <v>3.4209999999999998</v>
      </c>
      <c r="AZ195">
        <v>0.74</v>
      </c>
      <c r="BA195">
        <v>0.99325180000000002</v>
      </c>
      <c r="BB195">
        <v>0.99325180000000002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1.53471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7.1615000000000003E-3</v>
      </c>
      <c r="CG195">
        <v>0.56956459999999998</v>
      </c>
      <c r="CH195">
        <v>0.25890999999999997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1.3831960000000001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0.32440380000000002</v>
      </c>
      <c r="DI195">
        <v>1.913232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0.42147780000000001</v>
      </c>
      <c r="DW195">
        <v>1.0235650000000001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13.92873</v>
      </c>
      <c r="EW195">
        <v>7.12917E-2</v>
      </c>
      <c r="EX195">
        <v>7.1080699999999997E-2</v>
      </c>
      <c r="EY195">
        <v>7.1596099999999996E-2</v>
      </c>
      <c r="EZ195">
        <v>7.1348099999999998E-2</v>
      </c>
      <c r="FA195">
        <v>7.1419300000000005E-2</v>
      </c>
      <c r="FB195">
        <v>7.1504600000000001E-2</v>
      </c>
      <c r="FC195">
        <v>7.1600800000000006E-2</v>
      </c>
      <c r="FD195">
        <v>7.1347400000000005E-2</v>
      </c>
      <c r="FE195">
        <v>7.1643799999999994E-2</v>
      </c>
      <c r="FF195">
        <v>7.1792700000000001E-2</v>
      </c>
      <c r="FG195">
        <v>7.1654499999999996E-2</v>
      </c>
      <c r="FH195">
        <v>7.1534899999999998E-2</v>
      </c>
      <c r="FI195">
        <v>7.1193300000000001E-2</v>
      </c>
      <c r="FJ195">
        <v>7.0992E-2</v>
      </c>
      <c r="FK195">
        <v>0.41498790000000002</v>
      </c>
      <c r="FL195">
        <v>0.17221500000000001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1.5318890000000001</v>
      </c>
      <c r="FZ195">
        <v>2.2354340000000001</v>
      </c>
      <c r="GA195">
        <v>-0.90329890000000002</v>
      </c>
      <c r="GB195">
        <v>0.60465720000000001</v>
      </c>
      <c r="GC195">
        <v>-0.35070079999999998</v>
      </c>
      <c r="GD195">
        <v>-0.70925950000000004</v>
      </c>
      <c r="GE195">
        <v>-0.49320160000000002</v>
      </c>
      <c r="GF195">
        <v>-0.55043070000000005</v>
      </c>
      <c r="GG195">
        <v>2.0780620000000001</v>
      </c>
      <c r="GH195">
        <v>1.3508340000000001</v>
      </c>
      <c r="GI195">
        <v>1.8247530000000001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0.30709110000000001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0.99961719999999998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H195">
        <v>1</v>
      </c>
      <c r="KI195">
        <v>1</v>
      </c>
      <c r="KJ195">
        <v>1</v>
      </c>
      <c r="KK195">
        <v>1</v>
      </c>
      <c r="KL195">
        <v>1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1</v>
      </c>
      <c r="MK195">
        <v>1</v>
      </c>
      <c r="ML195">
        <v>1</v>
      </c>
      <c r="MM195">
        <v>1</v>
      </c>
      <c r="MN195">
        <v>1</v>
      </c>
      <c r="MO195">
        <v>1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  <c r="NN195">
        <v>1</v>
      </c>
      <c r="NO195">
        <v>1</v>
      </c>
      <c r="NP195">
        <v>134.4007</v>
      </c>
      <c r="NQ195">
        <v>1</v>
      </c>
      <c r="NR195">
        <v>1</v>
      </c>
      <c r="NS195">
        <v>1</v>
      </c>
      <c r="NT195">
        <v>1</v>
      </c>
      <c r="NU195">
        <v>1</v>
      </c>
      <c r="NV195">
        <v>1</v>
      </c>
      <c r="NW195">
        <v>1</v>
      </c>
      <c r="NX195">
        <v>1</v>
      </c>
      <c r="NY195">
        <v>1</v>
      </c>
      <c r="NZ195">
        <v>1</v>
      </c>
      <c r="OA195">
        <v>1</v>
      </c>
      <c r="OB195">
        <v>1</v>
      </c>
      <c r="OC195">
        <v>30.6</v>
      </c>
      <c r="OD195">
        <v>108351</v>
      </c>
      <c r="OE195">
        <v>4.6399999999999997</v>
      </c>
      <c r="OF195">
        <v>226.072</v>
      </c>
      <c r="OG195">
        <v>13.5</v>
      </c>
      <c r="OH195">
        <v>90.46</v>
      </c>
    </row>
    <row r="196" spans="1:398">
      <c r="A196">
        <v>18</v>
      </c>
      <c r="B196" t="s">
        <v>19</v>
      </c>
      <c r="C196" t="s">
        <v>18</v>
      </c>
      <c r="D196">
        <v>2017</v>
      </c>
      <c r="E196">
        <v>32.427</v>
      </c>
      <c r="F196">
        <v>3.8776999999999999</v>
      </c>
      <c r="G196">
        <v>405</v>
      </c>
      <c r="H196">
        <v>48.9</v>
      </c>
      <c r="I196">
        <v>89.1</v>
      </c>
      <c r="J196">
        <v>1.6</v>
      </c>
      <c r="K196">
        <v>1532.2</v>
      </c>
      <c r="L196">
        <v>1</v>
      </c>
      <c r="M196">
        <v>1.1000000000000001</v>
      </c>
      <c r="N196">
        <v>1956</v>
      </c>
      <c r="O196">
        <v>5.74</v>
      </c>
      <c r="P196">
        <v>0.87</v>
      </c>
      <c r="Q196">
        <v>14711.7</v>
      </c>
      <c r="R196">
        <v>91.4</v>
      </c>
      <c r="S196">
        <v>0.41828799999999999</v>
      </c>
      <c r="T196">
        <v>1.718504</v>
      </c>
      <c r="U196">
        <v>2.0650780000000002</v>
      </c>
      <c r="V196">
        <v>-0.7666345</v>
      </c>
      <c r="W196">
        <v>0.92242900000000005</v>
      </c>
      <c r="X196">
        <v>0.84078589999999997</v>
      </c>
      <c r="Y196">
        <v>-1.065383</v>
      </c>
      <c r="Z196">
        <v>-0.42320170000000001</v>
      </c>
      <c r="AA196">
        <v>0.91774979999999995</v>
      </c>
      <c r="AB196">
        <v>-0.84886099999999998</v>
      </c>
      <c r="AC196">
        <v>-0.70908959999999999</v>
      </c>
      <c r="AD196">
        <v>-0.30540980000000001</v>
      </c>
      <c r="AE196">
        <v>2.312926</v>
      </c>
      <c r="AF196">
        <v>2.803328</v>
      </c>
      <c r="AG196">
        <v>-0.33486860000000002</v>
      </c>
      <c r="AH196">
        <v>1.262564</v>
      </c>
      <c r="AI196">
        <v>3.4789910000000002</v>
      </c>
      <c r="AJ196">
        <v>1.3552420000000001</v>
      </c>
      <c r="AK196">
        <v>6.0038869999999998</v>
      </c>
      <c r="AL196">
        <v>4.4897590000000003</v>
      </c>
      <c r="AM196">
        <v>0.47000360000000002</v>
      </c>
      <c r="AN196">
        <v>7.33446</v>
      </c>
      <c r="AO196">
        <v>7.5786569999999998</v>
      </c>
      <c r="AP196">
        <v>-0.1392621</v>
      </c>
      <c r="AQ196">
        <v>9.5963949999999993</v>
      </c>
      <c r="AR196">
        <v>5.4451599999999996</v>
      </c>
      <c r="AS196">
        <v>2.7278500000000001</v>
      </c>
      <c r="AT196">
        <v>11.581899999999999</v>
      </c>
      <c r="AU196">
        <v>90.727000000000004</v>
      </c>
      <c r="AV196">
        <v>353.79399999999998</v>
      </c>
      <c r="AW196">
        <v>22.855799999999999</v>
      </c>
      <c r="AX196" s="17">
        <v>15000000000</v>
      </c>
      <c r="AY196">
        <v>3.4436200000000001</v>
      </c>
      <c r="AZ196">
        <v>0.73</v>
      </c>
      <c r="BA196">
        <v>1.7474590000000001</v>
      </c>
      <c r="BB196">
        <v>1.7474592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2.2648799999999998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7.0635999999999997E-3</v>
      </c>
      <c r="CG196">
        <v>0.57234370000000001</v>
      </c>
      <c r="CH196">
        <v>0.247754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1.184833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0.32757730000000002</v>
      </c>
      <c r="DI196">
        <v>1.4038280000000001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0.41781089999999999</v>
      </c>
      <c r="DW196">
        <v>0.86492780000000002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13.93032</v>
      </c>
      <c r="EW196">
        <v>7.12676E-2</v>
      </c>
      <c r="EX196">
        <v>7.1105199999999993E-2</v>
      </c>
      <c r="EY196">
        <v>7.1567599999999995E-2</v>
      </c>
      <c r="EZ196">
        <v>7.13448E-2</v>
      </c>
      <c r="FA196">
        <v>7.1399000000000004E-2</v>
      </c>
      <c r="FB196">
        <v>7.1756600000000004E-2</v>
      </c>
      <c r="FC196">
        <v>7.1636900000000003E-2</v>
      </c>
      <c r="FD196">
        <v>7.1298500000000001E-2</v>
      </c>
      <c r="FE196">
        <v>7.16112E-2</v>
      </c>
      <c r="FF196">
        <v>7.1784399999999998E-2</v>
      </c>
      <c r="FG196">
        <v>7.1586800000000006E-2</v>
      </c>
      <c r="FH196">
        <v>7.1490499999999998E-2</v>
      </c>
      <c r="FI196">
        <v>7.1161500000000003E-2</v>
      </c>
      <c r="FJ196">
        <v>7.0989399999999994E-2</v>
      </c>
      <c r="FK196">
        <v>0.41721599999999998</v>
      </c>
      <c r="FL196">
        <v>0.17406920000000001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1.718504</v>
      </c>
      <c r="FZ196">
        <v>2.0650780000000002</v>
      </c>
      <c r="GA196">
        <v>-0.7666345</v>
      </c>
      <c r="GB196">
        <v>0.84078589999999997</v>
      </c>
      <c r="GC196">
        <v>-0.42320170000000001</v>
      </c>
      <c r="GD196">
        <v>-0.70908959999999999</v>
      </c>
      <c r="GE196">
        <v>-0.33486860000000002</v>
      </c>
      <c r="GF196">
        <v>-0.30540980000000001</v>
      </c>
      <c r="GG196">
        <v>2.312926</v>
      </c>
      <c r="GH196">
        <v>0.89867609999999998</v>
      </c>
      <c r="GI196">
        <v>0.80761870000000002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0.3045677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0.65603359999999999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1</v>
      </c>
      <c r="KW196">
        <v>1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1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1</v>
      </c>
      <c r="MJ196">
        <v>1</v>
      </c>
      <c r="MK196">
        <v>1</v>
      </c>
      <c r="ML196">
        <v>1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1</v>
      </c>
      <c r="MX196">
        <v>1</v>
      </c>
      <c r="MY196">
        <v>1</v>
      </c>
      <c r="MZ196">
        <v>1</v>
      </c>
      <c r="NA196">
        <v>1</v>
      </c>
      <c r="NB196">
        <v>1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1</v>
      </c>
      <c r="NJ196">
        <v>1</v>
      </c>
      <c r="NK196">
        <v>1</v>
      </c>
      <c r="NL196">
        <v>1</v>
      </c>
      <c r="NM196">
        <v>1</v>
      </c>
      <c r="NN196">
        <v>1</v>
      </c>
      <c r="NO196">
        <v>1</v>
      </c>
      <c r="NP196">
        <v>134.14060000000001</v>
      </c>
      <c r="NQ196">
        <v>1</v>
      </c>
      <c r="NR196">
        <v>1</v>
      </c>
      <c r="NS196">
        <v>1</v>
      </c>
      <c r="NT196">
        <v>1</v>
      </c>
      <c r="NU196">
        <v>1</v>
      </c>
      <c r="NV196">
        <v>1</v>
      </c>
      <c r="NW196">
        <v>1</v>
      </c>
      <c r="NX196">
        <v>1</v>
      </c>
      <c r="NY196">
        <v>1</v>
      </c>
      <c r="NZ196">
        <v>1</v>
      </c>
      <c r="OA196">
        <v>1</v>
      </c>
      <c r="OB196">
        <v>1</v>
      </c>
      <c r="OC196">
        <v>31.3</v>
      </c>
      <c r="OD196">
        <v>107142</v>
      </c>
      <c r="OE196">
        <v>9.6300000000000008</v>
      </c>
      <c r="OF196">
        <v>231.63499999999999</v>
      </c>
      <c r="OG196">
        <v>15.3</v>
      </c>
      <c r="OH196">
        <v>90.727000000000004</v>
      </c>
    </row>
    <row r="197" spans="1:398">
      <c r="A197">
        <v>18</v>
      </c>
      <c r="B197" t="s">
        <v>19</v>
      </c>
      <c r="C197" t="s">
        <v>18</v>
      </c>
      <c r="D197">
        <v>2018</v>
      </c>
      <c r="E197">
        <v>28.335000000000001</v>
      </c>
      <c r="F197">
        <v>4.1608000000000001</v>
      </c>
      <c r="G197">
        <v>419</v>
      </c>
      <c r="H197">
        <v>49</v>
      </c>
      <c r="I197">
        <v>88</v>
      </c>
      <c r="J197">
        <v>1.8</v>
      </c>
      <c r="K197">
        <v>1676.6</v>
      </c>
      <c r="L197">
        <v>0.7</v>
      </c>
      <c r="M197">
        <v>1.2</v>
      </c>
      <c r="N197">
        <v>2106</v>
      </c>
      <c r="O197">
        <v>2.33</v>
      </c>
      <c r="P197">
        <v>0.9</v>
      </c>
      <c r="Q197">
        <v>13076.9</v>
      </c>
      <c r="R197">
        <v>91.2</v>
      </c>
      <c r="S197">
        <v>0.401389</v>
      </c>
      <c r="T197">
        <v>1.221349</v>
      </c>
      <c r="U197">
        <v>2.3367830000000001</v>
      </c>
      <c r="V197">
        <v>-0.66034000000000004</v>
      </c>
      <c r="W197">
        <v>0.92886610000000003</v>
      </c>
      <c r="X197">
        <v>0.68799670000000002</v>
      </c>
      <c r="Y197">
        <v>-1.0333570000000001</v>
      </c>
      <c r="Z197">
        <v>-0.40435870000000002</v>
      </c>
      <c r="AA197">
        <v>8.3346600000000007E-2</v>
      </c>
      <c r="AB197">
        <v>-0.71693439999999997</v>
      </c>
      <c r="AC197">
        <v>-0.70829310000000001</v>
      </c>
      <c r="AD197">
        <v>-0.15839739999999999</v>
      </c>
      <c r="AE197">
        <v>1.7743340000000001</v>
      </c>
      <c r="AF197">
        <v>2.7927919999999999</v>
      </c>
      <c r="AG197">
        <v>-0.5124725</v>
      </c>
      <c r="AH197">
        <v>1.199257</v>
      </c>
      <c r="AI197">
        <v>3.3440979999999998</v>
      </c>
      <c r="AJ197">
        <v>1.4257070000000001</v>
      </c>
      <c r="AK197">
        <v>6.037871</v>
      </c>
      <c r="AL197">
        <v>4.4773370000000003</v>
      </c>
      <c r="AM197">
        <v>0.58778660000000005</v>
      </c>
      <c r="AN197">
        <v>7.4245229999999998</v>
      </c>
      <c r="AO197">
        <v>7.6525460000000001</v>
      </c>
      <c r="AP197">
        <v>-0.1053605</v>
      </c>
      <c r="AQ197">
        <v>9.4786009999999994</v>
      </c>
      <c r="AR197">
        <v>5.4644599999999999</v>
      </c>
      <c r="AS197">
        <v>2.7725900000000001</v>
      </c>
      <c r="AT197">
        <v>11.5747</v>
      </c>
      <c r="AU197">
        <v>90.980999999999995</v>
      </c>
      <c r="AV197">
        <v>362.42399999999998</v>
      </c>
      <c r="AW197">
        <v>30.784500000000001</v>
      </c>
      <c r="AX197" s="17">
        <v>22000000000</v>
      </c>
      <c r="AY197">
        <v>3.4436200000000001</v>
      </c>
      <c r="AZ197">
        <v>0.73</v>
      </c>
      <c r="BA197">
        <v>0.84586819999999996</v>
      </c>
      <c r="BB197">
        <v>0.84586823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1.3428599999999999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7.0296000000000004E-3</v>
      </c>
      <c r="CG197">
        <v>0.55747290000000005</v>
      </c>
      <c r="CH197">
        <v>0.238758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0.96588870000000004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0.310776</v>
      </c>
      <c r="DI197">
        <v>0.93294100000000002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0.40695520000000002</v>
      </c>
      <c r="DW197">
        <v>0.70509869999999997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13.9336</v>
      </c>
      <c r="EW197">
        <v>7.1305999999999994E-2</v>
      </c>
      <c r="EX197">
        <v>7.1054599999999996E-2</v>
      </c>
      <c r="EY197">
        <v>7.1535399999999999E-2</v>
      </c>
      <c r="EZ197">
        <v>7.1329699999999996E-2</v>
      </c>
      <c r="FA197">
        <v>7.1392899999999995E-2</v>
      </c>
      <c r="FB197">
        <v>7.1727299999999994E-2</v>
      </c>
      <c r="FC197">
        <v>7.1608599999999994E-2</v>
      </c>
      <c r="FD197">
        <v>7.1418400000000007E-2</v>
      </c>
      <c r="FE197">
        <v>7.1570800000000004E-2</v>
      </c>
      <c r="FF197">
        <v>7.1766800000000006E-2</v>
      </c>
      <c r="FG197">
        <v>7.1637599999999996E-2</v>
      </c>
      <c r="FH197">
        <v>7.1453100000000005E-2</v>
      </c>
      <c r="FI197">
        <v>7.1215700000000007E-2</v>
      </c>
      <c r="FJ197">
        <v>7.0983099999999993E-2</v>
      </c>
      <c r="FK197">
        <v>0.40036860000000002</v>
      </c>
      <c r="FL197">
        <v>0.16029499999999999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1.221349</v>
      </c>
      <c r="FZ197">
        <v>2.3367830000000001</v>
      </c>
      <c r="GA197">
        <v>-0.66034000000000004</v>
      </c>
      <c r="GB197">
        <v>0.68799670000000002</v>
      </c>
      <c r="GC197">
        <v>-0.40435870000000002</v>
      </c>
      <c r="GD197">
        <v>-0.70829310000000001</v>
      </c>
      <c r="GE197">
        <v>-0.5124725</v>
      </c>
      <c r="GF197">
        <v>-0.15839739999999999</v>
      </c>
      <c r="GG197">
        <v>1.7743340000000001</v>
      </c>
      <c r="GH197">
        <v>0.82035049999999998</v>
      </c>
      <c r="GI197">
        <v>0.67297490000000004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0.2922691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0.5988559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1</v>
      </c>
      <c r="KP197">
        <v>1</v>
      </c>
      <c r="KQ197">
        <v>1</v>
      </c>
      <c r="KR197">
        <v>1</v>
      </c>
      <c r="KS197">
        <v>1</v>
      </c>
      <c r="KT197">
        <v>1</v>
      </c>
      <c r="KU197">
        <v>1</v>
      </c>
      <c r="KV197">
        <v>1</v>
      </c>
      <c r="KW197">
        <v>1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1</v>
      </c>
      <c r="LT197">
        <v>1</v>
      </c>
      <c r="LU197">
        <v>1</v>
      </c>
      <c r="LV197">
        <v>1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1</v>
      </c>
      <c r="MG197">
        <v>1</v>
      </c>
      <c r="MH197">
        <v>1</v>
      </c>
      <c r="MI197">
        <v>1</v>
      </c>
      <c r="MJ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1</v>
      </c>
      <c r="MX197">
        <v>1</v>
      </c>
      <c r="MY197">
        <v>1</v>
      </c>
      <c r="MZ197">
        <v>1</v>
      </c>
      <c r="NA197">
        <v>1</v>
      </c>
      <c r="NB197">
        <v>1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  <c r="NN197">
        <v>1</v>
      </c>
      <c r="NO197">
        <v>1</v>
      </c>
      <c r="NP197">
        <v>133.97460000000001</v>
      </c>
      <c r="NQ197">
        <v>1</v>
      </c>
      <c r="NR197">
        <v>1</v>
      </c>
      <c r="NS197">
        <v>1</v>
      </c>
      <c r="NT197">
        <v>1</v>
      </c>
      <c r="NU197">
        <v>1</v>
      </c>
      <c r="NV197">
        <v>1</v>
      </c>
      <c r="NW197">
        <v>1</v>
      </c>
      <c r="NX197">
        <v>1</v>
      </c>
      <c r="NY197">
        <v>1</v>
      </c>
      <c r="NZ197">
        <v>1</v>
      </c>
      <c r="OA197">
        <v>1</v>
      </c>
      <c r="OB197">
        <v>1</v>
      </c>
      <c r="OC197">
        <v>31.3</v>
      </c>
      <c r="OD197">
        <v>106377</v>
      </c>
      <c r="OE197">
        <v>3.83</v>
      </c>
      <c r="OF197">
        <v>236.14699999999999</v>
      </c>
      <c r="OG197">
        <v>16</v>
      </c>
      <c r="OH197">
        <v>90.980999999999995</v>
      </c>
    </row>
    <row r="198" spans="1:398">
      <c r="A198">
        <v>18</v>
      </c>
      <c r="B198" t="s">
        <v>19</v>
      </c>
      <c r="C198" t="s">
        <v>18</v>
      </c>
      <c r="D198">
        <v>2019</v>
      </c>
      <c r="E198">
        <v>27.068000000000001</v>
      </c>
      <c r="F198">
        <v>4.2287999999999997</v>
      </c>
      <c r="G198">
        <v>428</v>
      </c>
      <c r="H198">
        <v>48.9</v>
      </c>
      <c r="I198">
        <v>88.5</v>
      </c>
      <c r="J198">
        <v>9.1</v>
      </c>
      <c r="K198">
        <v>1483.2</v>
      </c>
      <c r="L198">
        <v>1.3</v>
      </c>
      <c r="M198">
        <v>1.3</v>
      </c>
      <c r="N198">
        <v>2074</v>
      </c>
      <c r="O198">
        <v>2</v>
      </c>
      <c r="P198">
        <v>0.92</v>
      </c>
      <c r="Q198">
        <v>11442.1</v>
      </c>
      <c r="R198">
        <v>91</v>
      </c>
      <c r="S198">
        <v>0.43619000000000002</v>
      </c>
      <c r="T198">
        <v>1.0674159999999999</v>
      </c>
      <c r="U198">
        <v>2.4020459999999999</v>
      </c>
      <c r="V198">
        <v>-0.59200779999999997</v>
      </c>
      <c r="W198">
        <v>0.92242900000000005</v>
      </c>
      <c r="X198">
        <v>0.75744650000000002</v>
      </c>
      <c r="Y198">
        <v>0.1355992</v>
      </c>
      <c r="Z198">
        <v>-0.42959570000000002</v>
      </c>
      <c r="AA198">
        <v>1.7521530000000001</v>
      </c>
      <c r="AB198">
        <v>-0.58500799999999997</v>
      </c>
      <c r="AC198">
        <v>-0.70846299999999995</v>
      </c>
      <c r="AD198">
        <v>-6.0388900000000002E-2</v>
      </c>
      <c r="AE198">
        <v>1.2357419999999999</v>
      </c>
      <c r="AF198">
        <v>2.7822559999999998</v>
      </c>
      <c r="AG198">
        <v>-0.52965989999999996</v>
      </c>
      <c r="AH198">
        <v>2.096241</v>
      </c>
      <c r="AI198">
        <v>3.298352</v>
      </c>
      <c r="AJ198">
        <v>1.441918</v>
      </c>
      <c r="AK198">
        <v>6.0591229999999996</v>
      </c>
      <c r="AL198">
        <v>4.4830030000000001</v>
      </c>
      <c r="AM198">
        <v>2.2082739999999998</v>
      </c>
      <c r="AN198">
        <v>7.3019569999999998</v>
      </c>
      <c r="AO198">
        <v>7.6372340000000003</v>
      </c>
      <c r="AP198">
        <v>-8.33816E-2</v>
      </c>
      <c r="AQ198">
        <v>9.3450570000000006</v>
      </c>
      <c r="AR198">
        <v>5.4840799999999996</v>
      </c>
      <c r="AS198">
        <v>2.7972800000000002</v>
      </c>
      <c r="AT198">
        <v>11.5839</v>
      </c>
      <c r="AU198">
        <v>91.222999999999999</v>
      </c>
      <c r="AV198">
        <v>382.34800000000001</v>
      </c>
      <c r="AW198">
        <v>252.92</v>
      </c>
      <c r="AX198" s="17">
        <v>180000000000</v>
      </c>
      <c r="AY198">
        <v>3.4719699999999998</v>
      </c>
      <c r="AZ198">
        <v>0.73</v>
      </c>
      <c r="BA198">
        <v>0.69314719999999996</v>
      </c>
      <c r="BB198">
        <v>0.69314717999999997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1.17248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6.9651000000000001E-3</v>
      </c>
      <c r="CG198">
        <v>0.59433170000000002</v>
      </c>
      <c r="CH198">
        <v>0.27290300000000001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1.8762099999999999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0.35323019999999999</v>
      </c>
      <c r="DI198">
        <v>3.5201639999999998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0.43386219999999998</v>
      </c>
      <c r="DW198">
        <v>1.3696330000000001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13.92667</v>
      </c>
      <c r="EW198">
        <v>7.1360599999999996E-2</v>
      </c>
      <c r="EX198">
        <v>7.1087600000000001E-2</v>
      </c>
      <c r="EY198">
        <v>7.1561700000000006E-2</v>
      </c>
      <c r="EZ198">
        <v>7.1368399999999999E-2</v>
      </c>
      <c r="FA198">
        <v>7.1426199999999995E-2</v>
      </c>
      <c r="FB198">
        <v>7.1439600000000006E-2</v>
      </c>
      <c r="FC198">
        <v>7.1660199999999993E-2</v>
      </c>
      <c r="FD198">
        <v>7.1201E-2</v>
      </c>
      <c r="FE198">
        <v>7.15837E-2</v>
      </c>
      <c r="FF198">
        <v>7.1802699999999997E-2</v>
      </c>
      <c r="FG198">
        <v>7.1680300000000002E-2</v>
      </c>
      <c r="FH198">
        <v>7.1475800000000006E-2</v>
      </c>
      <c r="FI198">
        <v>7.1323600000000001E-2</v>
      </c>
      <c r="FJ198">
        <v>7.1028599999999997E-2</v>
      </c>
      <c r="FK198">
        <v>0.43529790000000002</v>
      </c>
      <c r="FL198">
        <v>0.18948429999999999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1.0674159999999999</v>
      </c>
      <c r="FZ198">
        <v>2.4020459999999999</v>
      </c>
      <c r="GA198">
        <v>-0.59200779999999997</v>
      </c>
      <c r="GB198">
        <v>0.75744650000000002</v>
      </c>
      <c r="GC198">
        <v>-0.42959570000000002</v>
      </c>
      <c r="GD198">
        <v>-0.70846299999999995</v>
      </c>
      <c r="GE198">
        <v>-0.52965989999999996</v>
      </c>
      <c r="GF198">
        <v>-6.0388900000000002E-2</v>
      </c>
      <c r="GG198">
        <v>1.2357419999999999</v>
      </c>
      <c r="GH198">
        <v>2.097575</v>
      </c>
      <c r="GI198">
        <v>4.3998229999999996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0.31776749999999998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1.5312300000000001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1</v>
      </c>
      <c r="KN198">
        <v>1</v>
      </c>
      <c r="KO198">
        <v>1</v>
      </c>
      <c r="KP198">
        <v>1</v>
      </c>
      <c r="KQ198">
        <v>1</v>
      </c>
      <c r="KR198">
        <v>1</v>
      </c>
      <c r="KS198">
        <v>1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1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1</v>
      </c>
      <c r="LG198">
        <v>1</v>
      </c>
      <c r="LH198">
        <v>1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1</v>
      </c>
      <c r="LR198">
        <v>1</v>
      </c>
      <c r="LS198">
        <v>1</v>
      </c>
      <c r="LT198">
        <v>1</v>
      </c>
      <c r="LU198">
        <v>1</v>
      </c>
      <c r="LV198">
        <v>1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1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1</v>
      </c>
      <c r="NB198">
        <v>1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1</v>
      </c>
      <c r="NN198">
        <v>1</v>
      </c>
      <c r="NO198">
        <v>1</v>
      </c>
      <c r="NP198">
        <v>134.1858</v>
      </c>
      <c r="NQ198">
        <v>1</v>
      </c>
      <c r="NR198">
        <v>1</v>
      </c>
      <c r="NS198">
        <v>1</v>
      </c>
      <c r="NT198">
        <v>1</v>
      </c>
      <c r="NU198">
        <v>1</v>
      </c>
      <c r="NV198">
        <v>1</v>
      </c>
      <c r="NW198">
        <v>1</v>
      </c>
      <c r="NX198">
        <v>1</v>
      </c>
      <c r="NY198">
        <v>1</v>
      </c>
      <c r="NZ198">
        <v>1</v>
      </c>
      <c r="OA198">
        <v>1</v>
      </c>
      <c r="OB198">
        <v>1</v>
      </c>
      <c r="OC198">
        <v>32.200000000000003</v>
      </c>
      <c r="OD198">
        <v>107351</v>
      </c>
      <c r="OE198">
        <v>3.23</v>
      </c>
      <c r="OF198">
        <v>240.828</v>
      </c>
      <c r="OG198">
        <v>16.399999999999999</v>
      </c>
      <c r="OH198">
        <v>91.222999999999999</v>
      </c>
    </row>
    <row r="199" spans="1:398">
      <c r="A199">
        <v>18</v>
      </c>
      <c r="B199" t="s">
        <v>19</v>
      </c>
      <c r="C199" t="s">
        <v>18</v>
      </c>
      <c r="D199">
        <v>2020</v>
      </c>
      <c r="E199">
        <v>27.395</v>
      </c>
      <c r="F199">
        <v>4.0842999999999998</v>
      </c>
      <c r="G199">
        <v>381</v>
      </c>
      <c r="H199">
        <v>52.8</v>
      </c>
      <c r="I199">
        <v>87.9</v>
      </c>
      <c r="J199">
        <v>9.4</v>
      </c>
      <c r="K199">
        <v>936.1</v>
      </c>
      <c r="L199">
        <v>1.1000000000000001</v>
      </c>
      <c r="M199">
        <v>1.2</v>
      </c>
      <c r="N199">
        <v>2100</v>
      </c>
      <c r="O199">
        <v>2.5</v>
      </c>
      <c r="P199">
        <v>0.91</v>
      </c>
      <c r="Q199">
        <v>9807.34</v>
      </c>
      <c r="R199">
        <v>90.4</v>
      </c>
      <c r="S199">
        <v>0.414072</v>
      </c>
      <c r="T199">
        <v>1.1071439999999999</v>
      </c>
      <c r="U199">
        <v>2.2633619999999999</v>
      </c>
      <c r="V199">
        <v>-0.94885370000000002</v>
      </c>
      <c r="W199">
        <v>1.1734830000000001</v>
      </c>
      <c r="X199">
        <v>0.67410700000000001</v>
      </c>
      <c r="Y199">
        <v>0.1836383</v>
      </c>
      <c r="Z199">
        <v>-0.50098739999999997</v>
      </c>
      <c r="AA199">
        <v>1.1958839999999999</v>
      </c>
      <c r="AB199">
        <v>-0.71693439999999997</v>
      </c>
      <c r="AC199">
        <v>-0.70832499999999998</v>
      </c>
      <c r="AD199">
        <v>-0.109393</v>
      </c>
      <c r="AE199">
        <v>0.69714989999999999</v>
      </c>
      <c r="AF199">
        <v>2.7506490000000001</v>
      </c>
      <c r="AG199">
        <v>-0.50361829999999996</v>
      </c>
      <c r="AH199">
        <v>1.899877</v>
      </c>
      <c r="AI199">
        <v>3.3103600000000002</v>
      </c>
      <c r="AJ199">
        <v>1.4071499999999999</v>
      </c>
      <c r="AK199">
        <v>5.9428000000000001</v>
      </c>
      <c r="AL199">
        <v>4.4762000000000004</v>
      </c>
      <c r="AM199">
        <v>2.24071</v>
      </c>
      <c r="AN199">
        <v>6.8417219999999999</v>
      </c>
      <c r="AO199">
        <v>7.6496930000000001</v>
      </c>
      <c r="AP199">
        <v>-9.4310599999999994E-2</v>
      </c>
      <c r="AQ199">
        <v>9.1908860000000008</v>
      </c>
      <c r="AR199">
        <v>5.5007400000000004</v>
      </c>
      <c r="AS199">
        <v>3.0349499999999998</v>
      </c>
      <c r="AT199">
        <v>11.5581</v>
      </c>
      <c r="AU199">
        <v>91.453000000000003</v>
      </c>
      <c r="AV199">
        <v>372.27100000000002</v>
      </c>
      <c r="AW199">
        <v>200.83199999999999</v>
      </c>
      <c r="AX199" s="17">
        <v>150000000000</v>
      </c>
      <c r="AY199">
        <v>3.4904299999999999</v>
      </c>
      <c r="AZ199">
        <v>0.72</v>
      </c>
      <c r="BA199">
        <v>0.91629079999999996</v>
      </c>
      <c r="BB199">
        <v>0.91629075999999998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1.3787700000000001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7.5145999999999998E-3</v>
      </c>
      <c r="CG199">
        <v>0.57417790000000002</v>
      </c>
      <c r="CH199">
        <v>0.25759399999999999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1.7317629999999999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0.32968029999999998</v>
      </c>
      <c r="DI199">
        <v>2.9990030000000001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0.4134081</v>
      </c>
      <c r="DW199">
        <v>1.246869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13.93069</v>
      </c>
      <c r="EW199">
        <v>7.1338299999999993E-2</v>
      </c>
      <c r="EX199">
        <v>7.1094199999999996E-2</v>
      </c>
      <c r="EY199">
        <v>7.1595000000000006E-2</v>
      </c>
      <c r="EZ199">
        <v>7.1320599999999998E-2</v>
      </c>
      <c r="FA199">
        <v>7.1412100000000006E-2</v>
      </c>
      <c r="FB199">
        <v>7.1409500000000001E-2</v>
      </c>
      <c r="FC199">
        <v>7.1686200000000005E-2</v>
      </c>
      <c r="FD199">
        <v>7.1264499999999995E-2</v>
      </c>
      <c r="FE199">
        <v>7.1586700000000003E-2</v>
      </c>
      <c r="FF199">
        <v>7.1781800000000007E-2</v>
      </c>
      <c r="FG199">
        <v>7.1649400000000002E-2</v>
      </c>
      <c r="FH199">
        <v>7.1463399999999996E-2</v>
      </c>
      <c r="FI199">
        <v>7.1377499999999997E-2</v>
      </c>
      <c r="FJ199">
        <v>7.1020899999999998E-2</v>
      </c>
      <c r="FK199">
        <v>0.41320839999999998</v>
      </c>
      <c r="FL199">
        <v>0.17074120000000001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1.1071439999999999</v>
      </c>
      <c r="FZ199">
        <v>2.2633619999999999</v>
      </c>
      <c r="GA199">
        <v>-0.94885370000000002</v>
      </c>
      <c r="GB199">
        <v>0.67410700000000001</v>
      </c>
      <c r="GC199">
        <v>-0.50098739999999997</v>
      </c>
      <c r="GD199">
        <v>-0.70832499999999998</v>
      </c>
      <c r="GE199">
        <v>-0.50361829999999996</v>
      </c>
      <c r="GF199">
        <v>-0.109393</v>
      </c>
      <c r="GG199">
        <v>0.69714989999999999</v>
      </c>
      <c r="GH199">
        <v>1.8328329999999999</v>
      </c>
      <c r="GI199">
        <v>3.3592770000000001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0.2975101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1.3196399999999999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1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1</v>
      </c>
      <c r="LV199">
        <v>1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1</v>
      </c>
      <c r="MI199">
        <v>1</v>
      </c>
      <c r="MJ199">
        <v>1</v>
      </c>
      <c r="MK199">
        <v>1</v>
      </c>
      <c r="ML199">
        <v>1</v>
      </c>
      <c r="MM199">
        <v>1</v>
      </c>
      <c r="MN199">
        <v>1</v>
      </c>
      <c r="MO199">
        <v>1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  <c r="MX199">
        <v>1</v>
      </c>
      <c r="MY199">
        <v>1</v>
      </c>
      <c r="MZ199">
        <v>1</v>
      </c>
      <c r="NA199">
        <v>1</v>
      </c>
      <c r="NB199">
        <v>1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1</v>
      </c>
      <c r="NN199">
        <v>1</v>
      </c>
      <c r="NO199">
        <v>1</v>
      </c>
      <c r="NP199">
        <v>133.58850000000001</v>
      </c>
      <c r="NQ199">
        <v>1</v>
      </c>
      <c r="NR199">
        <v>1</v>
      </c>
      <c r="NS199">
        <v>1</v>
      </c>
      <c r="NT199">
        <v>1</v>
      </c>
      <c r="NU199">
        <v>1</v>
      </c>
      <c r="NV199">
        <v>1</v>
      </c>
      <c r="NW199">
        <v>1</v>
      </c>
      <c r="NX199">
        <v>1</v>
      </c>
      <c r="NY199">
        <v>1</v>
      </c>
      <c r="NZ199">
        <v>1</v>
      </c>
      <c r="OA199">
        <v>1</v>
      </c>
      <c r="OB199">
        <v>1</v>
      </c>
      <c r="OC199">
        <v>32.799999999999997</v>
      </c>
      <c r="OD199">
        <v>104616</v>
      </c>
      <c r="OE199">
        <v>3.97</v>
      </c>
      <c r="OF199">
        <v>244.874</v>
      </c>
      <c r="OG199">
        <v>20.8</v>
      </c>
      <c r="OH199">
        <v>91.453000000000003</v>
      </c>
    </row>
    <row r="200" spans="1:398">
      <c r="A200">
        <v>19</v>
      </c>
      <c r="B200" t="s">
        <v>17</v>
      </c>
      <c r="C200" t="s">
        <v>16</v>
      </c>
      <c r="D200">
        <v>2010</v>
      </c>
      <c r="E200">
        <v>11.654</v>
      </c>
      <c r="F200">
        <v>1.0379</v>
      </c>
      <c r="G200">
        <v>480</v>
      </c>
      <c r="H200">
        <v>9.4</v>
      </c>
      <c r="I200">
        <v>84.6</v>
      </c>
      <c r="J200">
        <v>1.2</v>
      </c>
      <c r="K200">
        <v>48.8</v>
      </c>
      <c r="L200">
        <v>1</v>
      </c>
      <c r="M200">
        <v>1.8</v>
      </c>
      <c r="N200">
        <v>18815</v>
      </c>
      <c r="O200">
        <v>1.5</v>
      </c>
      <c r="P200">
        <v>1.29</v>
      </c>
      <c r="Q200">
        <v>5150.28</v>
      </c>
      <c r="R200">
        <v>26.4</v>
      </c>
      <c r="S200">
        <v>0.236567</v>
      </c>
      <c r="T200">
        <v>-0.80529870000000003</v>
      </c>
      <c r="U200">
        <v>-0.66042020000000001</v>
      </c>
      <c r="V200">
        <v>-0.1971996</v>
      </c>
      <c r="W200">
        <v>-1.6203000000000001</v>
      </c>
      <c r="X200">
        <v>0.21573829999999999</v>
      </c>
      <c r="Y200">
        <v>-1.129435</v>
      </c>
      <c r="Z200">
        <v>-0.61677219999999999</v>
      </c>
      <c r="AA200">
        <v>0.91775010000000001</v>
      </c>
      <c r="AB200">
        <v>7.4625300000000006E-2</v>
      </c>
      <c r="AC200">
        <v>-0.61956869999999997</v>
      </c>
      <c r="AD200">
        <v>1.7527649999999999</v>
      </c>
      <c r="AE200">
        <v>-0.83716299999999999</v>
      </c>
      <c r="AF200">
        <v>-0.62075049999999998</v>
      </c>
      <c r="AG200">
        <v>-0.55570160000000002</v>
      </c>
      <c r="AH200">
        <v>-1.5405549999999999</v>
      </c>
      <c r="AI200">
        <v>2.4556490000000002</v>
      </c>
      <c r="AJ200">
        <v>3.7199400000000001E-2</v>
      </c>
      <c r="AK200">
        <v>6.1737859999999998</v>
      </c>
      <c r="AL200">
        <v>4.4379340000000003</v>
      </c>
      <c r="AM200">
        <v>0.1823216</v>
      </c>
      <c r="AN200">
        <v>3.8877299999999999</v>
      </c>
      <c r="AO200">
        <v>9.8424099999999992</v>
      </c>
      <c r="AP200">
        <v>0.25464219999999999</v>
      </c>
      <c r="AQ200">
        <v>8.5468069999999994</v>
      </c>
      <c r="AR200">
        <v>3.5177399999999999</v>
      </c>
      <c r="AS200">
        <v>3.49953</v>
      </c>
      <c r="AT200">
        <v>9.2592199999999991</v>
      </c>
      <c r="AU200">
        <v>67.840999999999994</v>
      </c>
      <c r="AV200">
        <v>110.86199999999999</v>
      </c>
      <c r="AW200">
        <v>2.02393</v>
      </c>
      <c r="AX200" s="17">
        <v>470000000</v>
      </c>
      <c r="AY200">
        <v>3.0445199999999999</v>
      </c>
      <c r="AZ200">
        <v>0.31</v>
      </c>
      <c r="BA200">
        <v>0.40546510000000002</v>
      </c>
      <c r="BB200">
        <v>0.40546510000000002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-0.32850400000000002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8.1709999999999997E-4</v>
      </c>
      <c r="CG200">
        <v>0.40569169999999999</v>
      </c>
      <c r="CH200">
        <v>0.12298199999999999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-1.5144629999999999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0.1645858</v>
      </c>
      <c r="DI200">
        <v>2.2935979999999998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0.1257644</v>
      </c>
      <c r="DW200">
        <v>-0.4694836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13.95754</v>
      </c>
      <c r="EW200">
        <v>7.1424500000000002E-2</v>
      </c>
      <c r="EX200">
        <v>7.1461899999999995E-2</v>
      </c>
      <c r="EY200">
        <v>7.1349300000000004E-2</v>
      </c>
      <c r="EZ200">
        <v>7.1572800000000006E-2</v>
      </c>
      <c r="FA200">
        <v>7.13033E-2</v>
      </c>
      <c r="FB200">
        <v>7.1645899999999998E-2</v>
      </c>
      <c r="FC200">
        <v>7.1638599999999997E-2</v>
      </c>
      <c r="FD200">
        <v>7.1171799999999993E-2</v>
      </c>
      <c r="FE200">
        <v>7.1319599999999997E-2</v>
      </c>
      <c r="FF200">
        <v>7.1593000000000004E-2</v>
      </c>
      <c r="FG200">
        <v>7.1532700000000005E-2</v>
      </c>
      <c r="FH200">
        <v>7.1087300000000006E-2</v>
      </c>
      <c r="FI200">
        <v>7.1473099999999998E-2</v>
      </c>
      <c r="FJ200">
        <v>7.1426199999999995E-2</v>
      </c>
      <c r="FK200">
        <v>0.23607890000000001</v>
      </c>
      <c r="FL200">
        <v>5.5733199999999997E-2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-0.80529870000000003</v>
      </c>
      <c r="FZ200">
        <v>-0.66042020000000001</v>
      </c>
      <c r="GA200">
        <v>-0.1971996</v>
      </c>
      <c r="GB200">
        <v>0.21573829999999999</v>
      </c>
      <c r="GC200">
        <v>-0.61677219999999999</v>
      </c>
      <c r="GD200">
        <v>-0.61956869999999997</v>
      </c>
      <c r="GE200">
        <v>-0.55570160000000002</v>
      </c>
      <c r="GF200">
        <v>1.7527649999999999</v>
      </c>
      <c r="GG200">
        <v>-0.83716299999999999</v>
      </c>
      <c r="GH200">
        <v>-2.1082730000000001</v>
      </c>
      <c r="GI200">
        <v>4.4448150000000002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7.3184399999999997E-2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-0.65356460000000005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1</v>
      </c>
      <c r="KH200">
        <v>1</v>
      </c>
      <c r="KI200">
        <v>1</v>
      </c>
      <c r="KJ200">
        <v>1</v>
      </c>
      <c r="KK200">
        <v>1</v>
      </c>
      <c r="KL200">
        <v>1</v>
      </c>
      <c r="KM200">
        <v>1</v>
      </c>
      <c r="KN200">
        <v>1</v>
      </c>
      <c r="KO200">
        <v>1</v>
      </c>
      <c r="KP200">
        <v>1</v>
      </c>
      <c r="KQ200">
        <v>1</v>
      </c>
      <c r="KR200">
        <v>1</v>
      </c>
      <c r="KS200">
        <v>1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1</v>
      </c>
      <c r="LS200">
        <v>1</v>
      </c>
      <c r="LT200">
        <v>1</v>
      </c>
      <c r="LU200">
        <v>1</v>
      </c>
      <c r="LV200">
        <v>1</v>
      </c>
      <c r="LW200">
        <v>1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1</v>
      </c>
      <c r="MF200">
        <v>1</v>
      </c>
      <c r="MG200">
        <v>1</v>
      </c>
      <c r="MH200">
        <v>1</v>
      </c>
      <c r="MI200">
        <v>1</v>
      </c>
      <c r="MJ200">
        <v>1</v>
      </c>
      <c r="MK200">
        <v>1</v>
      </c>
      <c r="ML200">
        <v>1</v>
      </c>
      <c r="MM200">
        <v>1</v>
      </c>
      <c r="MN200">
        <v>1</v>
      </c>
      <c r="MO200">
        <v>1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1</v>
      </c>
      <c r="MZ200">
        <v>1</v>
      </c>
      <c r="NA200">
        <v>1</v>
      </c>
      <c r="NB200">
        <v>1</v>
      </c>
      <c r="NC200">
        <v>1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1</v>
      </c>
      <c r="NJ200">
        <v>1</v>
      </c>
      <c r="NK200">
        <v>1</v>
      </c>
      <c r="NL200">
        <v>1</v>
      </c>
      <c r="NM200">
        <v>1</v>
      </c>
      <c r="NN200">
        <v>1</v>
      </c>
      <c r="NO200">
        <v>1</v>
      </c>
      <c r="NP200">
        <v>85.733090000000004</v>
      </c>
      <c r="NQ200">
        <v>1</v>
      </c>
      <c r="NR200">
        <v>1</v>
      </c>
      <c r="NS200">
        <v>1</v>
      </c>
      <c r="NT200">
        <v>1</v>
      </c>
      <c r="NU200">
        <v>1</v>
      </c>
      <c r="NV200">
        <v>1</v>
      </c>
      <c r="NW200">
        <v>1</v>
      </c>
      <c r="NX200">
        <v>1</v>
      </c>
      <c r="NY200">
        <v>1</v>
      </c>
      <c r="NZ200">
        <v>1</v>
      </c>
      <c r="OA200">
        <v>1</v>
      </c>
      <c r="OB200">
        <v>1</v>
      </c>
      <c r="OC200">
        <v>21</v>
      </c>
      <c r="OD200">
        <v>10500.9</v>
      </c>
      <c r="OE200">
        <v>0.72</v>
      </c>
      <c r="OF200">
        <v>33.708100000000002</v>
      </c>
      <c r="OG200">
        <v>33.1</v>
      </c>
      <c r="OH200">
        <v>67.840999999999994</v>
      </c>
    </row>
    <row r="201" spans="1:398">
      <c r="A201">
        <v>19</v>
      </c>
      <c r="B201" t="s">
        <v>17</v>
      </c>
      <c r="C201" t="s">
        <v>16</v>
      </c>
      <c r="D201">
        <v>2011</v>
      </c>
      <c r="E201">
        <v>14.446</v>
      </c>
      <c r="F201">
        <v>0.92090000000000005</v>
      </c>
      <c r="G201">
        <v>479</v>
      </c>
      <c r="H201">
        <v>9.6999999999999993</v>
      </c>
      <c r="I201">
        <v>81.5</v>
      </c>
      <c r="J201">
        <v>2.9</v>
      </c>
      <c r="K201">
        <v>59.1</v>
      </c>
      <c r="L201">
        <v>0.9</v>
      </c>
      <c r="M201">
        <v>1.7</v>
      </c>
      <c r="N201">
        <v>19182</v>
      </c>
      <c r="O201">
        <v>1.915</v>
      </c>
      <c r="P201">
        <v>1.3</v>
      </c>
      <c r="Q201">
        <v>5081.0200000000004</v>
      </c>
      <c r="R201">
        <v>27.4</v>
      </c>
      <c r="S201">
        <v>0.23652200000000001</v>
      </c>
      <c r="T201">
        <v>-0.46608640000000001</v>
      </c>
      <c r="U201">
        <v>-0.77271089999999998</v>
      </c>
      <c r="V201">
        <v>-0.2047921</v>
      </c>
      <c r="W201">
        <v>-1.600989</v>
      </c>
      <c r="X201">
        <v>-0.21484990000000001</v>
      </c>
      <c r="Y201">
        <v>-0.85721270000000005</v>
      </c>
      <c r="Z201">
        <v>-0.61542810000000003</v>
      </c>
      <c r="AA201">
        <v>0.6396155</v>
      </c>
      <c r="AB201">
        <v>-5.7301400000000002E-2</v>
      </c>
      <c r="AC201">
        <v>-0.6176199</v>
      </c>
      <c r="AD201">
        <v>1.801769</v>
      </c>
      <c r="AE201">
        <v>-0.85998229999999998</v>
      </c>
      <c r="AF201">
        <v>-0.56807240000000003</v>
      </c>
      <c r="AG201">
        <v>-0.53408699999999998</v>
      </c>
      <c r="AH201">
        <v>-1.4942839999999999</v>
      </c>
      <c r="AI201">
        <v>2.6704180000000002</v>
      </c>
      <c r="AJ201">
        <v>-8.2403799999999999E-2</v>
      </c>
      <c r="AK201">
        <v>6.1717000000000004</v>
      </c>
      <c r="AL201">
        <v>4.4006030000000003</v>
      </c>
      <c r="AM201">
        <v>1.064711</v>
      </c>
      <c r="AN201">
        <v>4.0792310000000001</v>
      </c>
      <c r="AO201">
        <v>9.8617279999999994</v>
      </c>
      <c r="AP201">
        <v>0.26236419999999999</v>
      </c>
      <c r="AQ201">
        <v>8.5332679999999996</v>
      </c>
      <c r="AR201">
        <v>3.49953</v>
      </c>
      <c r="AS201">
        <v>3.5695299999999999</v>
      </c>
      <c r="AT201">
        <v>9.3073300000000003</v>
      </c>
      <c r="AU201">
        <v>67.869</v>
      </c>
      <c r="AV201">
        <v>129.73500000000001</v>
      </c>
      <c r="AW201">
        <v>5.7177300000000004</v>
      </c>
      <c r="AX201" s="17">
        <v>1500000000</v>
      </c>
      <c r="AY201">
        <v>3.09104</v>
      </c>
      <c r="AZ201">
        <v>0.3</v>
      </c>
      <c r="BA201">
        <v>0.64971760000000001</v>
      </c>
      <c r="BB201">
        <v>0.64971763000000005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-9.4370999999999997E-2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8.6260000000000004E-4</v>
      </c>
      <c r="CG201">
        <v>0.41029710000000003</v>
      </c>
      <c r="CH201">
        <v>0.12595300000000001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-1.476361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0.16834370000000001</v>
      </c>
      <c r="DI201">
        <v>2.1796419999999999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0.12308910000000001</v>
      </c>
      <c r="DW201">
        <v>-0.44290839999999998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13.95692</v>
      </c>
      <c r="EW201">
        <v>7.1385599999999994E-2</v>
      </c>
      <c r="EX201">
        <v>7.1489999999999998E-2</v>
      </c>
      <c r="EY201">
        <v>7.1354500000000001E-2</v>
      </c>
      <c r="EZ201">
        <v>7.1572399999999994E-2</v>
      </c>
      <c r="FA201">
        <v>7.1333499999999994E-2</v>
      </c>
      <c r="FB201">
        <v>7.1548E-2</v>
      </c>
      <c r="FC201">
        <v>7.1640400000000007E-2</v>
      </c>
      <c r="FD201">
        <v>7.12198E-2</v>
      </c>
      <c r="FE201">
        <v>7.1344500000000005E-2</v>
      </c>
      <c r="FF201">
        <v>7.1595199999999998E-2</v>
      </c>
      <c r="FG201">
        <v>7.1527199999999999E-2</v>
      </c>
      <c r="FH201">
        <v>7.1088799999999994E-2</v>
      </c>
      <c r="FI201">
        <v>7.1480500000000002E-2</v>
      </c>
      <c r="FJ201">
        <v>7.1419499999999997E-2</v>
      </c>
      <c r="FK201">
        <v>0.2360913</v>
      </c>
      <c r="FL201">
        <v>5.57391E-2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-0.46608640000000001</v>
      </c>
      <c r="FZ201">
        <v>-0.77271089999999998</v>
      </c>
      <c r="GA201">
        <v>-0.2047921</v>
      </c>
      <c r="GB201">
        <v>-0.21484990000000001</v>
      </c>
      <c r="GC201">
        <v>-0.61542810000000003</v>
      </c>
      <c r="GD201">
        <v>-0.6176199</v>
      </c>
      <c r="GE201">
        <v>-0.53408699999999998</v>
      </c>
      <c r="GF201">
        <v>1.801769</v>
      </c>
      <c r="GG201">
        <v>-0.85998229999999998</v>
      </c>
      <c r="GH201">
        <v>-2.0492110000000001</v>
      </c>
      <c r="GI201">
        <v>4.1992659999999997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7.0827399999999999E-2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-0.61476330000000001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R201">
        <v>1</v>
      </c>
      <c r="IS201">
        <v>1</v>
      </c>
      <c r="IT201">
        <v>1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H201">
        <v>1</v>
      </c>
      <c r="KI201">
        <v>1</v>
      </c>
      <c r="KJ201">
        <v>1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1</v>
      </c>
      <c r="KQ201">
        <v>1</v>
      </c>
      <c r="KR201">
        <v>1</v>
      </c>
      <c r="KS201">
        <v>1</v>
      </c>
      <c r="KT201">
        <v>1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1</v>
      </c>
      <c r="MJ201">
        <v>1</v>
      </c>
      <c r="MK201">
        <v>1</v>
      </c>
      <c r="ML201">
        <v>1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</v>
      </c>
      <c r="NA201">
        <v>1</v>
      </c>
      <c r="NB201">
        <v>1</v>
      </c>
      <c r="NC201">
        <v>1</v>
      </c>
      <c r="ND201">
        <v>1</v>
      </c>
      <c r="NE201">
        <v>1</v>
      </c>
      <c r="NF201">
        <v>1</v>
      </c>
      <c r="NG201">
        <v>1</v>
      </c>
      <c r="NH201">
        <v>1</v>
      </c>
      <c r="NI201">
        <v>1</v>
      </c>
      <c r="NJ201">
        <v>1</v>
      </c>
      <c r="NK201">
        <v>1</v>
      </c>
      <c r="NL201">
        <v>1</v>
      </c>
      <c r="NM201">
        <v>1</v>
      </c>
      <c r="NN201">
        <v>1</v>
      </c>
      <c r="NO201">
        <v>1</v>
      </c>
      <c r="NP201">
        <v>86.626410000000007</v>
      </c>
      <c r="NQ201">
        <v>1</v>
      </c>
      <c r="NR201">
        <v>1</v>
      </c>
      <c r="NS201">
        <v>1</v>
      </c>
      <c r="NT201">
        <v>1</v>
      </c>
      <c r="NU201">
        <v>1</v>
      </c>
      <c r="NV201">
        <v>1</v>
      </c>
      <c r="NW201">
        <v>1</v>
      </c>
      <c r="NX201">
        <v>1</v>
      </c>
      <c r="NY201">
        <v>1</v>
      </c>
      <c r="NZ201">
        <v>1</v>
      </c>
      <c r="OA201">
        <v>1</v>
      </c>
      <c r="OB201">
        <v>1</v>
      </c>
      <c r="OC201">
        <v>22</v>
      </c>
      <c r="OD201">
        <v>11018.5</v>
      </c>
      <c r="OE201">
        <v>0</v>
      </c>
      <c r="OF201">
        <v>33.099899999999998</v>
      </c>
      <c r="OG201">
        <v>35.5</v>
      </c>
      <c r="OH201">
        <v>67.869</v>
      </c>
    </row>
    <row r="202" spans="1:398">
      <c r="A202">
        <v>19</v>
      </c>
      <c r="B202" t="s">
        <v>17</v>
      </c>
      <c r="C202" t="s">
        <v>16</v>
      </c>
      <c r="D202">
        <v>2012</v>
      </c>
      <c r="E202">
        <v>13.606999999999999</v>
      </c>
      <c r="F202">
        <v>0.98119999999999996</v>
      </c>
      <c r="G202">
        <v>465</v>
      </c>
      <c r="H202">
        <v>14.6</v>
      </c>
      <c r="I202">
        <v>83.6</v>
      </c>
      <c r="J202">
        <v>1.3</v>
      </c>
      <c r="K202">
        <v>36.1</v>
      </c>
      <c r="L202">
        <v>0.8</v>
      </c>
      <c r="M202">
        <v>1.6</v>
      </c>
      <c r="N202">
        <v>20476</v>
      </c>
      <c r="O202">
        <v>2.33</v>
      </c>
      <c r="P202">
        <v>1.31</v>
      </c>
      <c r="Q202">
        <v>5084.95</v>
      </c>
      <c r="R202">
        <v>30.3</v>
      </c>
      <c r="S202">
        <v>0.236927</v>
      </c>
      <c r="T202">
        <v>-0.56802019999999998</v>
      </c>
      <c r="U202">
        <v>-0.71483799999999997</v>
      </c>
      <c r="V202">
        <v>-0.31108659999999999</v>
      </c>
      <c r="W202">
        <v>-1.285561</v>
      </c>
      <c r="X202">
        <v>7.6838799999999999E-2</v>
      </c>
      <c r="Y202">
        <v>-1.1134219999999999</v>
      </c>
      <c r="Z202">
        <v>-0.61842949999999997</v>
      </c>
      <c r="AA202">
        <v>0.361481</v>
      </c>
      <c r="AB202">
        <v>-0.18922800000000001</v>
      </c>
      <c r="AC202">
        <v>-0.61074879999999998</v>
      </c>
      <c r="AD202">
        <v>1.850773</v>
      </c>
      <c r="AE202">
        <v>-0.85868860000000002</v>
      </c>
      <c r="AF202">
        <v>-0.4153058</v>
      </c>
      <c r="AG202">
        <v>-0.5124725</v>
      </c>
      <c r="AH202">
        <v>-1.4938290000000001</v>
      </c>
      <c r="AI202">
        <v>2.6105839999999998</v>
      </c>
      <c r="AJ202">
        <v>-1.8978999999999999E-2</v>
      </c>
      <c r="AK202">
        <v>6.1420370000000002</v>
      </c>
      <c r="AL202">
        <v>4.4260440000000001</v>
      </c>
      <c r="AM202">
        <v>0.26236419999999999</v>
      </c>
      <c r="AN202">
        <v>3.586293</v>
      </c>
      <c r="AO202">
        <v>9.927009</v>
      </c>
      <c r="AP202">
        <v>0.27002710000000002</v>
      </c>
      <c r="AQ202">
        <v>8.5340399999999992</v>
      </c>
      <c r="AR202">
        <v>3.4871300000000001</v>
      </c>
      <c r="AS202">
        <v>3.6988300000000001</v>
      </c>
      <c r="AT202">
        <v>9.3902400000000004</v>
      </c>
      <c r="AU202">
        <v>67.897000000000006</v>
      </c>
      <c r="AV202">
        <v>133.21199999999999</v>
      </c>
      <c r="AW202">
        <v>3.9857399999999998</v>
      </c>
      <c r="AX202" s="17">
        <v>1100000000</v>
      </c>
      <c r="AY202">
        <v>3.1135100000000002</v>
      </c>
      <c r="AZ202">
        <v>0.28000000000000003</v>
      </c>
      <c r="BA202">
        <v>0.84586819999999996</v>
      </c>
      <c r="BB202">
        <v>0.84586823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0.139762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1.6149000000000001E-3</v>
      </c>
      <c r="CG202">
        <v>0.40825270000000002</v>
      </c>
      <c r="CH202">
        <v>0.123168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-1.471438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0.16667029999999999</v>
      </c>
      <c r="DI202">
        <v>2.1651310000000001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0.1143108</v>
      </c>
      <c r="DW202">
        <v>-0.4120027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13.95786</v>
      </c>
      <c r="EW202">
        <v>7.1394200000000005E-2</v>
      </c>
      <c r="EX202">
        <v>7.14727E-2</v>
      </c>
      <c r="EY202">
        <v>7.1365300000000007E-2</v>
      </c>
      <c r="EZ202">
        <v>7.1513599999999997E-2</v>
      </c>
      <c r="FA202">
        <v>7.1312600000000004E-2</v>
      </c>
      <c r="FB202">
        <v>7.1635799999999999E-2</v>
      </c>
      <c r="FC202">
        <v>7.16387E-2</v>
      </c>
      <c r="FD202">
        <v>7.1260500000000004E-2</v>
      </c>
      <c r="FE202">
        <v>7.1361499999999994E-2</v>
      </c>
      <c r="FF202">
        <v>7.1587100000000001E-2</v>
      </c>
      <c r="FG202">
        <v>7.1513999999999994E-2</v>
      </c>
      <c r="FH202">
        <v>7.1082599999999996E-2</v>
      </c>
      <c r="FI202">
        <v>7.1475800000000006E-2</v>
      </c>
      <c r="FJ202">
        <v>7.1385699999999996E-2</v>
      </c>
      <c r="FK202">
        <v>0.23649529999999999</v>
      </c>
      <c r="FL202">
        <v>5.5930000000000001E-2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-0.56802019999999998</v>
      </c>
      <c r="FZ202">
        <v>-0.71483799999999997</v>
      </c>
      <c r="GA202">
        <v>-0.31108659999999999</v>
      </c>
      <c r="GB202">
        <v>7.6838799999999999E-2</v>
      </c>
      <c r="GC202">
        <v>-0.61842949999999997</v>
      </c>
      <c r="GD202">
        <v>-0.61074879999999998</v>
      </c>
      <c r="GE202">
        <v>-0.5124725</v>
      </c>
      <c r="GF202">
        <v>1.850773</v>
      </c>
      <c r="GG202">
        <v>-0.85868860000000002</v>
      </c>
      <c r="GH202">
        <v>-2.0876009999999998</v>
      </c>
      <c r="GI202">
        <v>4.3580779999999999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6.6218700000000005E-2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-0.5845283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1</v>
      </c>
      <c r="JR202">
        <v>1</v>
      </c>
      <c r="JS202">
        <v>1</v>
      </c>
      <c r="JT202">
        <v>1</v>
      </c>
      <c r="JU202">
        <v>1</v>
      </c>
      <c r="JV202">
        <v>1</v>
      </c>
      <c r="JW202">
        <v>1</v>
      </c>
      <c r="JX202">
        <v>1</v>
      </c>
      <c r="JY202">
        <v>1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1</v>
      </c>
      <c r="KW202">
        <v>1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1</v>
      </c>
      <c r="MJ202">
        <v>1</v>
      </c>
      <c r="MK202">
        <v>1</v>
      </c>
      <c r="ML202">
        <v>1</v>
      </c>
      <c r="MM202">
        <v>1</v>
      </c>
      <c r="MN202">
        <v>1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1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1</v>
      </c>
      <c r="NJ202">
        <v>1</v>
      </c>
      <c r="NK202">
        <v>1</v>
      </c>
      <c r="NL202">
        <v>1</v>
      </c>
      <c r="NM202">
        <v>1</v>
      </c>
      <c r="NN202">
        <v>1</v>
      </c>
      <c r="NO202">
        <v>1</v>
      </c>
      <c r="NP202">
        <v>88.176659999999998</v>
      </c>
      <c r="NQ202">
        <v>1</v>
      </c>
      <c r="NR202">
        <v>1</v>
      </c>
      <c r="NS202">
        <v>1</v>
      </c>
      <c r="NT202">
        <v>1</v>
      </c>
      <c r="NU202">
        <v>1</v>
      </c>
      <c r="NV202">
        <v>1</v>
      </c>
      <c r="NW202">
        <v>1</v>
      </c>
      <c r="NX202">
        <v>1</v>
      </c>
      <c r="NY202">
        <v>1</v>
      </c>
      <c r="NZ202">
        <v>1</v>
      </c>
      <c r="OA202">
        <v>1</v>
      </c>
      <c r="OB202">
        <v>1</v>
      </c>
      <c r="OC202">
        <v>22.5</v>
      </c>
      <c r="OD202">
        <v>11971</v>
      </c>
      <c r="OE202">
        <v>1.1499999999999999</v>
      </c>
      <c r="OF202">
        <v>32.691899999999997</v>
      </c>
      <c r="OG202">
        <v>40.4</v>
      </c>
      <c r="OH202">
        <v>67.897000000000006</v>
      </c>
    </row>
    <row r="203" spans="1:398">
      <c r="A203">
        <v>19</v>
      </c>
      <c r="B203" t="s">
        <v>17</v>
      </c>
      <c r="C203" t="s">
        <v>16</v>
      </c>
      <c r="D203">
        <v>2013</v>
      </c>
      <c r="E203">
        <v>14.958</v>
      </c>
      <c r="F203">
        <v>0.92649999999999999</v>
      </c>
      <c r="G203">
        <v>654</v>
      </c>
      <c r="H203">
        <v>25.9</v>
      </c>
      <c r="I203">
        <v>90.3</v>
      </c>
      <c r="J203">
        <v>3.9</v>
      </c>
      <c r="K203">
        <v>44.9</v>
      </c>
      <c r="L203">
        <v>0.7</v>
      </c>
      <c r="M203">
        <v>1.5</v>
      </c>
      <c r="N203">
        <v>21567</v>
      </c>
      <c r="O203">
        <v>4</v>
      </c>
      <c r="P203">
        <v>1.29</v>
      </c>
      <c r="Q203">
        <v>5270.71</v>
      </c>
      <c r="R203">
        <v>29.7</v>
      </c>
      <c r="S203">
        <v>0.28109699999999999</v>
      </c>
      <c r="T203">
        <v>-0.4038813</v>
      </c>
      <c r="U203">
        <v>-0.76733620000000002</v>
      </c>
      <c r="V203">
        <v>1.1238889999999999</v>
      </c>
      <c r="W203">
        <v>-0.55814770000000002</v>
      </c>
      <c r="X203">
        <v>1.007466</v>
      </c>
      <c r="Y203">
        <v>-0.69708170000000003</v>
      </c>
      <c r="Z203">
        <v>-0.61728110000000003</v>
      </c>
      <c r="AA203">
        <v>8.3346600000000007E-2</v>
      </c>
      <c r="AB203">
        <v>-0.32115470000000002</v>
      </c>
      <c r="AC203">
        <v>-0.60495569999999999</v>
      </c>
      <c r="AD203">
        <v>1.7527649999999999</v>
      </c>
      <c r="AE203">
        <v>-0.79748920000000001</v>
      </c>
      <c r="AF203">
        <v>-0.44691259999999999</v>
      </c>
      <c r="AG203">
        <v>-0.42549340000000002</v>
      </c>
      <c r="AH203">
        <v>-1.11551</v>
      </c>
      <c r="AI203">
        <v>2.7052459999999998</v>
      </c>
      <c r="AJ203">
        <v>-7.6341199999999998E-2</v>
      </c>
      <c r="AK203">
        <v>6.4831079999999996</v>
      </c>
      <c r="AL203">
        <v>4.5031379999999999</v>
      </c>
      <c r="AM203">
        <v>1.3609770000000001</v>
      </c>
      <c r="AN203">
        <v>3.8044380000000002</v>
      </c>
      <c r="AO203">
        <v>9.9789200000000005</v>
      </c>
      <c r="AP203">
        <v>0.25464219999999999</v>
      </c>
      <c r="AQ203">
        <v>8.5699199999999998</v>
      </c>
      <c r="AR203">
        <v>3.4764200000000001</v>
      </c>
      <c r="AS203">
        <v>3.67883</v>
      </c>
      <c r="AT203">
        <v>9.4216899999999999</v>
      </c>
      <c r="AU203">
        <v>67.924999999999997</v>
      </c>
      <c r="AV203">
        <v>129.67699999999999</v>
      </c>
      <c r="AW203">
        <v>3.3935200000000001</v>
      </c>
      <c r="AX203" s="17">
        <v>990000000</v>
      </c>
      <c r="AY203">
        <v>3.1135100000000002</v>
      </c>
      <c r="AZ203">
        <v>0.26</v>
      </c>
      <c r="BA203">
        <v>1.3862939999999999</v>
      </c>
      <c r="BB203">
        <v>1.3862943999999999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0.68813500000000005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3.3414999999999999E-3</v>
      </c>
      <c r="CG203">
        <v>0.45380579999999998</v>
      </c>
      <c r="CH203">
        <v>0.147147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-1.0279339999999999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0.2059397</v>
      </c>
      <c r="DI203">
        <v>1.0566489999999999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0.1179895</v>
      </c>
      <c r="DW203">
        <v>-0.26726290000000003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13.95163</v>
      </c>
      <c r="EW203">
        <v>7.1406700000000004E-2</v>
      </c>
      <c r="EX203">
        <v>7.1516499999999997E-2</v>
      </c>
      <c r="EY203">
        <v>7.12169E-2</v>
      </c>
      <c r="EZ203">
        <v>7.1436399999999997E-2</v>
      </c>
      <c r="FA203">
        <v>7.12922E-2</v>
      </c>
      <c r="FB203">
        <v>7.1526999999999993E-2</v>
      </c>
      <c r="FC203">
        <v>7.1669499999999997E-2</v>
      </c>
      <c r="FD203">
        <v>7.1338600000000002E-2</v>
      </c>
      <c r="FE203">
        <v>7.1415400000000004E-2</v>
      </c>
      <c r="FF203">
        <v>7.1616200000000005E-2</v>
      </c>
      <c r="FG203">
        <v>7.1512599999999996E-2</v>
      </c>
      <c r="FH203">
        <v>7.1129800000000007E-2</v>
      </c>
      <c r="FI203">
        <v>7.1497599999999994E-2</v>
      </c>
      <c r="FJ203">
        <v>7.1424399999999999E-2</v>
      </c>
      <c r="FK203">
        <v>0.28063589999999999</v>
      </c>
      <c r="FL203">
        <v>7.8756499999999993E-2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-0.4038813</v>
      </c>
      <c r="FZ203">
        <v>-0.76733620000000002</v>
      </c>
      <c r="GA203">
        <v>1.1238889999999999</v>
      </c>
      <c r="GB203">
        <v>1.007466</v>
      </c>
      <c r="GC203">
        <v>-0.61728110000000003</v>
      </c>
      <c r="GD203">
        <v>-0.60495569999999999</v>
      </c>
      <c r="GE203">
        <v>-0.42549340000000002</v>
      </c>
      <c r="GF203">
        <v>1.7527649999999999</v>
      </c>
      <c r="GG203">
        <v>-0.79748920000000001</v>
      </c>
      <c r="GH203">
        <v>-1.492059</v>
      </c>
      <c r="GI203">
        <v>2.2262409999999999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7.2965299999999997E-2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-0.38793549999999999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1</v>
      </c>
      <c r="JT203">
        <v>1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1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1</v>
      </c>
      <c r="LS203">
        <v>1</v>
      </c>
      <c r="LT203">
        <v>1</v>
      </c>
      <c r="LU203">
        <v>1</v>
      </c>
      <c r="LV203">
        <v>1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1</v>
      </c>
      <c r="MJ203">
        <v>1</v>
      </c>
      <c r="MK203">
        <v>1</v>
      </c>
      <c r="ML203">
        <v>1</v>
      </c>
      <c r="MM203">
        <v>1</v>
      </c>
      <c r="MN203">
        <v>1</v>
      </c>
      <c r="MO203">
        <v>1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  <c r="MX203">
        <v>1</v>
      </c>
      <c r="MY203">
        <v>1</v>
      </c>
      <c r="MZ203">
        <v>1</v>
      </c>
      <c r="NA203">
        <v>1</v>
      </c>
      <c r="NB203">
        <v>1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  <c r="NN203">
        <v>1</v>
      </c>
      <c r="NO203">
        <v>1</v>
      </c>
      <c r="NP203">
        <v>88.768330000000006</v>
      </c>
      <c r="NQ203">
        <v>1</v>
      </c>
      <c r="NR203">
        <v>1</v>
      </c>
      <c r="NS203">
        <v>1</v>
      </c>
      <c r="NT203">
        <v>1</v>
      </c>
      <c r="NU203">
        <v>1</v>
      </c>
      <c r="NV203">
        <v>1</v>
      </c>
      <c r="NW203">
        <v>1</v>
      </c>
      <c r="NX203">
        <v>1</v>
      </c>
      <c r="NY203">
        <v>1</v>
      </c>
      <c r="NZ203">
        <v>1</v>
      </c>
      <c r="OA203">
        <v>1</v>
      </c>
      <c r="OB203">
        <v>1</v>
      </c>
      <c r="OC203">
        <v>22.5</v>
      </c>
      <c r="OD203">
        <v>12353.5</v>
      </c>
      <c r="OE203">
        <v>1.99</v>
      </c>
      <c r="OF203">
        <v>32.343600000000002</v>
      </c>
      <c r="OG203">
        <v>39.6</v>
      </c>
      <c r="OH203">
        <v>67.924999999999997</v>
      </c>
    </row>
    <row r="204" spans="1:398">
      <c r="A204">
        <v>19</v>
      </c>
      <c r="B204" t="s">
        <v>17</v>
      </c>
      <c r="C204" t="s">
        <v>16</v>
      </c>
      <c r="D204">
        <v>2014</v>
      </c>
      <c r="E204">
        <v>14.996</v>
      </c>
      <c r="F204">
        <v>0.98809999999999998</v>
      </c>
      <c r="G204">
        <v>646</v>
      </c>
      <c r="H204">
        <v>27</v>
      </c>
      <c r="I204">
        <v>90.3</v>
      </c>
      <c r="J204">
        <v>5.3</v>
      </c>
      <c r="K204">
        <v>7.7</v>
      </c>
      <c r="L204">
        <v>0.8</v>
      </c>
      <c r="M204">
        <v>1.5</v>
      </c>
      <c r="N204">
        <v>22835</v>
      </c>
      <c r="O204">
        <v>0.08</v>
      </c>
      <c r="P204">
        <v>1.3</v>
      </c>
      <c r="Q204">
        <v>5254.85</v>
      </c>
      <c r="R204">
        <v>31.1</v>
      </c>
      <c r="S204">
        <v>0.28912100000000002</v>
      </c>
      <c r="T204">
        <v>-0.39926450000000002</v>
      </c>
      <c r="U204">
        <v>-0.7082157</v>
      </c>
      <c r="V204">
        <v>1.06315</v>
      </c>
      <c r="W204">
        <v>-0.48733749999999998</v>
      </c>
      <c r="X204">
        <v>1.007466</v>
      </c>
      <c r="Y204">
        <v>-0.4728984</v>
      </c>
      <c r="Z204">
        <v>-0.62213540000000001</v>
      </c>
      <c r="AA204">
        <v>0.361481</v>
      </c>
      <c r="AB204">
        <v>-0.32115470000000002</v>
      </c>
      <c r="AC204">
        <v>-0.59822260000000005</v>
      </c>
      <c r="AD204">
        <v>1.801769</v>
      </c>
      <c r="AE204">
        <v>-0.80271150000000002</v>
      </c>
      <c r="AF204">
        <v>-0.37316329999999998</v>
      </c>
      <c r="AG204">
        <v>-0.62965970000000004</v>
      </c>
      <c r="AH204">
        <v>-0.93747630000000004</v>
      </c>
      <c r="AI204">
        <v>2.7077830000000001</v>
      </c>
      <c r="AJ204">
        <v>-1.19714E-2</v>
      </c>
      <c r="AK204">
        <v>6.4707990000000004</v>
      </c>
      <c r="AL204">
        <v>4.5031379999999999</v>
      </c>
      <c r="AM204">
        <v>1.6677070000000001</v>
      </c>
      <c r="AN204">
        <v>2.04122</v>
      </c>
      <c r="AO204">
        <v>10.036049999999999</v>
      </c>
      <c r="AP204">
        <v>0.26236419999999999</v>
      </c>
      <c r="AQ204">
        <v>8.5669079999999997</v>
      </c>
      <c r="AR204">
        <v>3.4670000000000001</v>
      </c>
      <c r="AS204">
        <v>3.69387</v>
      </c>
      <c r="AT204">
        <v>9.4518500000000003</v>
      </c>
      <c r="AU204">
        <v>67.951999999999998</v>
      </c>
      <c r="AV204">
        <v>130.042</v>
      </c>
      <c r="AW204">
        <v>3.4518</v>
      </c>
      <c r="AX204" s="17">
        <v>1000000000</v>
      </c>
      <c r="AY204">
        <v>3.0680499999999999</v>
      </c>
      <c r="AZ204">
        <v>0.25</v>
      </c>
      <c r="BA204">
        <v>-2.5257290000000001</v>
      </c>
      <c r="BB204">
        <v>-2.5257287000000002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-3.21888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3.4979E-3</v>
      </c>
      <c r="CG204">
        <v>0.44277909999999998</v>
      </c>
      <c r="CH204">
        <v>0.15203900000000001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-1.627189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0.19605339999999999</v>
      </c>
      <c r="DI204">
        <v>2.647745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0.1106948</v>
      </c>
      <c r="DW204">
        <v>-0.40679729999999997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13.95102</v>
      </c>
      <c r="EW204">
        <v>7.1410100000000004E-2</v>
      </c>
      <c r="EX204">
        <v>7.1506899999999998E-2</v>
      </c>
      <c r="EY204">
        <v>7.1229799999999996E-2</v>
      </c>
      <c r="EZ204">
        <v>7.1430300000000002E-2</v>
      </c>
      <c r="FA204">
        <v>7.1297100000000002E-2</v>
      </c>
      <c r="FB204">
        <v>7.1468400000000001E-2</v>
      </c>
      <c r="FC204">
        <v>7.1678000000000006E-2</v>
      </c>
      <c r="FD204">
        <v>7.1298799999999996E-2</v>
      </c>
      <c r="FE204">
        <v>7.1419300000000005E-2</v>
      </c>
      <c r="FF204">
        <v>7.1616100000000002E-2</v>
      </c>
      <c r="FG204">
        <v>7.1597800000000003E-2</v>
      </c>
      <c r="FH204">
        <v>7.1131299999999995E-2</v>
      </c>
      <c r="FI204">
        <v>7.1501999999999996E-2</v>
      </c>
      <c r="FJ204">
        <v>7.14143E-2</v>
      </c>
      <c r="FK204">
        <v>0.28864669999999998</v>
      </c>
      <c r="FL204">
        <v>8.3316899999999999E-2</v>
      </c>
      <c r="FM204">
        <v>1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-0.39926450000000002</v>
      </c>
      <c r="FZ204">
        <v>-0.7082157</v>
      </c>
      <c r="GA204">
        <v>1.06315</v>
      </c>
      <c r="GB204">
        <v>1.007466</v>
      </c>
      <c r="GC204">
        <v>-0.62213540000000001</v>
      </c>
      <c r="GD204">
        <v>-0.59822260000000005</v>
      </c>
      <c r="GE204">
        <v>-0.62965970000000004</v>
      </c>
      <c r="GF204">
        <v>1.801769</v>
      </c>
      <c r="GG204">
        <v>-0.80271150000000002</v>
      </c>
      <c r="GH204">
        <v>-1.270602</v>
      </c>
      <c r="GI204">
        <v>1.6144289999999999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7.2161699999999995E-2</v>
      </c>
      <c r="GW204">
        <v>1</v>
      </c>
      <c r="GX204">
        <v>1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-0.3176504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R204">
        <v>1</v>
      </c>
      <c r="IS204">
        <v>1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1</v>
      </c>
      <c r="JH204">
        <v>1</v>
      </c>
      <c r="JI204">
        <v>1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1</v>
      </c>
      <c r="KH204">
        <v>1</v>
      </c>
      <c r="KI204">
        <v>1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1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1</v>
      </c>
      <c r="LX204">
        <v>1</v>
      </c>
      <c r="LY204">
        <v>1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1</v>
      </c>
      <c r="MG204">
        <v>1</v>
      </c>
      <c r="MH204">
        <v>1</v>
      </c>
      <c r="MI204">
        <v>1</v>
      </c>
      <c r="MJ204">
        <v>1</v>
      </c>
      <c r="MK204">
        <v>1</v>
      </c>
      <c r="ML204">
        <v>1</v>
      </c>
      <c r="MM204">
        <v>1</v>
      </c>
      <c r="MN204">
        <v>1</v>
      </c>
      <c r="MO204">
        <v>1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1</v>
      </c>
      <c r="NB204">
        <v>1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1</v>
      </c>
      <c r="NI204">
        <v>1</v>
      </c>
      <c r="NJ204">
        <v>1</v>
      </c>
      <c r="NK204">
        <v>1</v>
      </c>
      <c r="NL204">
        <v>1</v>
      </c>
      <c r="NM204">
        <v>1</v>
      </c>
      <c r="NN204">
        <v>1</v>
      </c>
      <c r="NO204">
        <v>1</v>
      </c>
      <c r="NP204">
        <v>89.337469999999996</v>
      </c>
      <c r="NQ204">
        <v>1</v>
      </c>
      <c r="NR204">
        <v>1</v>
      </c>
      <c r="NS204">
        <v>1</v>
      </c>
      <c r="NT204">
        <v>1</v>
      </c>
      <c r="NU204">
        <v>1</v>
      </c>
      <c r="NV204">
        <v>1</v>
      </c>
      <c r="NW204">
        <v>1</v>
      </c>
      <c r="NX204">
        <v>1</v>
      </c>
      <c r="NY204">
        <v>1</v>
      </c>
      <c r="NZ204">
        <v>1</v>
      </c>
      <c r="OA204">
        <v>1</v>
      </c>
      <c r="OB204">
        <v>1</v>
      </c>
      <c r="OC204">
        <v>21.5</v>
      </c>
      <c r="OD204">
        <v>12731.7</v>
      </c>
      <c r="OE204">
        <v>0.04</v>
      </c>
      <c r="OF204">
        <v>32.040500000000002</v>
      </c>
      <c r="OG204">
        <v>40.200000000000003</v>
      </c>
      <c r="OH204">
        <v>67.951999999999998</v>
      </c>
    </row>
    <row r="205" spans="1:398">
      <c r="A205">
        <v>19</v>
      </c>
      <c r="B205" t="s">
        <v>17</v>
      </c>
      <c r="C205" t="s">
        <v>16</v>
      </c>
      <c r="D205">
        <v>2015</v>
      </c>
      <c r="E205">
        <v>16.131</v>
      </c>
      <c r="F205">
        <v>0.95979999999999999</v>
      </c>
      <c r="G205">
        <v>653</v>
      </c>
      <c r="H205">
        <v>28.7</v>
      </c>
      <c r="I205">
        <v>82.2</v>
      </c>
      <c r="J205">
        <v>5.3</v>
      </c>
      <c r="K205">
        <v>0.7</v>
      </c>
      <c r="L205">
        <v>0.7</v>
      </c>
      <c r="M205">
        <v>1.5</v>
      </c>
      <c r="N205">
        <v>23214</v>
      </c>
      <c r="O205">
        <v>2.2999999999999998</v>
      </c>
      <c r="P205">
        <v>1.33</v>
      </c>
      <c r="Q205">
        <v>5380.85</v>
      </c>
      <c r="R205">
        <v>31.4</v>
      </c>
      <c r="S205">
        <v>0.28593299999999999</v>
      </c>
      <c r="T205">
        <v>-0.2613683</v>
      </c>
      <c r="U205">
        <v>-0.73537660000000005</v>
      </c>
      <c r="V205">
        <v>1.1162970000000001</v>
      </c>
      <c r="W205">
        <v>-0.3779035</v>
      </c>
      <c r="X205">
        <v>-0.11762069999999999</v>
      </c>
      <c r="Y205">
        <v>-0.4728984</v>
      </c>
      <c r="Z205">
        <v>-0.62304879999999996</v>
      </c>
      <c r="AA205">
        <v>8.3346600000000007E-2</v>
      </c>
      <c r="AB205">
        <v>-0.32115470000000002</v>
      </c>
      <c r="AC205">
        <v>-0.59621009999999997</v>
      </c>
      <c r="AD205">
        <v>1.948782</v>
      </c>
      <c r="AE205">
        <v>-0.76120100000000002</v>
      </c>
      <c r="AF205">
        <v>-0.35735990000000001</v>
      </c>
      <c r="AG205">
        <v>-0.51403489999999996</v>
      </c>
      <c r="AH205">
        <v>-0.80017229999999995</v>
      </c>
      <c r="AI205">
        <v>2.7807430000000002</v>
      </c>
      <c r="AJ205">
        <v>-4.1030299999999999E-2</v>
      </c>
      <c r="AK205">
        <v>6.4815769999999997</v>
      </c>
      <c r="AL205">
        <v>4.4091550000000002</v>
      </c>
      <c r="AM205">
        <v>1.6677070000000001</v>
      </c>
      <c r="AN205">
        <v>-0.35667500000000002</v>
      </c>
      <c r="AO205">
        <v>10.05251</v>
      </c>
      <c r="AP205">
        <v>0.28517900000000002</v>
      </c>
      <c r="AQ205">
        <v>8.5906020000000005</v>
      </c>
      <c r="AR205">
        <v>3.4588100000000002</v>
      </c>
      <c r="AS205">
        <v>3.6402100000000002</v>
      </c>
      <c r="AT205">
        <v>9.4971700000000006</v>
      </c>
      <c r="AU205">
        <v>67.98</v>
      </c>
      <c r="AV205">
        <v>126.38</v>
      </c>
      <c r="AW205">
        <v>3.0854300000000001</v>
      </c>
      <c r="AX205" s="17">
        <v>810000000</v>
      </c>
      <c r="AY205">
        <v>3.1000899999999998</v>
      </c>
      <c r="AZ205">
        <v>0.24</v>
      </c>
      <c r="BA205">
        <v>0.83290909999999996</v>
      </c>
      <c r="BB205">
        <v>0.83290911000000001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0.14842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3.7434999999999999E-3</v>
      </c>
      <c r="CG205">
        <v>0.43696550000000001</v>
      </c>
      <c r="CH205">
        <v>0.154503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-1.30399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0.19093889999999999</v>
      </c>
      <c r="DI205">
        <v>1.7003900000000001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0.1048717</v>
      </c>
      <c r="DW205">
        <v>-0.3129576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13.95126</v>
      </c>
      <c r="EW205">
        <v>7.1393200000000004E-2</v>
      </c>
      <c r="EX205">
        <v>7.1511900000000003E-2</v>
      </c>
      <c r="EY205">
        <v>7.1224899999999994E-2</v>
      </c>
      <c r="EZ205">
        <v>7.1414800000000001E-2</v>
      </c>
      <c r="FA205">
        <v>7.1362200000000001E-2</v>
      </c>
      <c r="FB205">
        <v>7.1467600000000006E-2</v>
      </c>
      <c r="FC205">
        <v>7.1678000000000006E-2</v>
      </c>
      <c r="FD205">
        <v>7.1343500000000004E-2</v>
      </c>
      <c r="FE205">
        <v>7.1418899999999993E-2</v>
      </c>
      <c r="FF205">
        <v>7.1613899999999994E-2</v>
      </c>
      <c r="FG205">
        <v>7.1548899999999999E-2</v>
      </c>
      <c r="FH205">
        <v>7.1117299999999994E-2</v>
      </c>
      <c r="FI205">
        <v>7.1494100000000005E-2</v>
      </c>
      <c r="FJ205">
        <v>7.1410899999999999E-2</v>
      </c>
      <c r="FK205">
        <v>0.28548180000000001</v>
      </c>
      <c r="FL205">
        <v>8.14999E-2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-0.2613683</v>
      </c>
      <c r="FZ205">
        <v>-0.73537660000000005</v>
      </c>
      <c r="GA205">
        <v>1.1162970000000001</v>
      </c>
      <c r="GB205">
        <v>-0.11762069999999999</v>
      </c>
      <c r="GC205">
        <v>-0.62304879999999996</v>
      </c>
      <c r="GD205">
        <v>-0.59621009999999997</v>
      </c>
      <c r="GE205">
        <v>-0.51403489999999996</v>
      </c>
      <c r="GF205">
        <v>1.948782</v>
      </c>
      <c r="GG205">
        <v>-0.76120100000000002</v>
      </c>
      <c r="GH205">
        <v>-1.062799</v>
      </c>
      <c r="GI205">
        <v>1.129542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6.8515599999999996E-2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-0.25507180000000002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R205">
        <v>1</v>
      </c>
      <c r="IS205">
        <v>1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1</v>
      </c>
      <c r="MJ205">
        <v>1</v>
      </c>
      <c r="MK205">
        <v>1</v>
      </c>
      <c r="ML205">
        <v>1</v>
      </c>
      <c r="MM205">
        <v>1</v>
      </c>
      <c r="MN205">
        <v>1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1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1</v>
      </c>
      <c r="NJ205">
        <v>1</v>
      </c>
      <c r="NK205">
        <v>1</v>
      </c>
      <c r="NL205">
        <v>1</v>
      </c>
      <c r="NM205">
        <v>1</v>
      </c>
      <c r="NN205">
        <v>1</v>
      </c>
      <c r="NO205">
        <v>1</v>
      </c>
      <c r="NP205">
        <v>90.196280000000002</v>
      </c>
      <c r="NQ205">
        <v>1</v>
      </c>
      <c r="NR205">
        <v>1</v>
      </c>
      <c r="NS205">
        <v>1</v>
      </c>
      <c r="NT205">
        <v>1</v>
      </c>
      <c r="NU205">
        <v>1</v>
      </c>
      <c r="NV205">
        <v>1</v>
      </c>
      <c r="NW205">
        <v>1</v>
      </c>
      <c r="NX205">
        <v>1</v>
      </c>
      <c r="NY205">
        <v>1</v>
      </c>
      <c r="NZ205">
        <v>1</v>
      </c>
      <c r="OA205">
        <v>1</v>
      </c>
      <c r="OB205">
        <v>1</v>
      </c>
      <c r="OC205">
        <v>22.2</v>
      </c>
      <c r="OD205">
        <v>13322</v>
      </c>
      <c r="OE205">
        <v>1.1599999999999999</v>
      </c>
      <c r="OF205">
        <v>31.779199999999999</v>
      </c>
      <c r="OG205">
        <v>38.1</v>
      </c>
      <c r="OH205">
        <v>67.98</v>
      </c>
    </row>
    <row r="206" spans="1:398">
      <c r="A206">
        <v>19</v>
      </c>
      <c r="B206" t="s">
        <v>17</v>
      </c>
      <c r="C206" t="s">
        <v>16</v>
      </c>
      <c r="D206">
        <v>2016</v>
      </c>
      <c r="E206">
        <v>14.500999999999999</v>
      </c>
      <c r="F206">
        <v>1.0949</v>
      </c>
      <c r="G206">
        <v>678</v>
      </c>
      <c r="H206">
        <v>25.2</v>
      </c>
      <c r="I206">
        <v>88.5</v>
      </c>
      <c r="J206">
        <v>6.6</v>
      </c>
      <c r="K206">
        <v>75.3</v>
      </c>
      <c r="L206">
        <v>0.5</v>
      </c>
      <c r="M206">
        <v>1.5</v>
      </c>
      <c r="N206">
        <v>23624</v>
      </c>
      <c r="O206">
        <v>1</v>
      </c>
      <c r="P206">
        <v>1.3</v>
      </c>
      <c r="Q206">
        <v>5656.76</v>
      </c>
      <c r="R206">
        <v>32</v>
      </c>
      <c r="S206">
        <v>0.286663</v>
      </c>
      <c r="T206">
        <v>-0.45940419999999998</v>
      </c>
      <c r="U206">
        <v>-0.60571439999999999</v>
      </c>
      <c r="V206">
        <v>1.306109</v>
      </c>
      <c r="W206">
        <v>-0.60320859999999998</v>
      </c>
      <c r="X206">
        <v>0.75744650000000002</v>
      </c>
      <c r="Y206">
        <v>-0.26472820000000002</v>
      </c>
      <c r="Z206">
        <v>-0.61331420000000003</v>
      </c>
      <c r="AA206">
        <v>-0.47292210000000001</v>
      </c>
      <c r="AB206">
        <v>-0.32115470000000002</v>
      </c>
      <c r="AC206">
        <v>-0.59403309999999998</v>
      </c>
      <c r="AD206">
        <v>1.801769</v>
      </c>
      <c r="AE206">
        <v>-0.67029859999999997</v>
      </c>
      <c r="AF206">
        <v>-0.32575300000000001</v>
      </c>
      <c r="AG206">
        <v>-0.58174320000000002</v>
      </c>
      <c r="AH206">
        <v>-0.94841200000000003</v>
      </c>
      <c r="AI206">
        <v>2.6742180000000002</v>
      </c>
      <c r="AJ206">
        <v>9.0662999999999994E-2</v>
      </c>
      <c r="AK206">
        <v>6.5191470000000002</v>
      </c>
      <c r="AL206">
        <v>4.4830030000000001</v>
      </c>
      <c r="AM206">
        <v>1.88707</v>
      </c>
      <c r="AN206">
        <v>4.3214800000000002</v>
      </c>
      <c r="AO206">
        <v>10.07002</v>
      </c>
      <c r="AP206">
        <v>0.26236419999999999</v>
      </c>
      <c r="AQ206">
        <v>8.6406069999999993</v>
      </c>
      <c r="AR206">
        <v>3.4496699999999998</v>
      </c>
      <c r="AS206">
        <v>3.6506599999999998</v>
      </c>
      <c r="AT206">
        <v>9.5314999999999994</v>
      </c>
      <c r="AU206">
        <v>68.021000000000001</v>
      </c>
      <c r="AV206">
        <v>123.331</v>
      </c>
      <c r="AW206">
        <v>1.2369399999999999</v>
      </c>
      <c r="AX206" s="17">
        <v>340000000</v>
      </c>
      <c r="AY206">
        <v>3.0633900000000001</v>
      </c>
      <c r="AZ206">
        <v>0.25</v>
      </c>
      <c r="BA206">
        <v>0</v>
      </c>
      <c r="BB206">
        <v>0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-0.67334499999999997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3.2006000000000001E-3</v>
      </c>
      <c r="CG206">
        <v>0.46118749999999997</v>
      </c>
      <c r="CH206">
        <v>0.154583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-0.95843080000000003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0.21269389999999999</v>
      </c>
      <c r="DI206">
        <v>0.91858969999999995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0.11529689999999999</v>
      </c>
      <c r="DW206">
        <v>-0.23960770000000001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13.951549999999999</v>
      </c>
      <c r="EW206">
        <v>7.1416300000000002E-2</v>
      </c>
      <c r="EX206">
        <v>7.1482900000000002E-2</v>
      </c>
      <c r="EY206">
        <v>7.1204299999999998E-2</v>
      </c>
      <c r="EZ206">
        <v>7.14452E-2</v>
      </c>
      <c r="FA206">
        <v>7.1311600000000003E-2</v>
      </c>
      <c r="FB206">
        <v>7.1413199999999996E-2</v>
      </c>
      <c r="FC206">
        <v>7.1665900000000005E-2</v>
      </c>
      <c r="FD206">
        <v>7.1437100000000003E-2</v>
      </c>
      <c r="FE206">
        <v>7.1418200000000001E-2</v>
      </c>
      <c r="FF206">
        <v>7.1611400000000006E-2</v>
      </c>
      <c r="FG206">
        <v>7.1574899999999997E-2</v>
      </c>
      <c r="FH206">
        <v>7.1136599999999994E-2</v>
      </c>
      <c r="FI206">
        <v>7.1478E-2</v>
      </c>
      <c r="FJ206">
        <v>7.1404400000000007E-2</v>
      </c>
      <c r="FK206">
        <v>0.28621279999999999</v>
      </c>
      <c r="FL206">
        <v>8.1917799999999999E-2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-0.45940419999999998</v>
      </c>
      <c r="FZ206">
        <v>-0.60571439999999999</v>
      </c>
      <c r="GA206">
        <v>1.306109</v>
      </c>
      <c r="GB206">
        <v>0.75744650000000002</v>
      </c>
      <c r="GC206">
        <v>-0.61331420000000003</v>
      </c>
      <c r="GD206">
        <v>-0.59403309999999998</v>
      </c>
      <c r="GE206">
        <v>-0.58174320000000002</v>
      </c>
      <c r="GF206">
        <v>1.801769</v>
      </c>
      <c r="GG206">
        <v>-0.67029859999999997</v>
      </c>
      <c r="GH206">
        <v>-1.2836590000000001</v>
      </c>
      <c r="GI206">
        <v>1.6477809999999999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7.1553199999999997E-2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-0.3209148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1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1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  <c r="MX206">
        <v>1</v>
      </c>
      <c r="MY206">
        <v>1</v>
      </c>
      <c r="MZ206">
        <v>1</v>
      </c>
      <c r="NA206">
        <v>1</v>
      </c>
      <c r="NB206">
        <v>1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  <c r="NN206">
        <v>1</v>
      </c>
      <c r="NO206">
        <v>1</v>
      </c>
      <c r="NP206">
        <v>90.849540000000005</v>
      </c>
      <c r="NQ206">
        <v>1</v>
      </c>
      <c r="NR206">
        <v>1</v>
      </c>
      <c r="NS206">
        <v>1</v>
      </c>
      <c r="NT206">
        <v>1</v>
      </c>
      <c r="NU206">
        <v>1</v>
      </c>
      <c r="NV206">
        <v>1</v>
      </c>
      <c r="NW206">
        <v>1</v>
      </c>
      <c r="NX206">
        <v>1</v>
      </c>
      <c r="NY206">
        <v>1</v>
      </c>
      <c r="NZ206">
        <v>1</v>
      </c>
      <c r="OA206">
        <v>1</v>
      </c>
      <c r="OB206">
        <v>1</v>
      </c>
      <c r="OC206">
        <v>21.4</v>
      </c>
      <c r="OD206">
        <v>13787.3</v>
      </c>
      <c r="OE206">
        <v>0.51</v>
      </c>
      <c r="OF206">
        <v>31.490100000000002</v>
      </c>
      <c r="OG206">
        <v>38.5</v>
      </c>
      <c r="OH206">
        <v>68.021000000000001</v>
      </c>
    </row>
    <row r="207" spans="1:398">
      <c r="A207">
        <v>19</v>
      </c>
      <c r="B207" t="s">
        <v>17</v>
      </c>
      <c r="C207" t="s">
        <v>16</v>
      </c>
      <c r="D207">
        <v>2017</v>
      </c>
      <c r="E207">
        <v>16.427</v>
      </c>
      <c r="F207">
        <v>1.0106999999999999</v>
      </c>
      <c r="G207">
        <v>679</v>
      </c>
      <c r="H207">
        <v>24.8</v>
      </c>
      <c r="I207">
        <v>80.8</v>
      </c>
      <c r="J207">
        <v>5.5</v>
      </c>
      <c r="K207">
        <v>49</v>
      </c>
      <c r="L207">
        <v>0.7</v>
      </c>
      <c r="M207">
        <v>1.5</v>
      </c>
      <c r="N207">
        <v>23397</v>
      </c>
      <c r="O207">
        <v>1</v>
      </c>
      <c r="P207">
        <v>1.32</v>
      </c>
      <c r="Q207">
        <v>5777.38</v>
      </c>
      <c r="R207">
        <v>30.5</v>
      </c>
      <c r="S207">
        <v>0.284968</v>
      </c>
      <c r="T207">
        <v>-0.225406</v>
      </c>
      <c r="U207">
        <v>-0.6865253</v>
      </c>
      <c r="V207">
        <v>1.313701</v>
      </c>
      <c r="W207">
        <v>-0.62895789999999996</v>
      </c>
      <c r="X207">
        <v>-0.3120791</v>
      </c>
      <c r="Y207">
        <v>-0.44087229999999999</v>
      </c>
      <c r="Z207">
        <v>-0.61674609999999996</v>
      </c>
      <c r="AA207">
        <v>8.3346600000000007E-2</v>
      </c>
      <c r="AB207">
        <v>-0.32115470000000002</v>
      </c>
      <c r="AC207">
        <v>-0.59523839999999995</v>
      </c>
      <c r="AD207">
        <v>1.899778</v>
      </c>
      <c r="AE207">
        <v>-0.63056000000000001</v>
      </c>
      <c r="AF207">
        <v>-0.40477020000000002</v>
      </c>
      <c r="AG207">
        <v>-0.58174320000000002</v>
      </c>
      <c r="AH207">
        <v>-0.85301859999999996</v>
      </c>
      <c r="AI207">
        <v>2.7989259999999998</v>
      </c>
      <c r="AJ207">
        <v>1.0643100000000001E-2</v>
      </c>
      <c r="AK207">
        <v>6.5206210000000002</v>
      </c>
      <c r="AL207">
        <v>4.3919769999999998</v>
      </c>
      <c r="AM207">
        <v>1.7047479999999999</v>
      </c>
      <c r="AN207">
        <v>3.8918200000000001</v>
      </c>
      <c r="AO207">
        <v>10.060359999999999</v>
      </c>
      <c r="AP207">
        <v>0.27763179999999998</v>
      </c>
      <c r="AQ207">
        <v>8.6617060000000006</v>
      </c>
      <c r="AR207">
        <v>3.4408099999999999</v>
      </c>
      <c r="AS207">
        <v>3.7518500000000001</v>
      </c>
      <c r="AT207">
        <v>9.5738000000000003</v>
      </c>
      <c r="AU207">
        <v>68.075000000000003</v>
      </c>
      <c r="AV207">
        <v>128.714</v>
      </c>
      <c r="AW207">
        <v>4.0488</v>
      </c>
      <c r="AX207" s="17">
        <v>1200000000</v>
      </c>
      <c r="AY207">
        <v>3.08649</v>
      </c>
      <c r="AZ207">
        <v>0.25</v>
      </c>
      <c r="BA207">
        <v>0</v>
      </c>
      <c r="BB207">
        <v>0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-0.67334499999999997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3.1300999999999998E-3</v>
      </c>
      <c r="CG207">
        <v>0.45843509999999998</v>
      </c>
      <c r="CH207">
        <v>0.15443200000000001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-0.95930490000000002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0.21016280000000001</v>
      </c>
      <c r="DI207">
        <v>0.92026589999999997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0.1146088</v>
      </c>
      <c r="DW207">
        <v>-0.23982619999999999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13.951829999999999</v>
      </c>
      <c r="EW207">
        <v>7.1387900000000004E-2</v>
      </c>
      <c r="EX207">
        <v>7.1499099999999996E-2</v>
      </c>
      <c r="EY207">
        <v>7.1204900000000002E-2</v>
      </c>
      <c r="EZ207">
        <v>7.1447899999999995E-2</v>
      </c>
      <c r="FA207">
        <v>7.1373300000000001E-2</v>
      </c>
      <c r="FB207">
        <v>7.1457400000000004E-2</v>
      </c>
      <c r="FC207">
        <v>7.1667900000000007E-2</v>
      </c>
      <c r="FD207">
        <v>7.1342799999999998E-2</v>
      </c>
      <c r="FE207">
        <v>7.1417499999999995E-2</v>
      </c>
      <c r="FF207">
        <v>7.1610599999999996E-2</v>
      </c>
      <c r="FG207">
        <v>7.1573600000000001E-2</v>
      </c>
      <c r="FH207">
        <v>7.1127999999999997E-2</v>
      </c>
      <c r="FI207">
        <v>7.1470500000000006E-2</v>
      </c>
      <c r="FJ207">
        <v>7.1418499999999996E-2</v>
      </c>
      <c r="FK207">
        <v>0.28451769999999998</v>
      </c>
      <c r="FL207">
        <v>8.0950300000000003E-2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-0.225406</v>
      </c>
      <c r="FZ207">
        <v>-0.6865253</v>
      </c>
      <c r="GA207">
        <v>1.313701</v>
      </c>
      <c r="GB207">
        <v>-0.3120791</v>
      </c>
      <c r="GC207">
        <v>-0.61674609999999996</v>
      </c>
      <c r="GD207">
        <v>-0.59523839999999995</v>
      </c>
      <c r="GE207">
        <v>-0.58174320000000002</v>
      </c>
      <c r="GF207">
        <v>1.899778</v>
      </c>
      <c r="GG207">
        <v>-0.63056000000000001</v>
      </c>
      <c r="GH207">
        <v>-1.128126</v>
      </c>
      <c r="GI207">
        <v>1.2726679999999999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7.1129399999999995E-2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-0.28203139999999999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1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1</v>
      </c>
      <c r="MG207">
        <v>1</v>
      </c>
      <c r="MH207">
        <v>1</v>
      </c>
      <c r="MI207">
        <v>1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1</v>
      </c>
      <c r="MP207">
        <v>1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  <c r="NN207">
        <v>1</v>
      </c>
      <c r="NO207">
        <v>1</v>
      </c>
      <c r="NP207">
        <v>91.657550000000001</v>
      </c>
      <c r="NQ207">
        <v>1</v>
      </c>
      <c r="NR207">
        <v>1</v>
      </c>
      <c r="NS207">
        <v>1</v>
      </c>
      <c r="NT207">
        <v>1</v>
      </c>
      <c r="NU207">
        <v>1</v>
      </c>
      <c r="NV207">
        <v>1</v>
      </c>
      <c r="NW207">
        <v>1</v>
      </c>
      <c r="NX207">
        <v>1</v>
      </c>
      <c r="NY207">
        <v>1</v>
      </c>
      <c r="NZ207">
        <v>1</v>
      </c>
      <c r="OA207">
        <v>1</v>
      </c>
      <c r="OB207">
        <v>1</v>
      </c>
      <c r="OC207">
        <v>21.9</v>
      </c>
      <c r="OD207">
        <v>14382.9</v>
      </c>
      <c r="OE207">
        <v>0.51</v>
      </c>
      <c r="OF207">
        <v>31.212299999999999</v>
      </c>
      <c r="OG207">
        <v>42.6</v>
      </c>
      <c r="OH207">
        <v>68.075000000000003</v>
      </c>
    </row>
    <row r="208" spans="1:398">
      <c r="A208">
        <v>19</v>
      </c>
      <c r="B208" t="s">
        <v>17</v>
      </c>
      <c r="C208" t="s">
        <v>16</v>
      </c>
      <c r="D208">
        <v>2018</v>
      </c>
      <c r="E208">
        <v>17.047999999999998</v>
      </c>
      <c r="F208">
        <v>0.9647</v>
      </c>
      <c r="G208">
        <v>672</v>
      </c>
      <c r="H208">
        <v>25.2</v>
      </c>
      <c r="I208">
        <v>81.400000000000006</v>
      </c>
      <c r="J208">
        <v>4.7</v>
      </c>
      <c r="K208">
        <v>38.6</v>
      </c>
      <c r="L208">
        <v>0.8</v>
      </c>
      <c r="M208">
        <v>1.8</v>
      </c>
      <c r="N208">
        <v>22420</v>
      </c>
      <c r="O208">
        <v>0.83333299999999999</v>
      </c>
      <c r="P208">
        <v>1.31</v>
      </c>
      <c r="Q208">
        <v>4970.01</v>
      </c>
      <c r="R208">
        <v>32.9</v>
      </c>
      <c r="S208">
        <v>0.28724100000000002</v>
      </c>
      <c r="T208">
        <v>-0.14995800000000001</v>
      </c>
      <c r="U208">
        <v>-0.73067380000000004</v>
      </c>
      <c r="V208">
        <v>1.260554</v>
      </c>
      <c r="W208">
        <v>-0.60320859999999998</v>
      </c>
      <c r="X208">
        <v>-0.22873959999999999</v>
      </c>
      <c r="Y208">
        <v>-0.56897710000000001</v>
      </c>
      <c r="Z208">
        <v>-0.61810319999999996</v>
      </c>
      <c r="AA208">
        <v>0.361481</v>
      </c>
      <c r="AB208">
        <v>7.46251E-2</v>
      </c>
      <c r="AC208">
        <v>-0.60042629999999997</v>
      </c>
      <c r="AD208">
        <v>1.850773</v>
      </c>
      <c r="AE208">
        <v>-0.89655640000000003</v>
      </c>
      <c r="AF208">
        <v>-0.2783426</v>
      </c>
      <c r="AG208">
        <v>-0.5904237</v>
      </c>
      <c r="AH208">
        <v>-0.86767050000000001</v>
      </c>
      <c r="AI208">
        <v>2.836033</v>
      </c>
      <c r="AJ208">
        <v>-3.5938100000000001E-2</v>
      </c>
      <c r="AK208">
        <v>6.5102580000000003</v>
      </c>
      <c r="AL208">
        <v>4.399375</v>
      </c>
      <c r="AM208">
        <v>1.5475620000000001</v>
      </c>
      <c r="AN208">
        <v>3.6532520000000002</v>
      </c>
      <c r="AO208">
        <v>10.017709999999999</v>
      </c>
      <c r="AP208">
        <v>0.27002710000000002</v>
      </c>
      <c r="AQ208">
        <v>8.511177</v>
      </c>
      <c r="AR208">
        <v>3.43302</v>
      </c>
      <c r="AS208">
        <v>3.7135699999999998</v>
      </c>
      <c r="AT208">
        <v>9.62378</v>
      </c>
      <c r="AU208">
        <v>68.141999999999996</v>
      </c>
      <c r="AV208">
        <v>128.23400000000001</v>
      </c>
      <c r="AW208">
        <v>1.32077</v>
      </c>
      <c r="AX208" s="17">
        <v>440000000</v>
      </c>
      <c r="AY208">
        <v>3.09104</v>
      </c>
      <c r="AZ208">
        <v>0.25</v>
      </c>
      <c r="BA208">
        <v>-0.1823216</v>
      </c>
      <c r="BB208">
        <v>-0.18232158000000001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-0.89792099999999997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3.1803999999999999E-3</v>
      </c>
      <c r="CG208">
        <v>0.45746559999999997</v>
      </c>
      <c r="CH208">
        <v>0.153589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-1.0475300000000001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0.20927480000000001</v>
      </c>
      <c r="DI208">
        <v>1.097318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0.11436639999999999</v>
      </c>
      <c r="DW208">
        <v>-0.26188240000000002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13.95149</v>
      </c>
      <c r="EW208">
        <v>7.1381899999999998E-2</v>
      </c>
      <c r="EX208">
        <v>7.1510699999999996E-2</v>
      </c>
      <c r="EY208">
        <v>7.1215500000000001E-2</v>
      </c>
      <c r="EZ208">
        <v>7.1446700000000002E-2</v>
      </c>
      <c r="FA208">
        <v>7.1371299999999999E-2</v>
      </c>
      <c r="FB208">
        <v>7.1493799999999996E-2</v>
      </c>
      <c r="FC208">
        <v>7.1671100000000001E-2</v>
      </c>
      <c r="FD208">
        <v>7.1302199999999996E-2</v>
      </c>
      <c r="FE208">
        <v>7.1358900000000003E-2</v>
      </c>
      <c r="FF208">
        <v>7.1614899999999995E-2</v>
      </c>
      <c r="FG208">
        <v>7.1579100000000007E-2</v>
      </c>
      <c r="FH208">
        <v>7.11392E-2</v>
      </c>
      <c r="FI208">
        <v>7.1516999999999997E-2</v>
      </c>
      <c r="FJ208">
        <v>7.1397699999999995E-2</v>
      </c>
      <c r="FK208">
        <v>0.28678169999999997</v>
      </c>
      <c r="FL208">
        <v>8.2243700000000003E-2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-0.14995800000000001</v>
      </c>
      <c r="FZ208">
        <v>-0.73067380000000004</v>
      </c>
      <c r="GA208">
        <v>1.260554</v>
      </c>
      <c r="GB208">
        <v>-0.22873959999999999</v>
      </c>
      <c r="GC208">
        <v>-0.61810319999999996</v>
      </c>
      <c r="GD208">
        <v>-0.60042629999999997</v>
      </c>
      <c r="GE208">
        <v>-0.5904237</v>
      </c>
      <c r="GF208">
        <v>1.850773</v>
      </c>
      <c r="GG208">
        <v>-0.89655640000000003</v>
      </c>
      <c r="GH208">
        <v>-1.1815329999999999</v>
      </c>
      <c r="GI208">
        <v>1.3960189999999999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7.1695400000000006E-2</v>
      </c>
      <c r="GW208">
        <v>1</v>
      </c>
      <c r="GX208">
        <v>1</v>
      </c>
      <c r="GY208">
        <v>1</v>
      </c>
      <c r="GZ208">
        <v>1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-0.29538310000000001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H208">
        <v>1</v>
      </c>
      <c r="KI208">
        <v>1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1</v>
      </c>
      <c r="KP208">
        <v>1</v>
      </c>
      <c r="KQ208">
        <v>1</v>
      </c>
      <c r="KR208">
        <v>1</v>
      </c>
      <c r="KS208">
        <v>1</v>
      </c>
      <c r="KT208">
        <v>1</v>
      </c>
      <c r="KU208">
        <v>1</v>
      </c>
      <c r="KV208">
        <v>1</v>
      </c>
      <c r="KW208">
        <v>1</v>
      </c>
      <c r="KX208">
        <v>1</v>
      </c>
      <c r="KY208">
        <v>1</v>
      </c>
      <c r="KZ208">
        <v>1</v>
      </c>
      <c r="LA208">
        <v>1</v>
      </c>
      <c r="LB208">
        <v>1</v>
      </c>
      <c r="LC208">
        <v>1</v>
      </c>
      <c r="LD208">
        <v>1</v>
      </c>
      <c r="LE208">
        <v>1</v>
      </c>
      <c r="LF208">
        <v>1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1</v>
      </c>
      <c r="LR208">
        <v>1</v>
      </c>
      <c r="LS208">
        <v>1</v>
      </c>
      <c r="LT208">
        <v>1</v>
      </c>
      <c r="LU208">
        <v>1</v>
      </c>
      <c r="LV208">
        <v>1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1</v>
      </c>
      <c r="MJ208">
        <v>1</v>
      </c>
      <c r="MK208">
        <v>1</v>
      </c>
      <c r="ML208">
        <v>1</v>
      </c>
      <c r="MM208">
        <v>1</v>
      </c>
      <c r="MN208">
        <v>1</v>
      </c>
      <c r="MO208">
        <v>1</v>
      </c>
      <c r="MP208">
        <v>1</v>
      </c>
      <c r="MQ208">
        <v>1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1</v>
      </c>
      <c r="MX208">
        <v>1</v>
      </c>
      <c r="MY208">
        <v>1</v>
      </c>
      <c r="MZ208">
        <v>1</v>
      </c>
      <c r="NA208">
        <v>1</v>
      </c>
      <c r="NB208">
        <v>1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1</v>
      </c>
      <c r="NK208">
        <v>1</v>
      </c>
      <c r="NL208">
        <v>1</v>
      </c>
      <c r="NM208">
        <v>1</v>
      </c>
      <c r="NN208">
        <v>1</v>
      </c>
      <c r="NO208">
        <v>1</v>
      </c>
      <c r="NP208">
        <v>92.617149999999995</v>
      </c>
      <c r="NQ208">
        <v>1</v>
      </c>
      <c r="NR208">
        <v>1</v>
      </c>
      <c r="NS208">
        <v>1</v>
      </c>
      <c r="NT208">
        <v>1</v>
      </c>
      <c r="NU208">
        <v>1</v>
      </c>
      <c r="NV208">
        <v>1</v>
      </c>
      <c r="NW208">
        <v>1</v>
      </c>
      <c r="NX208">
        <v>1</v>
      </c>
      <c r="NY208">
        <v>1</v>
      </c>
      <c r="NZ208">
        <v>1</v>
      </c>
      <c r="OA208">
        <v>1</v>
      </c>
      <c r="OB208">
        <v>1</v>
      </c>
      <c r="OC208">
        <v>22</v>
      </c>
      <c r="OD208">
        <v>15120.1</v>
      </c>
      <c r="OE208">
        <v>0</v>
      </c>
      <c r="OF208">
        <v>30.970099999999999</v>
      </c>
      <c r="OG208">
        <v>41</v>
      </c>
      <c r="OH208">
        <v>68.141999999999996</v>
      </c>
    </row>
    <row r="209" spans="1:398">
      <c r="A209">
        <v>19</v>
      </c>
      <c r="B209" t="s">
        <v>17</v>
      </c>
      <c r="C209" t="s">
        <v>16</v>
      </c>
      <c r="D209">
        <v>2019</v>
      </c>
      <c r="E209">
        <v>17.306000000000001</v>
      </c>
      <c r="F209">
        <v>0.96840000000000004</v>
      </c>
      <c r="G209">
        <v>683</v>
      </c>
      <c r="H209">
        <v>41</v>
      </c>
      <c r="I209">
        <v>83</v>
      </c>
      <c r="J209">
        <v>4.8</v>
      </c>
      <c r="K209">
        <v>2.7</v>
      </c>
      <c r="L209">
        <v>1.1000000000000001</v>
      </c>
      <c r="M209">
        <v>1.8</v>
      </c>
      <c r="N209">
        <v>21108</v>
      </c>
      <c r="O209">
        <v>0.66666700000000001</v>
      </c>
      <c r="P209">
        <v>1.31</v>
      </c>
      <c r="Q209">
        <v>6995.94</v>
      </c>
      <c r="R209">
        <v>31.5</v>
      </c>
      <c r="S209">
        <v>0.32760400000000001</v>
      </c>
      <c r="T209">
        <v>-0.1186125</v>
      </c>
      <c r="U209">
        <v>-0.72712270000000001</v>
      </c>
      <c r="V209">
        <v>1.344071</v>
      </c>
      <c r="W209">
        <v>0.413883</v>
      </c>
      <c r="X209">
        <v>-6.5006999999999999E-3</v>
      </c>
      <c r="Y209">
        <v>-0.55296389999999995</v>
      </c>
      <c r="Z209">
        <v>-0.6227878</v>
      </c>
      <c r="AA209">
        <v>1.1958839999999999</v>
      </c>
      <c r="AB209">
        <v>7.46251E-2</v>
      </c>
      <c r="AC209">
        <v>-0.60739299999999996</v>
      </c>
      <c r="AD209">
        <v>1.850773</v>
      </c>
      <c r="AE209">
        <v>-0.22909370000000001</v>
      </c>
      <c r="AF209">
        <v>-0.35209210000000002</v>
      </c>
      <c r="AG209">
        <v>-0.59910419999999998</v>
      </c>
      <c r="AH209">
        <v>-0.28275060000000002</v>
      </c>
      <c r="AI209">
        <v>2.8510529999999998</v>
      </c>
      <c r="AJ209">
        <v>-3.2110100000000003E-2</v>
      </c>
      <c r="AK209">
        <v>6.5264949999999997</v>
      </c>
      <c r="AL209">
        <v>4.4188400000000003</v>
      </c>
      <c r="AM209">
        <v>1.568616</v>
      </c>
      <c r="AN209">
        <v>0.99325180000000002</v>
      </c>
      <c r="AO209">
        <v>9.9574069999999999</v>
      </c>
      <c r="AP209">
        <v>0.27002710000000002</v>
      </c>
      <c r="AQ209">
        <v>8.8530859999999993</v>
      </c>
      <c r="AR209">
        <v>3.4260700000000002</v>
      </c>
      <c r="AS209">
        <v>3.7256900000000002</v>
      </c>
      <c r="AT209">
        <v>9.6374600000000008</v>
      </c>
      <c r="AU209">
        <v>68.221999999999994</v>
      </c>
      <c r="AV209">
        <v>125.292</v>
      </c>
      <c r="AW209">
        <v>3.371</v>
      </c>
      <c r="AX209" s="17">
        <v>1100000000</v>
      </c>
      <c r="AY209">
        <v>3.11795</v>
      </c>
      <c r="AZ209">
        <v>0.22</v>
      </c>
      <c r="BA209">
        <v>-0.40546510000000002</v>
      </c>
      <c r="BB209">
        <v>-0.40546506999999998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-1.1225000000000001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5.5312E-3</v>
      </c>
      <c r="CG209">
        <v>0.48457660000000002</v>
      </c>
      <c r="CH209">
        <v>0.17468600000000001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-0.7765957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0.23481450000000001</v>
      </c>
      <c r="DI209">
        <v>0.60310079999999999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0.1066069</v>
      </c>
      <c r="DW209">
        <v>-0.170851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13.946580000000001</v>
      </c>
      <c r="EW209">
        <v>7.1404400000000007E-2</v>
      </c>
      <c r="EX209">
        <v>7.1535399999999999E-2</v>
      </c>
      <c r="EY209">
        <v>7.1234000000000006E-2</v>
      </c>
      <c r="EZ209">
        <v>7.1340200000000006E-2</v>
      </c>
      <c r="FA209">
        <v>7.1384600000000006E-2</v>
      </c>
      <c r="FB209">
        <v>7.1514999999999995E-2</v>
      </c>
      <c r="FC209">
        <v>7.1701699999999993E-2</v>
      </c>
      <c r="FD209">
        <v>7.1206900000000004E-2</v>
      </c>
      <c r="FE209">
        <v>7.1385199999999996E-2</v>
      </c>
      <c r="FF209">
        <v>7.1643499999999999E-2</v>
      </c>
      <c r="FG209">
        <v>7.1608000000000005E-2</v>
      </c>
      <c r="FH209">
        <v>7.1168099999999998E-2</v>
      </c>
      <c r="FI209">
        <v>7.1435799999999994E-2</v>
      </c>
      <c r="FJ209">
        <v>7.1437299999999995E-2</v>
      </c>
      <c r="FK209">
        <v>0.32708100000000001</v>
      </c>
      <c r="FL209">
        <v>0.10698199999999999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-0.1186125</v>
      </c>
      <c r="FZ209">
        <v>-0.72712270000000001</v>
      </c>
      <c r="GA209">
        <v>1.344071</v>
      </c>
      <c r="GB209">
        <v>-6.5006999999999999E-3</v>
      </c>
      <c r="GC209">
        <v>-0.6227878</v>
      </c>
      <c r="GD209">
        <v>-0.60739299999999996</v>
      </c>
      <c r="GE209">
        <v>-0.59910419999999998</v>
      </c>
      <c r="GF209">
        <v>1.850773</v>
      </c>
      <c r="GG209">
        <v>-0.22909370000000001</v>
      </c>
      <c r="GH209">
        <v>-0.33292060000000001</v>
      </c>
      <c r="GI209">
        <v>0.11083610000000001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7.1957800000000002E-2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-7.3242500000000002E-2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R209">
        <v>1</v>
      </c>
      <c r="IS209">
        <v>1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1</v>
      </c>
      <c r="KP209">
        <v>1</v>
      </c>
      <c r="KQ209">
        <v>1</v>
      </c>
      <c r="KR209">
        <v>1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1</v>
      </c>
      <c r="KZ209">
        <v>1</v>
      </c>
      <c r="LA209">
        <v>1</v>
      </c>
      <c r="LB209">
        <v>1</v>
      </c>
      <c r="LC209">
        <v>1</v>
      </c>
      <c r="LD209">
        <v>1</v>
      </c>
      <c r="LE209">
        <v>1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1</v>
      </c>
      <c r="LR209">
        <v>1</v>
      </c>
      <c r="LS209">
        <v>1</v>
      </c>
      <c r="LT209">
        <v>1</v>
      </c>
      <c r="LU209">
        <v>1</v>
      </c>
      <c r="LV209">
        <v>1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1</v>
      </c>
      <c r="MK209">
        <v>1</v>
      </c>
      <c r="ML209">
        <v>1</v>
      </c>
      <c r="MM209">
        <v>1</v>
      </c>
      <c r="MN209">
        <v>1</v>
      </c>
      <c r="MO209">
        <v>1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1</v>
      </c>
      <c r="MV209">
        <v>1</v>
      </c>
      <c r="MW209">
        <v>1</v>
      </c>
      <c r="MX209">
        <v>1</v>
      </c>
      <c r="MY209">
        <v>1</v>
      </c>
      <c r="MZ209">
        <v>1</v>
      </c>
      <c r="NA209">
        <v>1</v>
      </c>
      <c r="NB209">
        <v>1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  <c r="NN209">
        <v>1</v>
      </c>
      <c r="NO209">
        <v>1</v>
      </c>
      <c r="NP209">
        <v>92.880679999999998</v>
      </c>
      <c r="NQ209">
        <v>1</v>
      </c>
      <c r="NR209">
        <v>1</v>
      </c>
      <c r="NS209">
        <v>1</v>
      </c>
      <c r="NT209">
        <v>1</v>
      </c>
      <c r="NU209">
        <v>1</v>
      </c>
      <c r="NV209">
        <v>1</v>
      </c>
      <c r="NW209">
        <v>1</v>
      </c>
      <c r="NX209">
        <v>1</v>
      </c>
      <c r="NY209">
        <v>1</v>
      </c>
      <c r="NZ209">
        <v>1</v>
      </c>
      <c r="OA209">
        <v>1</v>
      </c>
      <c r="OB209">
        <v>1</v>
      </c>
      <c r="OC209">
        <v>22.6</v>
      </c>
      <c r="OD209">
        <v>15328.4</v>
      </c>
      <c r="OE209">
        <v>0</v>
      </c>
      <c r="OF209">
        <v>30.755500000000001</v>
      </c>
      <c r="OG209">
        <v>41.5</v>
      </c>
      <c r="OH209">
        <v>68.221999999999994</v>
      </c>
    </row>
    <row r="210" spans="1:398">
      <c r="A210">
        <v>19</v>
      </c>
      <c r="B210" t="s">
        <v>17</v>
      </c>
      <c r="C210" t="s">
        <v>16</v>
      </c>
      <c r="D210">
        <v>2020</v>
      </c>
      <c r="E210">
        <v>17.550999999999998</v>
      </c>
      <c r="F210">
        <v>0.93100000000000005</v>
      </c>
      <c r="G210">
        <v>695</v>
      </c>
      <c r="H210">
        <v>39.700000000000003</v>
      </c>
      <c r="I210">
        <v>83.5</v>
      </c>
      <c r="J210">
        <v>5.2</v>
      </c>
      <c r="K210">
        <v>5</v>
      </c>
      <c r="L210">
        <v>0.8</v>
      </c>
      <c r="M210">
        <v>1.6</v>
      </c>
      <c r="N210">
        <v>23720</v>
      </c>
      <c r="O210">
        <v>0.5</v>
      </c>
      <c r="P210">
        <v>1.26</v>
      </c>
      <c r="Q210">
        <v>7535</v>
      </c>
      <c r="R210">
        <v>32</v>
      </c>
      <c r="S210">
        <v>0.31498399999999999</v>
      </c>
      <c r="T210">
        <v>-8.8846300000000003E-2</v>
      </c>
      <c r="U210">
        <v>-0.76301739999999996</v>
      </c>
      <c r="V210">
        <v>1.435181</v>
      </c>
      <c r="W210">
        <v>0.3301983</v>
      </c>
      <c r="X210">
        <v>6.2949099999999994E-2</v>
      </c>
      <c r="Y210">
        <v>-0.4889116</v>
      </c>
      <c r="Z210">
        <v>-0.62248769999999998</v>
      </c>
      <c r="AA210">
        <v>0.361481</v>
      </c>
      <c r="AB210">
        <v>-0.18922800000000001</v>
      </c>
      <c r="AC210">
        <v>-0.59352329999999998</v>
      </c>
      <c r="AD210">
        <v>1.605753</v>
      </c>
      <c r="AE210">
        <v>-5.1496699999999999E-2</v>
      </c>
      <c r="AF210">
        <v>-0.32575300000000001</v>
      </c>
      <c r="AG210">
        <v>-0.60778480000000001</v>
      </c>
      <c r="AH210">
        <v>-0.52507150000000002</v>
      </c>
      <c r="AI210">
        <v>2.8651110000000002</v>
      </c>
      <c r="AJ210">
        <v>-7.1496000000000004E-2</v>
      </c>
      <c r="AK210">
        <v>6.5439119999999997</v>
      </c>
      <c r="AL210">
        <v>4.4248469999999998</v>
      </c>
      <c r="AM210">
        <v>1.6486590000000001</v>
      </c>
      <c r="AN210">
        <v>1.6094379999999999</v>
      </c>
      <c r="AO210">
        <v>10.074070000000001</v>
      </c>
      <c r="AP210">
        <v>0.2311117</v>
      </c>
      <c r="AQ210">
        <v>8.9273140000000009</v>
      </c>
      <c r="AR210">
        <v>3.4190100000000001</v>
      </c>
      <c r="AS210">
        <v>3.77963</v>
      </c>
      <c r="AT210">
        <v>9.6091599999999993</v>
      </c>
      <c r="AU210">
        <v>68.314999999999998</v>
      </c>
      <c r="AV210">
        <v>123.883</v>
      </c>
      <c r="AW210">
        <v>2.8141400000000001</v>
      </c>
      <c r="AX210" s="17">
        <v>940000000</v>
      </c>
      <c r="AY210">
        <v>3.1441499999999998</v>
      </c>
      <c r="AZ210">
        <v>0.21</v>
      </c>
      <c r="BA210">
        <v>-0.69314719999999996</v>
      </c>
      <c r="BB210">
        <v>-0.69314717999999997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-1.34707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5.3080000000000002E-3</v>
      </c>
      <c r="CG210">
        <v>0.4762748</v>
      </c>
      <c r="CH210">
        <v>0.167405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-0.99729880000000004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0.2268376</v>
      </c>
      <c r="DI210">
        <v>0.99460479999999996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0.1000177</v>
      </c>
      <c r="DW210">
        <v>-0.2094327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13.948740000000001</v>
      </c>
      <c r="EW210">
        <v>7.1390999999999996E-2</v>
      </c>
      <c r="EX210">
        <v>7.1532499999999999E-2</v>
      </c>
      <c r="EY210">
        <v>7.1215700000000007E-2</v>
      </c>
      <c r="EZ210">
        <v>7.1340899999999999E-2</v>
      </c>
      <c r="FA210">
        <v>7.1370799999999998E-2</v>
      </c>
      <c r="FB210">
        <v>7.1487300000000004E-2</v>
      </c>
      <c r="FC210">
        <v>7.1690199999999996E-2</v>
      </c>
      <c r="FD210">
        <v>7.1320400000000006E-2</v>
      </c>
      <c r="FE210">
        <v>7.1415400000000004E-2</v>
      </c>
      <c r="FF210">
        <v>7.16257E-2</v>
      </c>
      <c r="FG210">
        <v>7.1600700000000003E-2</v>
      </c>
      <c r="FH210">
        <v>7.1187899999999998E-2</v>
      </c>
      <c r="FI210">
        <v>7.1399299999999999E-2</v>
      </c>
      <c r="FJ210">
        <v>7.1422200000000005E-2</v>
      </c>
      <c r="FK210">
        <v>0.31452409999999997</v>
      </c>
      <c r="FL210">
        <v>9.8925399999999997E-2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-8.8846300000000003E-2</v>
      </c>
      <c r="FZ210">
        <v>-0.76301739999999996</v>
      </c>
      <c r="GA210">
        <v>1.435181</v>
      </c>
      <c r="GB210">
        <v>6.2949099999999994E-2</v>
      </c>
      <c r="GC210">
        <v>-0.62248769999999998</v>
      </c>
      <c r="GD210">
        <v>-0.59352329999999998</v>
      </c>
      <c r="GE210">
        <v>-0.60778480000000001</v>
      </c>
      <c r="GF210">
        <v>1.605753</v>
      </c>
      <c r="GG210">
        <v>-5.1496699999999999E-2</v>
      </c>
      <c r="GH210">
        <v>-0.67996820000000002</v>
      </c>
      <c r="GI210">
        <v>0.46235680000000001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6.60501E-2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-0.14279330000000001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1</v>
      </c>
      <c r="MJ210">
        <v>1</v>
      </c>
      <c r="MK210">
        <v>1</v>
      </c>
      <c r="ML210">
        <v>1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1</v>
      </c>
      <c r="MT210">
        <v>1</v>
      </c>
      <c r="MU210">
        <v>1</v>
      </c>
      <c r="MV210">
        <v>1</v>
      </c>
      <c r="MW210">
        <v>1</v>
      </c>
      <c r="MX210">
        <v>1</v>
      </c>
      <c r="MY210">
        <v>1</v>
      </c>
      <c r="MZ210">
        <v>1</v>
      </c>
      <c r="NA210">
        <v>1</v>
      </c>
      <c r="NB210">
        <v>1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1</v>
      </c>
      <c r="NK210">
        <v>1</v>
      </c>
      <c r="NL210">
        <v>1</v>
      </c>
      <c r="NM210">
        <v>1</v>
      </c>
      <c r="NN210">
        <v>1</v>
      </c>
      <c r="NO210">
        <v>1</v>
      </c>
      <c r="NP210">
        <v>92.336020000000005</v>
      </c>
      <c r="NQ210">
        <v>1</v>
      </c>
      <c r="NR210">
        <v>1</v>
      </c>
      <c r="NS210">
        <v>1</v>
      </c>
      <c r="NT210">
        <v>1</v>
      </c>
      <c r="NU210">
        <v>1</v>
      </c>
      <c r="NV210">
        <v>1</v>
      </c>
      <c r="NW210">
        <v>1</v>
      </c>
      <c r="NX210">
        <v>1</v>
      </c>
      <c r="NY210">
        <v>1</v>
      </c>
      <c r="NZ210">
        <v>1</v>
      </c>
      <c r="OA210">
        <v>1</v>
      </c>
      <c r="OB210">
        <v>1</v>
      </c>
      <c r="OC210">
        <v>23.2</v>
      </c>
      <c r="OD210">
        <v>14900.7</v>
      </c>
      <c r="OE210">
        <v>0.26</v>
      </c>
      <c r="OF210">
        <v>30.539100000000001</v>
      </c>
      <c r="OG210">
        <v>43.8</v>
      </c>
      <c r="OH210">
        <v>68.314999999999998</v>
      </c>
    </row>
    <row r="211" spans="1:398">
      <c r="A211">
        <v>20</v>
      </c>
      <c r="B211" t="s">
        <v>15</v>
      </c>
      <c r="C211" t="s">
        <v>14</v>
      </c>
      <c r="D211">
        <v>2010</v>
      </c>
      <c r="E211">
        <v>13.776</v>
      </c>
      <c r="F211">
        <v>2.5857000000000001</v>
      </c>
      <c r="G211">
        <v>803</v>
      </c>
      <c r="H211">
        <v>8.9</v>
      </c>
      <c r="I211">
        <v>56.4</v>
      </c>
      <c r="J211">
        <v>5.3</v>
      </c>
      <c r="K211">
        <v>4.9000000000000004</v>
      </c>
      <c r="L211">
        <v>0.9</v>
      </c>
      <c r="M211">
        <v>2.1</v>
      </c>
      <c r="N211">
        <v>4436</v>
      </c>
      <c r="O211">
        <v>-0.25</v>
      </c>
      <c r="P211">
        <v>0.83</v>
      </c>
      <c r="Q211">
        <v>7419.83</v>
      </c>
      <c r="R211">
        <v>57.7</v>
      </c>
      <c r="S211">
        <v>0.28553899999999999</v>
      </c>
      <c r="T211">
        <v>-0.54748770000000002</v>
      </c>
      <c r="U211">
        <v>0.82508090000000001</v>
      </c>
      <c r="V211">
        <v>2.2551670000000001</v>
      </c>
      <c r="W211">
        <v>-1.652487</v>
      </c>
      <c r="X211">
        <v>-3.7012269999999998</v>
      </c>
      <c r="Y211">
        <v>-0.4728984</v>
      </c>
      <c r="Z211">
        <v>-0.62250079999999997</v>
      </c>
      <c r="AA211">
        <v>0.6396153</v>
      </c>
      <c r="AB211">
        <v>0.47040490000000001</v>
      </c>
      <c r="AC211">
        <v>-0.69592089999999995</v>
      </c>
      <c r="AD211">
        <v>-0.50142659999999994</v>
      </c>
      <c r="AE211">
        <v>-8.9438000000000004E-2</v>
      </c>
      <c r="AF211">
        <v>1.0280750000000001</v>
      </c>
      <c r="AG211">
        <v>-0.64684719999999996</v>
      </c>
      <c r="AH211">
        <v>1.8343100000000001E-2</v>
      </c>
      <c r="AI211">
        <v>2.6229279999999999</v>
      </c>
      <c r="AJ211">
        <v>0.94999630000000002</v>
      </c>
      <c r="AK211">
        <v>6.6883540000000004</v>
      </c>
      <c r="AL211">
        <v>4.0324689999999999</v>
      </c>
      <c r="AM211">
        <v>1.6677070000000001</v>
      </c>
      <c r="AN211">
        <v>1.589235</v>
      </c>
      <c r="AO211">
        <v>8.3975089999999994</v>
      </c>
      <c r="AP211">
        <v>-0.18632960000000001</v>
      </c>
      <c r="AQ211">
        <v>8.9119119999999992</v>
      </c>
      <c r="AR211">
        <v>7.1665299999999998</v>
      </c>
      <c r="AS211">
        <v>0.18232200000000001</v>
      </c>
      <c r="AT211">
        <v>9.9403299999999994</v>
      </c>
      <c r="AU211">
        <v>94.072000000000003</v>
      </c>
      <c r="AV211">
        <v>178.233</v>
      </c>
      <c r="AW211">
        <v>101.626</v>
      </c>
      <c r="AX211" s="17">
        <v>9200000000</v>
      </c>
      <c r="AY211">
        <v>2.7408399999999999</v>
      </c>
      <c r="AZ211">
        <v>0.51</v>
      </c>
      <c r="BB211">
        <v>-2.7725887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-0.50311399999999995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7.1520000000000004E-4</v>
      </c>
      <c r="CG211">
        <v>0.4115529</v>
      </c>
      <c r="CH211">
        <v>0.17684900000000001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-1.1143110000000001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0.16937579999999999</v>
      </c>
      <c r="DI211">
        <v>1.24169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0.209892</v>
      </c>
      <c r="DW211">
        <v>-0.56829879999999999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13.95138</v>
      </c>
      <c r="EW211">
        <v>7.1432200000000001E-2</v>
      </c>
      <c r="EX211">
        <v>7.1225200000000002E-2</v>
      </c>
      <c r="EY211">
        <v>7.1118100000000004E-2</v>
      </c>
      <c r="EZ211">
        <v>7.1612300000000004E-2</v>
      </c>
      <c r="FA211">
        <v>7.1606500000000003E-2</v>
      </c>
      <c r="FB211">
        <v>7.1470000000000006E-2</v>
      </c>
      <c r="FC211">
        <v>7.1676599999999993E-2</v>
      </c>
      <c r="FD211">
        <v>7.12671E-2</v>
      </c>
      <c r="FE211">
        <v>7.1305499999999994E-2</v>
      </c>
      <c r="FF211">
        <v>7.1666900000000006E-2</v>
      </c>
      <c r="FG211">
        <v>7.1604000000000001E-2</v>
      </c>
      <c r="FH211">
        <v>7.1437E-2</v>
      </c>
      <c r="FI211">
        <v>7.1392300000000006E-2</v>
      </c>
      <c r="FJ211">
        <v>7.1186399999999997E-2</v>
      </c>
      <c r="FK211">
        <v>0.28492640000000002</v>
      </c>
      <c r="FL211">
        <v>8.1183000000000005E-2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-0.54748770000000002</v>
      </c>
      <c r="FZ211">
        <v>0.82508090000000001</v>
      </c>
      <c r="GA211">
        <v>2.2551670000000001</v>
      </c>
      <c r="GB211">
        <v>-3.7012269999999998</v>
      </c>
      <c r="GC211">
        <v>-0.62250079999999997</v>
      </c>
      <c r="GD211">
        <v>-0.69592089999999995</v>
      </c>
      <c r="GE211">
        <v>-0.64684719999999996</v>
      </c>
      <c r="GF211">
        <v>-0.50142659999999994</v>
      </c>
      <c r="GG211">
        <v>-8.9438000000000004E-2</v>
      </c>
      <c r="GH211">
        <v>-0.28298089999999998</v>
      </c>
      <c r="GI211">
        <v>8.0078200000000002E-2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0.14531240000000001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-0.14432020000000001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1</v>
      </c>
      <c r="LT211">
        <v>1</v>
      </c>
      <c r="LU211">
        <v>1</v>
      </c>
      <c r="LV211">
        <v>1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1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1</v>
      </c>
      <c r="MX211">
        <v>1</v>
      </c>
      <c r="MY211">
        <v>1</v>
      </c>
      <c r="MZ211">
        <v>1</v>
      </c>
      <c r="NA211">
        <v>1</v>
      </c>
      <c r="NB211">
        <v>1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  <c r="NN211">
        <v>1</v>
      </c>
      <c r="NO211">
        <v>1</v>
      </c>
      <c r="NP211">
        <v>98.810190000000006</v>
      </c>
      <c r="NQ211">
        <v>1</v>
      </c>
      <c r="NR211">
        <v>1</v>
      </c>
      <c r="NS211">
        <v>1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1</v>
      </c>
      <c r="NZ211">
        <v>1</v>
      </c>
      <c r="OA211">
        <v>1</v>
      </c>
      <c r="OB211">
        <v>1</v>
      </c>
      <c r="OC211">
        <v>15.5</v>
      </c>
      <c r="OD211">
        <v>20750.599999999999</v>
      </c>
      <c r="OE211">
        <v>0</v>
      </c>
      <c r="OF211">
        <v>1295.3399999999999</v>
      </c>
      <c r="OG211">
        <v>1.2</v>
      </c>
      <c r="OH211">
        <v>94.072000000000003</v>
      </c>
    </row>
    <row r="212" spans="1:398">
      <c r="A212">
        <v>20</v>
      </c>
      <c r="B212" t="s">
        <v>15</v>
      </c>
      <c r="C212" t="s">
        <v>14</v>
      </c>
      <c r="D212">
        <v>2011</v>
      </c>
      <c r="E212">
        <v>13.589</v>
      </c>
      <c r="F212">
        <v>1.9716</v>
      </c>
      <c r="G212">
        <v>791</v>
      </c>
      <c r="H212">
        <v>15.4</v>
      </c>
      <c r="I212">
        <v>122.8</v>
      </c>
      <c r="J212">
        <v>4.5</v>
      </c>
      <c r="K212">
        <v>1.6</v>
      </c>
      <c r="L212">
        <v>0.9</v>
      </c>
      <c r="M212">
        <v>2.1</v>
      </c>
      <c r="N212">
        <v>4359</v>
      </c>
      <c r="O212">
        <v>0</v>
      </c>
      <c r="P212">
        <v>0.83</v>
      </c>
      <c r="Q212">
        <v>6626.78</v>
      </c>
      <c r="R212">
        <v>62.4</v>
      </c>
      <c r="S212">
        <v>0.34443200000000002</v>
      </c>
      <c r="T212">
        <v>-0.57020709999999997</v>
      </c>
      <c r="U212">
        <v>0.23569850000000001</v>
      </c>
      <c r="V212">
        <v>2.1640570000000001</v>
      </c>
      <c r="W212">
        <v>-1.2340629999999999</v>
      </c>
      <c r="X212">
        <v>5.5216989999999999</v>
      </c>
      <c r="Y212">
        <v>-0.60100319999999996</v>
      </c>
      <c r="Z212">
        <v>-0.62293140000000002</v>
      </c>
      <c r="AA212">
        <v>0.6396153</v>
      </c>
      <c r="AB212">
        <v>0.47040490000000001</v>
      </c>
      <c r="AC212">
        <v>-0.69632970000000005</v>
      </c>
      <c r="AD212">
        <v>-0.50142659999999994</v>
      </c>
      <c r="AE212">
        <v>-0.35071580000000002</v>
      </c>
      <c r="AF212">
        <v>1.2756620000000001</v>
      </c>
      <c r="AG212">
        <v>-0.63382640000000001</v>
      </c>
      <c r="AH212">
        <v>-1.013992</v>
      </c>
      <c r="AI212">
        <v>2.6092610000000001</v>
      </c>
      <c r="AJ212">
        <v>0.67884540000000004</v>
      </c>
      <c r="AK212">
        <v>6.673298</v>
      </c>
      <c r="AL212">
        <v>4.8105570000000002</v>
      </c>
      <c r="AM212">
        <v>1.5040770000000001</v>
      </c>
      <c r="AN212">
        <v>0.47000360000000002</v>
      </c>
      <c r="AO212">
        <v>8.3799980000000005</v>
      </c>
      <c r="AP212">
        <v>-0.18632960000000001</v>
      </c>
      <c r="AQ212">
        <v>8.7988750000000007</v>
      </c>
      <c r="AR212">
        <v>7.1707599999999996</v>
      </c>
      <c r="AS212">
        <v>0.69314699999999996</v>
      </c>
      <c r="AT212">
        <v>9.9459599999999995</v>
      </c>
      <c r="AU212">
        <v>94.141000000000005</v>
      </c>
      <c r="AV212">
        <v>192.02799999999999</v>
      </c>
      <c r="AW212">
        <v>79.748900000000006</v>
      </c>
      <c r="AX212" s="17">
        <v>7800000000</v>
      </c>
      <c r="AY212">
        <v>2.7408399999999999</v>
      </c>
      <c r="AZ212">
        <v>0.51</v>
      </c>
      <c r="BB212">
        <v>-2.0794415000000002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-0.24030499999999999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1.6808000000000001E-3</v>
      </c>
      <c r="CG212">
        <v>0.46677669999999999</v>
      </c>
      <c r="CH212">
        <v>0.174344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-1.8951929999999999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0.2178805</v>
      </c>
      <c r="DI212">
        <v>3.591755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0.23805609999999999</v>
      </c>
      <c r="DW212">
        <v>-0.96654819999999997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13.94529</v>
      </c>
      <c r="EW212">
        <v>7.1466799999999997E-2</v>
      </c>
      <c r="EX212">
        <v>7.13583E-2</v>
      </c>
      <c r="EY212">
        <v>7.1162699999999995E-2</v>
      </c>
      <c r="EZ212">
        <v>7.1573600000000001E-2</v>
      </c>
      <c r="FA212">
        <v>7.1111199999999999E-2</v>
      </c>
      <c r="FB212">
        <v>7.1535899999999999E-2</v>
      </c>
      <c r="FC212">
        <v>7.1708499999999994E-2</v>
      </c>
      <c r="FD212">
        <v>7.1300299999999997E-2</v>
      </c>
      <c r="FE212">
        <v>7.1338399999999996E-2</v>
      </c>
      <c r="FF212">
        <v>7.1698399999999995E-2</v>
      </c>
      <c r="FG212">
        <v>7.1629700000000004E-2</v>
      </c>
      <c r="FH212">
        <v>7.1468900000000002E-2</v>
      </c>
      <c r="FI212">
        <v>7.1463399999999996E-2</v>
      </c>
      <c r="FJ212">
        <v>7.1183899999999994E-2</v>
      </c>
      <c r="FK212">
        <v>0.34368739999999998</v>
      </c>
      <c r="FL212">
        <v>0.118121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-0.57020709999999997</v>
      </c>
      <c r="FZ212">
        <v>0.23569850000000001</v>
      </c>
      <c r="GA212">
        <v>2.1640570000000001</v>
      </c>
      <c r="GB212">
        <v>5.5216989999999999</v>
      </c>
      <c r="GC212">
        <v>-0.62293140000000002</v>
      </c>
      <c r="GD212">
        <v>-0.69632970000000005</v>
      </c>
      <c r="GE212">
        <v>-0.63382640000000001</v>
      </c>
      <c r="GF212">
        <v>-0.50142659999999994</v>
      </c>
      <c r="GG212">
        <v>-0.35071580000000002</v>
      </c>
      <c r="GH212">
        <v>-1.846905</v>
      </c>
      <c r="GI212">
        <v>3.411057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0.17528060000000001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-0.94192140000000002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1</v>
      </c>
      <c r="LX212">
        <v>1</v>
      </c>
      <c r="LY212">
        <v>1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1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1</v>
      </c>
      <c r="MX212">
        <v>1</v>
      </c>
      <c r="MY212">
        <v>1</v>
      </c>
      <c r="MZ212">
        <v>1</v>
      </c>
      <c r="NA212">
        <v>1</v>
      </c>
      <c r="NB212">
        <v>1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1</v>
      </c>
      <c r="NK212">
        <v>1</v>
      </c>
      <c r="NL212">
        <v>1</v>
      </c>
      <c r="NM212">
        <v>1</v>
      </c>
      <c r="NN212">
        <v>1</v>
      </c>
      <c r="NO212">
        <v>1</v>
      </c>
      <c r="NP212">
        <v>98.922179999999997</v>
      </c>
      <c r="NQ212">
        <v>1</v>
      </c>
      <c r="NR212">
        <v>1</v>
      </c>
      <c r="NS212">
        <v>1</v>
      </c>
      <c r="NT212">
        <v>1</v>
      </c>
      <c r="NU212">
        <v>1</v>
      </c>
      <c r="NV212">
        <v>1</v>
      </c>
      <c r="NW212">
        <v>1</v>
      </c>
      <c r="NX212">
        <v>1</v>
      </c>
      <c r="NY212">
        <v>1</v>
      </c>
      <c r="NZ212">
        <v>1</v>
      </c>
      <c r="OA212">
        <v>1</v>
      </c>
      <c r="OB212">
        <v>1</v>
      </c>
      <c r="OC212">
        <v>15.5</v>
      </c>
      <c r="OD212">
        <v>20867.8</v>
      </c>
      <c r="OE212">
        <v>0</v>
      </c>
      <c r="OF212">
        <v>1300.8399999999999</v>
      </c>
      <c r="OG212">
        <v>2</v>
      </c>
      <c r="OH212">
        <v>94.141000000000005</v>
      </c>
    </row>
    <row r="213" spans="1:398">
      <c r="A213">
        <v>20</v>
      </c>
      <c r="B213" t="s">
        <v>15</v>
      </c>
      <c r="C213" t="s">
        <v>14</v>
      </c>
      <c r="D213">
        <v>2012</v>
      </c>
      <c r="E213">
        <v>11.734</v>
      </c>
      <c r="F213">
        <v>1.8024</v>
      </c>
      <c r="G213">
        <v>790</v>
      </c>
      <c r="H213">
        <v>14.8</v>
      </c>
      <c r="I213">
        <v>71.7</v>
      </c>
      <c r="J213">
        <v>3.9</v>
      </c>
      <c r="K213">
        <v>1.2</v>
      </c>
      <c r="L213">
        <v>0.9</v>
      </c>
      <c r="M213">
        <v>2.1</v>
      </c>
      <c r="N213">
        <v>4361</v>
      </c>
      <c r="O213">
        <v>0.25</v>
      </c>
      <c r="P213">
        <v>0.83</v>
      </c>
      <c r="Q213">
        <v>6527.26</v>
      </c>
      <c r="R213">
        <v>68.099999999999994</v>
      </c>
      <c r="S213">
        <v>0.29053000000000001</v>
      </c>
      <c r="T213">
        <v>-0.79557920000000004</v>
      </c>
      <c r="U213">
        <v>7.3308700000000004E-2</v>
      </c>
      <c r="V213">
        <v>2.1564649999999999</v>
      </c>
      <c r="W213">
        <v>-1.2726869999999999</v>
      </c>
      <c r="X213">
        <v>-1.576065</v>
      </c>
      <c r="Y213">
        <v>-0.69708170000000003</v>
      </c>
      <c r="Z213">
        <v>-0.62298359999999997</v>
      </c>
      <c r="AA213">
        <v>0.6396153</v>
      </c>
      <c r="AB213">
        <v>0.47040490000000001</v>
      </c>
      <c r="AC213">
        <v>-0.69631909999999997</v>
      </c>
      <c r="AD213">
        <v>-0.50142659999999994</v>
      </c>
      <c r="AE213">
        <v>-0.38350489999999998</v>
      </c>
      <c r="AF213">
        <v>1.5759270000000001</v>
      </c>
      <c r="AG213">
        <v>-0.62080559999999996</v>
      </c>
      <c r="AH213">
        <v>-0.28507440000000001</v>
      </c>
      <c r="AI213">
        <v>2.462491</v>
      </c>
      <c r="AJ213">
        <v>0.58911910000000001</v>
      </c>
      <c r="AK213">
        <v>6.6720329999999999</v>
      </c>
      <c r="AL213">
        <v>4.2724909999999996</v>
      </c>
      <c r="AM213">
        <v>1.3609770000000001</v>
      </c>
      <c r="AN213">
        <v>0.1823216</v>
      </c>
      <c r="AO213">
        <v>8.3804569999999998</v>
      </c>
      <c r="AP213">
        <v>-0.18632960000000001</v>
      </c>
      <c r="AQ213">
        <v>8.7837429999999994</v>
      </c>
      <c r="AR213">
        <v>7.1797599999999999</v>
      </c>
      <c r="AS213">
        <v>0.99325200000000002</v>
      </c>
      <c r="AT213">
        <v>9.9771800000000006</v>
      </c>
      <c r="AU213">
        <v>94.210999999999999</v>
      </c>
      <c r="AV213">
        <v>199.21299999999999</v>
      </c>
      <c r="AW213">
        <v>34.586500000000001</v>
      </c>
      <c r="AX213" s="17">
        <v>3300000000</v>
      </c>
      <c r="AY213">
        <v>2.7725900000000001</v>
      </c>
      <c r="AZ213">
        <v>0.53</v>
      </c>
      <c r="BA213">
        <v>-1.3862939999999999</v>
      </c>
      <c r="BB213">
        <v>-1.3862943999999999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2.2504E-2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1.5889999999999999E-3</v>
      </c>
      <c r="CG213">
        <v>0.41810789999999998</v>
      </c>
      <c r="CH213">
        <v>0.167186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-1.250721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0.1748142</v>
      </c>
      <c r="DI213">
        <v>1.564303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0.22159719999999999</v>
      </c>
      <c r="DW213">
        <v>-0.66288210000000003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13.95143</v>
      </c>
      <c r="EW213">
        <v>7.1463499999999999E-2</v>
      </c>
      <c r="EX213">
        <v>7.1357199999999996E-2</v>
      </c>
      <c r="EY213">
        <v>7.1136000000000005E-2</v>
      </c>
      <c r="EZ213">
        <v>7.1548299999999995E-2</v>
      </c>
      <c r="FA213">
        <v>7.1458599999999997E-2</v>
      </c>
      <c r="FB213">
        <v>7.1531399999999995E-2</v>
      </c>
      <c r="FC213">
        <v>7.1677000000000005E-2</v>
      </c>
      <c r="FD213">
        <v>7.1271000000000001E-2</v>
      </c>
      <c r="FE213">
        <v>7.1308700000000003E-2</v>
      </c>
      <c r="FF213">
        <v>7.1666900000000006E-2</v>
      </c>
      <c r="FG213">
        <v>7.1592600000000006E-2</v>
      </c>
      <c r="FH213">
        <v>7.1438100000000004E-2</v>
      </c>
      <c r="FI213">
        <v>7.1437600000000004E-2</v>
      </c>
      <c r="FJ213">
        <v>7.1113200000000001E-2</v>
      </c>
      <c r="FK213">
        <v>0.2899737</v>
      </c>
      <c r="FL213">
        <v>8.4084800000000001E-2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-0.79557920000000004</v>
      </c>
      <c r="FZ213">
        <v>7.3308700000000004E-2</v>
      </c>
      <c r="GA213">
        <v>2.1564649999999999</v>
      </c>
      <c r="GB213">
        <v>-1.576065</v>
      </c>
      <c r="GC213">
        <v>-0.62298359999999997</v>
      </c>
      <c r="GD213">
        <v>-0.69631909999999997</v>
      </c>
      <c r="GE213">
        <v>-0.62080559999999996</v>
      </c>
      <c r="GF213">
        <v>-0.50142659999999994</v>
      </c>
      <c r="GG213">
        <v>-0.38350489999999998</v>
      </c>
      <c r="GH213">
        <v>-0.85046359999999999</v>
      </c>
      <c r="GI213">
        <v>0.72328840000000005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0.15368609999999999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-0.45074570000000003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1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1</v>
      </c>
      <c r="LG213">
        <v>1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1</v>
      </c>
      <c r="LT213">
        <v>1</v>
      </c>
      <c r="LU213">
        <v>1</v>
      </c>
      <c r="LV213">
        <v>1</v>
      </c>
      <c r="LW213">
        <v>1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1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1</v>
      </c>
      <c r="MW213">
        <v>1</v>
      </c>
      <c r="MX213">
        <v>1</v>
      </c>
      <c r="MY213">
        <v>1</v>
      </c>
      <c r="MZ213">
        <v>1</v>
      </c>
      <c r="NA213">
        <v>1</v>
      </c>
      <c r="NB213">
        <v>1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  <c r="NN213">
        <v>1</v>
      </c>
      <c r="NO213">
        <v>1</v>
      </c>
      <c r="NP213">
        <v>99.544110000000003</v>
      </c>
      <c r="NQ213">
        <v>1</v>
      </c>
      <c r="NR213">
        <v>1</v>
      </c>
      <c r="NS213">
        <v>1</v>
      </c>
      <c r="NT213">
        <v>1</v>
      </c>
      <c r="NU213">
        <v>1</v>
      </c>
      <c r="NV213">
        <v>1</v>
      </c>
      <c r="NW213">
        <v>1</v>
      </c>
      <c r="NX213">
        <v>1</v>
      </c>
      <c r="NY213">
        <v>1</v>
      </c>
      <c r="NZ213">
        <v>1</v>
      </c>
      <c r="OA213">
        <v>1</v>
      </c>
      <c r="OB213">
        <v>1</v>
      </c>
      <c r="OC213">
        <v>16</v>
      </c>
      <c r="OD213">
        <v>21529.5</v>
      </c>
      <c r="OE213">
        <v>0</v>
      </c>
      <c r="OF213">
        <v>1312.59</v>
      </c>
      <c r="OG213">
        <v>2.7</v>
      </c>
      <c r="OH213">
        <v>94.210999999999999</v>
      </c>
    </row>
    <row r="214" spans="1:398">
      <c r="A214">
        <v>20</v>
      </c>
      <c r="B214" t="s">
        <v>15</v>
      </c>
      <c r="C214" t="s">
        <v>14</v>
      </c>
      <c r="D214">
        <v>2013</v>
      </c>
      <c r="E214">
        <v>12.587999999999999</v>
      </c>
      <c r="F214">
        <v>2.2766000000000002</v>
      </c>
      <c r="G214">
        <v>793</v>
      </c>
      <c r="H214">
        <v>12.5</v>
      </c>
      <c r="I214">
        <v>97.5</v>
      </c>
      <c r="J214">
        <v>6.3</v>
      </c>
      <c r="K214">
        <v>0.1</v>
      </c>
      <c r="L214">
        <v>0.9</v>
      </c>
      <c r="M214">
        <v>2.1</v>
      </c>
      <c r="N214">
        <v>4365</v>
      </c>
      <c r="O214">
        <v>0.5</v>
      </c>
      <c r="P214">
        <v>0.82</v>
      </c>
      <c r="Q214">
        <v>4740.8500000000004</v>
      </c>
      <c r="R214">
        <v>68.8</v>
      </c>
      <c r="S214">
        <v>0.32013999999999998</v>
      </c>
      <c r="T214">
        <v>-0.69182290000000002</v>
      </c>
      <c r="U214">
        <v>0.52842210000000001</v>
      </c>
      <c r="V214">
        <v>2.1792419999999999</v>
      </c>
      <c r="W214">
        <v>-1.420744</v>
      </c>
      <c r="X214">
        <v>2.0075419999999999</v>
      </c>
      <c r="Y214">
        <v>-0.31276749999999998</v>
      </c>
      <c r="Z214">
        <v>-0.62312719999999999</v>
      </c>
      <c r="AA214">
        <v>0.6396153</v>
      </c>
      <c r="AB214">
        <v>0.47040490000000001</v>
      </c>
      <c r="AC214">
        <v>-0.69629790000000003</v>
      </c>
      <c r="AD214">
        <v>-0.55043070000000005</v>
      </c>
      <c r="AE214">
        <v>-0.97205359999999996</v>
      </c>
      <c r="AF214">
        <v>1.6128020000000001</v>
      </c>
      <c r="AG214">
        <v>-0.60778480000000001</v>
      </c>
      <c r="AH214">
        <v>-0.40707690000000002</v>
      </c>
      <c r="AI214">
        <v>2.5327440000000001</v>
      </c>
      <c r="AJ214">
        <v>0.82268300000000005</v>
      </c>
      <c r="AK214">
        <v>6.6758230000000003</v>
      </c>
      <c r="AL214">
        <v>4.579853</v>
      </c>
      <c r="AM214">
        <v>1.8405499999999999</v>
      </c>
      <c r="AN214">
        <v>-2.3025850000000001</v>
      </c>
      <c r="AO214">
        <v>8.381373</v>
      </c>
      <c r="AP214">
        <v>-0.19845099999999999</v>
      </c>
      <c r="AQ214">
        <v>8.4639729999999993</v>
      </c>
      <c r="AR214">
        <v>7.1938000000000004</v>
      </c>
      <c r="AS214">
        <v>1.1631499999999999</v>
      </c>
      <c r="AT214">
        <v>10.0242</v>
      </c>
      <c r="AU214">
        <v>94.278999999999996</v>
      </c>
      <c r="AV214">
        <v>187.43100000000001</v>
      </c>
      <c r="AW214">
        <v>4.7241600000000004</v>
      </c>
      <c r="AX214" s="17">
        <v>510000000</v>
      </c>
      <c r="AY214">
        <v>2.7725900000000001</v>
      </c>
      <c r="AZ214">
        <v>0.54</v>
      </c>
      <c r="BA214">
        <v>-0.69314719999999996</v>
      </c>
      <c r="BB214">
        <v>-0.69314717999999997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0.28531299999999998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1.2459000000000001E-3</v>
      </c>
      <c r="CG214">
        <v>0.43154989999999999</v>
      </c>
      <c r="CH214">
        <v>0.17918700000000001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-1.580465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0.18623529999999999</v>
      </c>
      <c r="DI214">
        <v>2.4978699999999998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0.23303699999999999</v>
      </c>
      <c r="DW214">
        <v>-0.85345119999999997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13.947710000000001</v>
      </c>
      <c r="EW214">
        <v>7.14703E-2</v>
      </c>
      <c r="EX214">
        <v>7.1298799999999996E-2</v>
      </c>
      <c r="EY214">
        <v>7.11566E-2</v>
      </c>
      <c r="EZ214">
        <v>7.1591399999999999E-2</v>
      </c>
      <c r="FA214">
        <v>7.12758E-2</v>
      </c>
      <c r="FB214">
        <v>7.1449299999999993E-2</v>
      </c>
      <c r="FC214">
        <v>7.1696300000000004E-2</v>
      </c>
      <c r="FD214">
        <v>7.1292099999999997E-2</v>
      </c>
      <c r="FE214">
        <v>7.1329400000000001E-2</v>
      </c>
      <c r="FF214">
        <v>7.1686E-2</v>
      </c>
      <c r="FG214">
        <v>7.1606199999999995E-2</v>
      </c>
      <c r="FH214">
        <v>7.1464600000000003E-2</v>
      </c>
      <c r="FI214">
        <v>7.1552000000000004E-2</v>
      </c>
      <c r="FJ214">
        <v>7.1131200000000006E-2</v>
      </c>
      <c r="FK214">
        <v>0.3195056</v>
      </c>
      <c r="FL214">
        <v>0.1020838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-0.69182290000000002</v>
      </c>
      <c r="FZ214">
        <v>0.52842210000000001</v>
      </c>
      <c r="GA214">
        <v>2.1792419999999999</v>
      </c>
      <c r="GB214">
        <v>2.0075419999999999</v>
      </c>
      <c r="GC214">
        <v>-0.62312719999999999</v>
      </c>
      <c r="GD214">
        <v>-0.69629790000000003</v>
      </c>
      <c r="GE214">
        <v>-0.60778480000000001</v>
      </c>
      <c r="GF214">
        <v>-0.55043070000000005</v>
      </c>
      <c r="GG214">
        <v>-0.97205359999999996</v>
      </c>
      <c r="GH214">
        <v>-1.050764</v>
      </c>
      <c r="GI214">
        <v>1.1041049999999999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0.17253299999999999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-0.56741260000000004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1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1</v>
      </c>
      <c r="LH214">
        <v>1</v>
      </c>
      <c r="LI214">
        <v>1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1</v>
      </c>
      <c r="LT214">
        <v>1</v>
      </c>
      <c r="LU214">
        <v>1</v>
      </c>
      <c r="LV214">
        <v>1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1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1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1</v>
      </c>
      <c r="MX214">
        <v>1</v>
      </c>
      <c r="MY214">
        <v>1</v>
      </c>
      <c r="MZ214">
        <v>1</v>
      </c>
      <c r="NA214">
        <v>1</v>
      </c>
      <c r="NB214">
        <v>1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  <c r="NN214">
        <v>1</v>
      </c>
      <c r="NO214">
        <v>1</v>
      </c>
      <c r="NP214">
        <v>100.4838</v>
      </c>
      <c r="NQ214">
        <v>1</v>
      </c>
      <c r="NR214">
        <v>1</v>
      </c>
      <c r="NS214">
        <v>1</v>
      </c>
      <c r="NT214">
        <v>1</v>
      </c>
      <c r="NU214">
        <v>1</v>
      </c>
      <c r="NV214">
        <v>1</v>
      </c>
      <c r="NW214">
        <v>1</v>
      </c>
      <c r="NX214">
        <v>1</v>
      </c>
      <c r="NY214">
        <v>1</v>
      </c>
      <c r="NZ214">
        <v>1</v>
      </c>
      <c r="OA214">
        <v>1</v>
      </c>
      <c r="OB214">
        <v>1</v>
      </c>
      <c r="OC214">
        <v>16</v>
      </c>
      <c r="OD214">
        <v>22565</v>
      </c>
      <c r="OE214">
        <v>0</v>
      </c>
      <c r="OF214">
        <v>1331.15</v>
      </c>
      <c r="OG214">
        <v>3.2</v>
      </c>
      <c r="OH214">
        <v>94.278999999999996</v>
      </c>
    </row>
    <row r="215" spans="1:398">
      <c r="A215">
        <v>20</v>
      </c>
      <c r="B215" t="s">
        <v>15</v>
      </c>
      <c r="C215" t="s">
        <v>14</v>
      </c>
      <c r="D215">
        <v>2014</v>
      </c>
      <c r="E215">
        <v>11.731999999999999</v>
      </c>
      <c r="F215">
        <v>1.7686999999999999</v>
      </c>
      <c r="G215">
        <v>721</v>
      </c>
      <c r="H215">
        <v>11.7</v>
      </c>
      <c r="I215">
        <v>107.1</v>
      </c>
      <c r="J215">
        <v>6.4</v>
      </c>
      <c r="K215">
        <v>4.5999999999999996</v>
      </c>
      <c r="L215">
        <v>1</v>
      </c>
      <c r="M215">
        <v>2.1</v>
      </c>
      <c r="N215">
        <v>4393</v>
      </c>
      <c r="O215">
        <v>0.75</v>
      </c>
      <c r="P215">
        <v>0.84</v>
      </c>
      <c r="Q215">
        <v>3936.35</v>
      </c>
      <c r="R215">
        <v>74</v>
      </c>
      <c r="S215">
        <v>0.31632100000000002</v>
      </c>
      <c r="T215">
        <v>-0.79582209999999998</v>
      </c>
      <c r="U215">
        <v>4.09652E-2</v>
      </c>
      <c r="V215">
        <v>1.632585</v>
      </c>
      <c r="W215">
        <v>-1.472243</v>
      </c>
      <c r="X215">
        <v>3.3409770000000001</v>
      </c>
      <c r="Y215">
        <v>-0.29675439999999997</v>
      </c>
      <c r="Z215">
        <v>-0.62253990000000003</v>
      </c>
      <c r="AA215">
        <v>0.91774979999999995</v>
      </c>
      <c r="AB215">
        <v>0.47040490000000001</v>
      </c>
      <c r="AC215">
        <v>-0.69614920000000002</v>
      </c>
      <c r="AD215">
        <v>-0.45242250000000001</v>
      </c>
      <c r="AE215">
        <v>-1.237106</v>
      </c>
      <c r="AF215">
        <v>1.886728</v>
      </c>
      <c r="AG215">
        <v>-0.59476399999999996</v>
      </c>
      <c r="AH215">
        <v>-0.63881429999999995</v>
      </c>
      <c r="AI215">
        <v>2.4623200000000001</v>
      </c>
      <c r="AJ215">
        <v>0.5702448</v>
      </c>
      <c r="AK215">
        <v>6.5806389999999997</v>
      </c>
      <c r="AL215">
        <v>4.6737630000000001</v>
      </c>
      <c r="AM215">
        <v>1.856298</v>
      </c>
      <c r="AN215">
        <v>1.5260560000000001</v>
      </c>
      <c r="AO215">
        <v>8.3877679999999994</v>
      </c>
      <c r="AP215">
        <v>-0.17435339999999999</v>
      </c>
      <c r="AQ215">
        <v>8.2780090000000008</v>
      </c>
      <c r="AR215">
        <v>7.2137599999999997</v>
      </c>
      <c r="AS215">
        <v>1.5040800000000001</v>
      </c>
      <c r="AT215">
        <v>10.0777</v>
      </c>
      <c r="AU215">
        <v>94.346999999999994</v>
      </c>
      <c r="AV215">
        <v>181.30099999999999</v>
      </c>
      <c r="AW215">
        <v>1.3112200000000001</v>
      </c>
      <c r="AX215" s="17">
        <v>160000000</v>
      </c>
      <c r="AY215">
        <v>2.7343700000000002</v>
      </c>
      <c r="AZ215">
        <v>0.53</v>
      </c>
      <c r="BA215">
        <v>-0.2876821</v>
      </c>
      <c r="BB215">
        <v>-0.28768209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0.54812099999999997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1.126E-3</v>
      </c>
      <c r="CG215">
        <v>0.44900909999999999</v>
      </c>
      <c r="CH215">
        <v>0.17189499999999999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-1.145162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0.20160919999999999</v>
      </c>
      <c r="DI215">
        <v>1.3113969999999999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0.23797479999999999</v>
      </c>
      <c r="DW215">
        <v>-0.60693609999999998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13.948539999999999</v>
      </c>
      <c r="EW215">
        <v>7.1479399999999998E-2</v>
      </c>
      <c r="EX215">
        <v>7.1380600000000002E-2</v>
      </c>
      <c r="EY215">
        <v>7.1212399999999995E-2</v>
      </c>
      <c r="EZ215">
        <v>7.1595800000000001E-2</v>
      </c>
      <c r="FA215">
        <v>7.1206900000000004E-2</v>
      </c>
      <c r="FB215">
        <v>7.14418E-2</v>
      </c>
      <c r="FC215">
        <v>7.1691299999999999E-2</v>
      </c>
      <c r="FD215">
        <v>7.1250400000000005E-2</v>
      </c>
      <c r="FE215">
        <v>7.1326799999999996E-2</v>
      </c>
      <c r="FF215">
        <v>7.1681599999999998E-2</v>
      </c>
      <c r="FG215">
        <v>7.1596599999999996E-2</v>
      </c>
      <c r="FH215">
        <v>7.1447499999999997E-2</v>
      </c>
      <c r="FI215">
        <v>7.1595300000000001E-2</v>
      </c>
      <c r="FJ215">
        <v>7.1093699999999996E-2</v>
      </c>
      <c r="FK215">
        <v>0.31564999999999999</v>
      </c>
      <c r="FL215">
        <v>9.9634899999999998E-2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-0.79582209999999998</v>
      </c>
      <c r="FZ215">
        <v>4.09652E-2</v>
      </c>
      <c r="GA215">
        <v>1.632585</v>
      </c>
      <c r="GB215">
        <v>3.3409770000000001</v>
      </c>
      <c r="GC215">
        <v>-0.62253990000000003</v>
      </c>
      <c r="GD215">
        <v>-0.69614920000000002</v>
      </c>
      <c r="GE215">
        <v>-0.59476399999999996</v>
      </c>
      <c r="GF215">
        <v>-0.45242250000000001</v>
      </c>
      <c r="GG215">
        <v>-1.237106</v>
      </c>
      <c r="GH215">
        <v>-1.4639709999999999</v>
      </c>
      <c r="GI215">
        <v>2.1432099999999998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0.16729450000000001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-0.77590440000000005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>
        <v>101.56059999999999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1</v>
      </c>
      <c r="NZ215">
        <v>1</v>
      </c>
      <c r="OA215">
        <v>1</v>
      </c>
      <c r="OB215">
        <v>1</v>
      </c>
      <c r="OC215">
        <v>15.4</v>
      </c>
      <c r="OD215">
        <v>23806.799999999999</v>
      </c>
      <c r="OE215">
        <v>1.73</v>
      </c>
      <c r="OF215">
        <v>1357.99</v>
      </c>
      <c r="OG215">
        <v>4.5</v>
      </c>
      <c r="OH215">
        <v>94.346999999999994</v>
      </c>
    </row>
    <row r="216" spans="1:398">
      <c r="A216">
        <v>20</v>
      </c>
      <c r="B216" t="s">
        <v>15</v>
      </c>
      <c r="C216" t="s">
        <v>14</v>
      </c>
      <c r="D216">
        <v>2015</v>
      </c>
      <c r="E216">
        <v>13.973000000000001</v>
      </c>
      <c r="F216">
        <v>1.627</v>
      </c>
      <c r="G216">
        <v>271</v>
      </c>
      <c r="H216">
        <v>10.9</v>
      </c>
      <c r="I216">
        <v>65.099999999999994</v>
      </c>
      <c r="J216">
        <v>4.5999999999999996</v>
      </c>
      <c r="K216">
        <v>2.8</v>
      </c>
      <c r="L216">
        <v>1</v>
      </c>
      <c r="M216">
        <v>2</v>
      </c>
      <c r="N216">
        <v>4474</v>
      </c>
      <c r="O216">
        <v>1</v>
      </c>
      <c r="P216">
        <v>0.85</v>
      </c>
      <c r="Q216">
        <v>4136.3100000000004</v>
      </c>
      <c r="R216">
        <v>74.599999999999994</v>
      </c>
      <c r="S216">
        <v>0.21700800000000001</v>
      </c>
      <c r="T216">
        <v>-0.5235533</v>
      </c>
      <c r="U216">
        <v>-9.5031400000000002E-2</v>
      </c>
      <c r="V216">
        <v>-1.784025</v>
      </c>
      <c r="W216">
        <v>-1.523741</v>
      </c>
      <c r="X216">
        <v>-2.4928020000000002</v>
      </c>
      <c r="Y216">
        <v>-0.58499009999999996</v>
      </c>
      <c r="Z216">
        <v>-0.62277479999999996</v>
      </c>
      <c r="AA216">
        <v>0.91774979999999995</v>
      </c>
      <c r="AB216">
        <v>0.33847840000000001</v>
      </c>
      <c r="AC216">
        <v>-0.69571910000000003</v>
      </c>
      <c r="AD216">
        <v>-0.4034181</v>
      </c>
      <c r="AE216">
        <v>-1.171227</v>
      </c>
      <c r="AF216">
        <v>1.9183349999999999</v>
      </c>
      <c r="AG216">
        <v>-0.58174320000000002</v>
      </c>
      <c r="AH216">
        <v>-0.57412399999999997</v>
      </c>
      <c r="AI216">
        <v>2.637127</v>
      </c>
      <c r="AJ216">
        <v>0.4867378</v>
      </c>
      <c r="AK216">
        <v>5.6021190000000001</v>
      </c>
      <c r="AL216">
        <v>4.1759240000000002</v>
      </c>
      <c r="AM216">
        <v>1.5260560000000001</v>
      </c>
      <c r="AN216">
        <v>1.0296190000000001</v>
      </c>
      <c r="AO216">
        <v>8.4060380000000006</v>
      </c>
      <c r="AP216">
        <v>-0.16251889999999999</v>
      </c>
      <c r="AQ216">
        <v>8.3275590000000008</v>
      </c>
      <c r="AR216">
        <v>7.2376300000000002</v>
      </c>
      <c r="AS216">
        <v>1.79176</v>
      </c>
      <c r="AT216">
        <v>10.1457</v>
      </c>
      <c r="AU216">
        <v>94.414000000000001</v>
      </c>
      <c r="AV216">
        <v>207.196</v>
      </c>
      <c r="AW216">
        <v>32.102699999999999</v>
      </c>
      <c r="AX216" s="17">
        <v>3600000000</v>
      </c>
      <c r="AY216">
        <v>2.7850100000000002</v>
      </c>
      <c r="AZ216">
        <v>0.54</v>
      </c>
      <c r="BA216">
        <v>0</v>
      </c>
      <c r="BB216">
        <v>0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0.81093000000000004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1.0064E-3</v>
      </c>
      <c r="CG216">
        <v>0.35100999999999999</v>
      </c>
      <c r="CH216">
        <v>0.13558999999999999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-1.141985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0.123208</v>
      </c>
      <c r="DI216">
        <v>1.3041290000000001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0.1895454</v>
      </c>
      <c r="DW216">
        <v>-0.61667179999999999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13.96034</v>
      </c>
      <c r="EW216">
        <v>7.1386699999999997E-2</v>
      </c>
      <c r="EX216">
        <v>7.1346000000000007E-2</v>
      </c>
      <c r="EY216">
        <v>7.1592299999999998E-2</v>
      </c>
      <c r="EZ216">
        <v>7.1544099999999999E-2</v>
      </c>
      <c r="FA216">
        <v>7.14751E-2</v>
      </c>
      <c r="FB216">
        <v>7.1456000000000006E-2</v>
      </c>
      <c r="FC216">
        <v>7.1631E-2</v>
      </c>
      <c r="FD216">
        <v>7.1192699999999998E-2</v>
      </c>
      <c r="FE216">
        <v>7.1286500000000003E-2</v>
      </c>
      <c r="FF216">
        <v>7.1620799999999998E-2</v>
      </c>
      <c r="FG216">
        <v>7.1530800000000005E-2</v>
      </c>
      <c r="FH216">
        <v>7.1381100000000003E-2</v>
      </c>
      <c r="FI216">
        <v>7.1522799999999997E-2</v>
      </c>
      <c r="FJ216">
        <v>7.1034200000000006E-2</v>
      </c>
      <c r="FK216">
        <v>0.21654499999999999</v>
      </c>
      <c r="FL216">
        <v>4.6891700000000001E-2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-0.5235533</v>
      </c>
      <c r="FZ216">
        <v>-9.5031400000000002E-2</v>
      </c>
      <c r="GA216">
        <v>-1.784025</v>
      </c>
      <c r="GB216">
        <v>-2.4928020000000002</v>
      </c>
      <c r="GC216">
        <v>-0.62277479999999996</v>
      </c>
      <c r="GD216">
        <v>-0.69571910000000003</v>
      </c>
      <c r="GE216">
        <v>-0.58174320000000002</v>
      </c>
      <c r="GF216">
        <v>-0.4034181</v>
      </c>
      <c r="GG216">
        <v>-1.171227</v>
      </c>
      <c r="GH216">
        <v>-1.4431620000000001</v>
      </c>
      <c r="GI216">
        <v>2.082716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0.1169343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-0.77930739999999998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1</v>
      </c>
      <c r="JT216">
        <v>1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1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1</v>
      </c>
      <c r="LT216">
        <v>1</v>
      </c>
      <c r="LU216">
        <v>1</v>
      </c>
      <c r="LV216">
        <v>1</v>
      </c>
      <c r="LW216">
        <v>1</v>
      </c>
      <c r="LX216">
        <v>1</v>
      </c>
      <c r="LY216">
        <v>1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1</v>
      </c>
      <c r="MJ216">
        <v>1</v>
      </c>
      <c r="MK216">
        <v>1</v>
      </c>
      <c r="ML216">
        <v>1</v>
      </c>
      <c r="MM216">
        <v>1</v>
      </c>
      <c r="MN216">
        <v>1</v>
      </c>
      <c r="MO216">
        <v>1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  <c r="MX216">
        <v>1</v>
      </c>
      <c r="MY216">
        <v>1</v>
      </c>
      <c r="MZ216">
        <v>1</v>
      </c>
      <c r="NA216">
        <v>1</v>
      </c>
      <c r="NB216">
        <v>1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1</v>
      </c>
      <c r="NJ216">
        <v>1</v>
      </c>
      <c r="NK216">
        <v>1</v>
      </c>
      <c r="NL216">
        <v>1</v>
      </c>
      <c r="NM216">
        <v>1</v>
      </c>
      <c r="NN216">
        <v>1</v>
      </c>
      <c r="NO216">
        <v>1</v>
      </c>
      <c r="NP216">
        <v>102.93559999999999</v>
      </c>
      <c r="NQ216">
        <v>1</v>
      </c>
      <c r="NR216">
        <v>1</v>
      </c>
      <c r="NS216">
        <v>1</v>
      </c>
      <c r="NT216">
        <v>1</v>
      </c>
      <c r="NU216">
        <v>1</v>
      </c>
      <c r="NV216">
        <v>1</v>
      </c>
      <c r="NW216">
        <v>1</v>
      </c>
      <c r="NX216">
        <v>1</v>
      </c>
      <c r="NY216">
        <v>1</v>
      </c>
      <c r="NZ216">
        <v>1</v>
      </c>
      <c r="OA216">
        <v>1</v>
      </c>
      <c r="OB216">
        <v>1</v>
      </c>
      <c r="OC216">
        <v>16.2</v>
      </c>
      <c r="OD216">
        <v>25481.9</v>
      </c>
      <c r="OE216">
        <v>2.25</v>
      </c>
      <c r="OF216">
        <v>1390.79</v>
      </c>
      <c r="OG216">
        <v>6</v>
      </c>
      <c r="OH216">
        <v>94.414000000000001</v>
      </c>
    </row>
    <row r="217" spans="1:398">
      <c r="A217">
        <v>20</v>
      </c>
      <c r="B217" t="s">
        <v>15</v>
      </c>
      <c r="C217" t="s">
        <v>14</v>
      </c>
      <c r="D217">
        <v>2016</v>
      </c>
      <c r="E217">
        <v>11.981</v>
      </c>
      <c r="F217">
        <v>1.671</v>
      </c>
      <c r="G217">
        <v>305</v>
      </c>
      <c r="H217">
        <v>12.7</v>
      </c>
      <c r="I217">
        <v>103.4</v>
      </c>
      <c r="J217">
        <v>4.2</v>
      </c>
      <c r="K217">
        <v>0.3</v>
      </c>
      <c r="L217">
        <v>1</v>
      </c>
      <c r="M217">
        <v>2.2999999999999998</v>
      </c>
      <c r="N217">
        <v>4749</v>
      </c>
      <c r="O217">
        <v>1.25</v>
      </c>
      <c r="P217">
        <v>0.87</v>
      </c>
      <c r="Q217">
        <v>4247.53</v>
      </c>
      <c r="R217">
        <v>75.3</v>
      </c>
      <c r="S217">
        <v>0.26492500000000002</v>
      </c>
      <c r="T217">
        <v>-0.76557010000000003</v>
      </c>
      <c r="U217">
        <v>-5.2802399999999999E-2</v>
      </c>
      <c r="V217">
        <v>-1.525881</v>
      </c>
      <c r="W217">
        <v>-1.40787</v>
      </c>
      <c r="X217">
        <v>2.8270490000000001</v>
      </c>
      <c r="Y217">
        <v>-0.64904249999999997</v>
      </c>
      <c r="Z217">
        <v>-0.62310109999999996</v>
      </c>
      <c r="AA217">
        <v>0.91774979999999995</v>
      </c>
      <c r="AB217">
        <v>0.73425810000000002</v>
      </c>
      <c r="AC217">
        <v>-0.69425890000000001</v>
      </c>
      <c r="AD217">
        <v>-0.30540980000000001</v>
      </c>
      <c r="AE217">
        <v>-1.134584</v>
      </c>
      <c r="AF217">
        <v>1.9552099999999999</v>
      </c>
      <c r="AG217">
        <v>-0.56872239999999996</v>
      </c>
      <c r="AH217">
        <v>-0.99503520000000001</v>
      </c>
      <c r="AI217">
        <v>2.4833219999999998</v>
      </c>
      <c r="AJ217">
        <v>0.5134223</v>
      </c>
      <c r="AK217">
        <v>5.7203119999999998</v>
      </c>
      <c r="AL217">
        <v>4.6386050000000001</v>
      </c>
      <c r="AM217">
        <v>1.435084</v>
      </c>
      <c r="AN217">
        <v>-1.203973</v>
      </c>
      <c r="AO217">
        <v>8.4656900000000004</v>
      </c>
      <c r="AP217">
        <v>-0.1392621</v>
      </c>
      <c r="AQ217">
        <v>8.3540930000000007</v>
      </c>
      <c r="AR217">
        <v>7.2605199999999996</v>
      </c>
      <c r="AS217">
        <v>2.2191999999999998</v>
      </c>
      <c r="AT217">
        <v>10.162800000000001</v>
      </c>
      <c r="AU217">
        <v>94.48</v>
      </c>
      <c r="AV217">
        <v>213.35900000000001</v>
      </c>
      <c r="AW217">
        <v>23.084</v>
      </c>
      <c r="AX217" s="17">
        <v>2800000000</v>
      </c>
      <c r="AY217">
        <v>2.7212999999999998</v>
      </c>
      <c r="AZ217">
        <v>0.52</v>
      </c>
      <c r="BA217">
        <v>0.22314349999999999</v>
      </c>
      <c r="BB217">
        <v>0.22314355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1.0737399999999999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1.2712000000000001E-3</v>
      </c>
      <c r="CG217">
        <v>0.38748850000000001</v>
      </c>
      <c r="CH217">
        <v>0.14446600000000001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-1.675802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0.15014739999999999</v>
      </c>
      <c r="DI217">
        <v>2.8083109999999998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0.20149400000000001</v>
      </c>
      <c r="DW217">
        <v>-0.87141679999999999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13.954789999999999</v>
      </c>
      <c r="EW217">
        <v>7.1444800000000003E-2</v>
      </c>
      <c r="EX217">
        <v>7.1367600000000003E-2</v>
      </c>
      <c r="EY217">
        <v>7.1576000000000001E-2</v>
      </c>
      <c r="EZ217">
        <v>7.15533E-2</v>
      </c>
      <c r="FA217">
        <v>7.1204000000000003E-2</v>
      </c>
      <c r="FB217">
        <v>7.1502200000000002E-2</v>
      </c>
      <c r="FC217">
        <v>7.1659899999999999E-2</v>
      </c>
      <c r="FD217">
        <v>7.1223499999999995E-2</v>
      </c>
      <c r="FE217">
        <v>7.1262199999999998E-2</v>
      </c>
      <c r="FF217">
        <v>7.1648299999999998E-2</v>
      </c>
      <c r="FG217">
        <v>7.1554000000000006E-2</v>
      </c>
      <c r="FH217">
        <v>7.1397100000000005E-2</v>
      </c>
      <c r="FI217">
        <v>7.1544700000000003E-2</v>
      </c>
      <c r="FJ217">
        <v>7.1062299999999995E-2</v>
      </c>
      <c r="FK217">
        <v>0.26435409999999998</v>
      </c>
      <c r="FL217">
        <v>6.9883100000000004E-2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-0.76557010000000003</v>
      </c>
      <c r="FZ217">
        <v>-5.2802399999999999E-2</v>
      </c>
      <c r="GA217">
        <v>-1.525881</v>
      </c>
      <c r="GB217">
        <v>2.8270490000000001</v>
      </c>
      <c r="GC217">
        <v>-0.62310109999999996</v>
      </c>
      <c r="GD217">
        <v>-0.69425890000000001</v>
      </c>
      <c r="GE217">
        <v>-0.56872239999999996</v>
      </c>
      <c r="GF217">
        <v>-0.30540980000000001</v>
      </c>
      <c r="GG217">
        <v>-1.134584</v>
      </c>
      <c r="GH217">
        <v>-2.0656530000000002</v>
      </c>
      <c r="GI217">
        <v>4.266921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0.13746410000000001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-1.074139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1</v>
      </c>
      <c r="LV217">
        <v>1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1</v>
      </c>
      <c r="MJ217">
        <v>1</v>
      </c>
      <c r="MK217">
        <v>1</v>
      </c>
      <c r="ML217">
        <v>1</v>
      </c>
      <c r="MM217">
        <v>1</v>
      </c>
      <c r="MN217">
        <v>1</v>
      </c>
      <c r="MO217">
        <v>1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  <c r="MX217">
        <v>1</v>
      </c>
      <c r="MY217">
        <v>1</v>
      </c>
      <c r="MZ217">
        <v>1</v>
      </c>
      <c r="NA217">
        <v>1</v>
      </c>
      <c r="NB217">
        <v>1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1</v>
      </c>
      <c r="NN217">
        <v>1</v>
      </c>
      <c r="NO217">
        <v>1</v>
      </c>
      <c r="NP217">
        <v>103.2825</v>
      </c>
      <c r="NQ217">
        <v>1</v>
      </c>
      <c r="NR217">
        <v>1</v>
      </c>
      <c r="NS217">
        <v>1</v>
      </c>
      <c r="NT217">
        <v>1</v>
      </c>
      <c r="NU217">
        <v>1</v>
      </c>
      <c r="NV217">
        <v>1</v>
      </c>
      <c r="NW217">
        <v>1</v>
      </c>
      <c r="NX217">
        <v>1</v>
      </c>
      <c r="NY217">
        <v>1</v>
      </c>
      <c r="NZ217">
        <v>1</v>
      </c>
      <c r="OA217">
        <v>1</v>
      </c>
      <c r="OB217">
        <v>1</v>
      </c>
      <c r="OC217">
        <v>15.2</v>
      </c>
      <c r="OD217">
        <v>25920.9</v>
      </c>
      <c r="OE217">
        <v>0</v>
      </c>
      <c r="OF217">
        <v>1422.99</v>
      </c>
      <c r="OG217">
        <v>9.1999999999999993</v>
      </c>
      <c r="OH217">
        <v>94.48</v>
      </c>
    </row>
    <row r="218" spans="1:398">
      <c r="A218">
        <v>20</v>
      </c>
      <c r="B218" t="s">
        <v>15</v>
      </c>
      <c r="C218" t="s">
        <v>14</v>
      </c>
      <c r="D218">
        <v>2017</v>
      </c>
      <c r="E218">
        <v>10.78</v>
      </c>
      <c r="F218">
        <v>2.1501000000000001</v>
      </c>
      <c r="G218">
        <v>343</v>
      </c>
      <c r="H218">
        <v>11.5</v>
      </c>
      <c r="I218">
        <v>72.099999999999994</v>
      </c>
      <c r="J218">
        <v>6.5</v>
      </c>
      <c r="K218">
        <v>2.9</v>
      </c>
      <c r="L218">
        <v>1</v>
      </c>
      <c r="M218">
        <v>2.5</v>
      </c>
      <c r="N218">
        <v>4809</v>
      </c>
      <c r="O218">
        <v>1.5</v>
      </c>
      <c r="P218">
        <v>0.89</v>
      </c>
      <c r="Q218">
        <v>5349.62</v>
      </c>
      <c r="R218">
        <v>77.099999999999994</v>
      </c>
      <c r="S218">
        <v>0.26112800000000003</v>
      </c>
      <c r="T218">
        <v>-0.91148490000000004</v>
      </c>
      <c r="U218">
        <v>0.40701379999999998</v>
      </c>
      <c r="V218">
        <v>-1.2373670000000001</v>
      </c>
      <c r="W218">
        <v>-1.485117</v>
      </c>
      <c r="X218">
        <v>-1.520505</v>
      </c>
      <c r="Y218">
        <v>-0.28074130000000003</v>
      </c>
      <c r="Z218">
        <v>-0.62276180000000003</v>
      </c>
      <c r="AA218">
        <v>0.91774979999999995</v>
      </c>
      <c r="AB218">
        <v>0.99811139999999998</v>
      </c>
      <c r="AC218">
        <v>-0.69394020000000001</v>
      </c>
      <c r="AD218">
        <v>-0.20740159999999999</v>
      </c>
      <c r="AE218">
        <v>-0.77149129999999999</v>
      </c>
      <c r="AF218">
        <v>2.05003</v>
      </c>
      <c r="AG218">
        <v>-0.55570160000000002</v>
      </c>
      <c r="AH218">
        <v>-0.101337</v>
      </c>
      <c r="AI218">
        <v>2.3776920000000001</v>
      </c>
      <c r="AJ218">
        <v>0.76551440000000004</v>
      </c>
      <c r="AK218">
        <v>5.8377299999999996</v>
      </c>
      <c r="AL218">
        <v>4.278054</v>
      </c>
      <c r="AM218">
        <v>1.871802</v>
      </c>
      <c r="AN218">
        <v>1.064711</v>
      </c>
      <c r="AO218">
        <v>8.4782449999999994</v>
      </c>
      <c r="AP218">
        <v>-0.11653380000000001</v>
      </c>
      <c r="AQ218">
        <v>8.5847800000000003</v>
      </c>
      <c r="AR218">
        <v>7.2878999999999996</v>
      </c>
      <c r="AS218">
        <v>1.98787</v>
      </c>
      <c r="AT218">
        <v>10.257400000000001</v>
      </c>
      <c r="AU218">
        <v>94.546000000000006</v>
      </c>
      <c r="AV218">
        <v>213.048</v>
      </c>
      <c r="AW218">
        <v>299.82499999999999</v>
      </c>
      <c r="AX218" s="17">
        <v>42000000000</v>
      </c>
      <c r="AY218">
        <v>2.75366</v>
      </c>
      <c r="AZ218">
        <v>0.56000000000000005</v>
      </c>
      <c r="BA218">
        <v>0.40546510000000002</v>
      </c>
      <c r="BB218">
        <v>0.40546510000000002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1.3365499999999999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1.0927000000000001E-3</v>
      </c>
      <c r="CG218">
        <v>0.4004395</v>
      </c>
      <c r="CH218">
        <v>0.164158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-0.56909920000000003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0.16035179999999999</v>
      </c>
      <c r="DI218">
        <v>0.32387389999999999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0.2242461</v>
      </c>
      <c r="DW218">
        <v>-0.31869550000000002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13.95387</v>
      </c>
      <c r="EW218">
        <v>7.1468000000000004E-2</v>
      </c>
      <c r="EX218">
        <v>7.1293499999999996E-2</v>
      </c>
      <c r="EY218">
        <v>7.1535899999999999E-2</v>
      </c>
      <c r="EZ218">
        <v>7.1570900000000007E-2</v>
      </c>
      <c r="FA218">
        <v>7.14476E-2</v>
      </c>
      <c r="FB218">
        <v>7.1412199999999995E-2</v>
      </c>
      <c r="FC218">
        <v>7.1664099999999994E-2</v>
      </c>
      <c r="FD218">
        <v>7.1230600000000005E-2</v>
      </c>
      <c r="FE218">
        <v>7.1234199999999998E-2</v>
      </c>
      <c r="FF218">
        <v>7.1652800000000003E-2</v>
      </c>
      <c r="FG218">
        <v>7.1553599999999995E-2</v>
      </c>
      <c r="FH218">
        <v>7.13897E-2</v>
      </c>
      <c r="FI218">
        <v>7.1487599999999998E-2</v>
      </c>
      <c r="FJ218">
        <v>7.1059300000000006E-2</v>
      </c>
      <c r="FK218">
        <v>0.26065460000000001</v>
      </c>
      <c r="FL218">
        <v>6.7940799999999996E-2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-0.91148490000000004</v>
      </c>
      <c r="FZ218">
        <v>0.40701379999999998</v>
      </c>
      <c r="GA218">
        <v>-1.2373670000000001</v>
      </c>
      <c r="GB218">
        <v>-1.520505</v>
      </c>
      <c r="GC218">
        <v>-0.62276180000000003</v>
      </c>
      <c r="GD218">
        <v>-0.69394020000000001</v>
      </c>
      <c r="GE218">
        <v>-0.55570160000000002</v>
      </c>
      <c r="GF218">
        <v>-0.20740159999999999</v>
      </c>
      <c r="GG218">
        <v>-0.77149129999999999</v>
      </c>
      <c r="GH218">
        <v>-0.79657520000000004</v>
      </c>
      <c r="GI218">
        <v>0.63453199999999998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0.1459666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-0.44608209999999998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105.2141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1</v>
      </c>
      <c r="NZ218">
        <v>1</v>
      </c>
      <c r="OA218">
        <v>1</v>
      </c>
      <c r="OB218">
        <v>1</v>
      </c>
      <c r="OC218">
        <v>15.7</v>
      </c>
      <c r="OD218">
        <v>28492.3</v>
      </c>
      <c r="OE218">
        <v>0</v>
      </c>
      <c r="OF218">
        <v>1462.5</v>
      </c>
      <c r="OG218">
        <v>7.3</v>
      </c>
      <c r="OH218">
        <v>94.546000000000006</v>
      </c>
    </row>
    <row r="219" spans="1:398">
      <c r="A219">
        <v>20</v>
      </c>
      <c r="B219" t="s">
        <v>15</v>
      </c>
      <c r="C219" t="s">
        <v>14</v>
      </c>
      <c r="D219">
        <v>2018</v>
      </c>
      <c r="E219">
        <v>9.9979999999999993</v>
      </c>
      <c r="F219">
        <v>1.9567000000000001</v>
      </c>
      <c r="G219">
        <v>304</v>
      </c>
      <c r="H219">
        <v>10.4</v>
      </c>
      <c r="I219">
        <v>73.599999999999994</v>
      </c>
      <c r="J219">
        <v>8.3000000000000007</v>
      </c>
      <c r="K219">
        <v>0.1</v>
      </c>
      <c r="L219">
        <v>1</v>
      </c>
      <c r="M219">
        <v>2.7</v>
      </c>
      <c r="N219">
        <v>4949</v>
      </c>
      <c r="O219">
        <v>1.75</v>
      </c>
      <c r="P219">
        <v>0.89</v>
      </c>
      <c r="Q219">
        <v>4737.8900000000003</v>
      </c>
      <c r="R219">
        <v>75.099999999999994</v>
      </c>
      <c r="S219">
        <v>0.254778</v>
      </c>
      <c r="T219">
        <v>-1.0064930000000001</v>
      </c>
      <c r="U219">
        <v>0.22139809999999999</v>
      </c>
      <c r="V219">
        <v>-1.5334730000000001</v>
      </c>
      <c r="W219">
        <v>-1.555928</v>
      </c>
      <c r="X219">
        <v>-1.3121560000000001</v>
      </c>
      <c r="Y219">
        <v>7.4944E-3</v>
      </c>
      <c r="Z219">
        <v>-0.62312719999999999</v>
      </c>
      <c r="AA219">
        <v>0.91774979999999995</v>
      </c>
      <c r="AB219">
        <v>1.261965</v>
      </c>
      <c r="AC219">
        <v>-0.69319679999999995</v>
      </c>
      <c r="AD219">
        <v>-0.20740159999999999</v>
      </c>
      <c r="AE219">
        <v>-0.9730299</v>
      </c>
      <c r="AF219">
        <v>1.944674</v>
      </c>
      <c r="AG219">
        <v>-0.54268070000000002</v>
      </c>
      <c r="AH219">
        <v>-0.17059289999999999</v>
      </c>
      <c r="AI219">
        <v>2.3023850000000001</v>
      </c>
      <c r="AJ219">
        <v>0.6712593</v>
      </c>
      <c r="AK219">
        <v>5.717028</v>
      </c>
      <c r="AL219">
        <v>4.2986449999999996</v>
      </c>
      <c r="AM219">
        <v>2.1162559999999999</v>
      </c>
      <c r="AN219">
        <v>-2.3025850000000001</v>
      </c>
      <c r="AO219">
        <v>8.5069409999999994</v>
      </c>
      <c r="AP219">
        <v>-0.11653380000000001</v>
      </c>
      <c r="AQ219">
        <v>8.4633470000000006</v>
      </c>
      <c r="AR219">
        <v>7.3228200000000001</v>
      </c>
      <c r="AS219">
        <v>2.0281500000000001</v>
      </c>
      <c r="AT219">
        <v>10.2919</v>
      </c>
      <c r="AU219">
        <v>94.611999999999995</v>
      </c>
      <c r="AV219">
        <v>228.09800000000001</v>
      </c>
      <c r="AW219">
        <v>452.221</v>
      </c>
      <c r="AX219" s="17">
        <v>73000000000</v>
      </c>
      <c r="AY219">
        <v>2.7725900000000001</v>
      </c>
      <c r="AZ219">
        <v>0.53</v>
      </c>
      <c r="BA219">
        <v>0.5596158</v>
      </c>
      <c r="BB219">
        <v>0.55961578999999995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1.5993599999999999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9.2940000000000004E-4</v>
      </c>
      <c r="CG219">
        <v>0.37143110000000001</v>
      </c>
      <c r="CH219">
        <v>0.16250000000000001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-1.00396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0.1379611</v>
      </c>
      <c r="DI219">
        <v>1.0079359999999999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0.19685849999999999</v>
      </c>
      <c r="DW219">
        <v>-0.53209890000000004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13.95449</v>
      </c>
      <c r="EW219">
        <v>7.1477100000000002E-2</v>
      </c>
      <c r="EX219">
        <v>7.1323499999999998E-2</v>
      </c>
      <c r="EY219">
        <v>7.1578900000000001E-2</v>
      </c>
      <c r="EZ219">
        <v>7.1579799999999999E-2</v>
      </c>
      <c r="FA219">
        <v>7.1432300000000004E-2</v>
      </c>
      <c r="FB219">
        <v>7.1342000000000003E-2</v>
      </c>
      <c r="FC219">
        <v>7.1661500000000003E-2</v>
      </c>
      <c r="FD219">
        <v>7.1229799999999996E-2</v>
      </c>
      <c r="FE219">
        <v>7.1199799999999994E-2</v>
      </c>
      <c r="FF219">
        <v>7.1649199999999996E-2</v>
      </c>
      <c r="FG219">
        <v>7.1545300000000006E-2</v>
      </c>
      <c r="FH219">
        <v>7.1387400000000004E-2</v>
      </c>
      <c r="FI219">
        <v>7.1518300000000007E-2</v>
      </c>
      <c r="FJ219">
        <v>7.1074899999999996E-2</v>
      </c>
      <c r="FK219">
        <v>0.25429859999999999</v>
      </c>
      <c r="FL219">
        <v>6.4667799999999998E-2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-1.0064930000000001</v>
      </c>
      <c r="FZ219">
        <v>0.22139809999999999</v>
      </c>
      <c r="GA219">
        <v>-1.5334730000000001</v>
      </c>
      <c r="GB219">
        <v>-1.3121560000000001</v>
      </c>
      <c r="GC219">
        <v>-0.62312719999999999</v>
      </c>
      <c r="GD219">
        <v>-0.69319679999999995</v>
      </c>
      <c r="GE219">
        <v>-0.54268070000000002</v>
      </c>
      <c r="GF219">
        <v>-0.20740159999999999</v>
      </c>
      <c r="GG219">
        <v>-0.9730299</v>
      </c>
      <c r="GH219">
        <v>-0.86733870000000002</v>
      </c>
      <c r="GI219">
        <v>0.75227639999999996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0.13477829999999999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-0.45968949999999997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105.923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1</v>
      </c>
      <c r="NZ219">
        <v>1</v>
      </c>
      <c r="OA219">
        <v>1</v>
      </c>
      <c r="OB219">
        <v>1</v>
      </c>
      <c r="OC219">
        <v>16</v>
      </c>
      <c r="OD219">
        <v>29492.6</v>
      </c>
      <c r="OE219">
        <v>0</v>
      </c>
      <c r="OF219">
        <v>1514.47</v>
      </c>
      <c r="OG219">
        <v>7.6</v>
      </c>
      <c r="OH219">
        <v>94.611999999999995</v>
      </c>
    </row>
    <row r="220" spans="1:398">
      <c r="A220">
        <v>20</v>
      </c>
      <c r="B220" t="s">
        <v>15</v>
      </c>
      <c r="C220" t="s">
        <v>14</v>
      </c>
      <c r="D220">
        <v>2019</v>
      </c>
      <c r="E220">
        <v>10.988</v>
      </c>
      <c r="F220">
        <v>2.2004000000000001</v>
      </c>
      <c r="G220">
        <v>318</v>
      </c>
      <c r="H220">
        <v>9.1</v>
      </c>
      <c r="I220">
        <v>59.8</v>
      </c>
      <c r="J220">
        <v>12.8</v>
      </c>
      <c r="K220">
        <v>0.3</v>
      </c>
      <c r="L220">
        <v>1</v>
      </c>
      <c r="M220">
        <v>2.9</v>
      </c>
      <c r="N220">
        <v>5029</v>
      </c>
      <c r="O220">
        <v>2</v>
      </c>
      <c r="P220">
        <v>0.91</v>
      </c>
      <c r="Q220">
        <v>12672.8</v>
      </c>
      <c r="R220">
        <v>70.099999999999994</v>
      </c>
      <c r="S220">
        <v>0.29954500000000001</v>
      </c>
      <c r="T220">
        <v>-0.88621399999999995</v>
      </c>
      <c r="U220">
        <v>0.45528940000000001</v>
      </c>
      <c r="V220">
        <v>-1.427179</v>
      </c>
      <c r="W220">
        <v>-1.6396120000000001</v>
      </c>
      <c r="X220">
        <v>-3.2289690000000002</v>
      </c>
      <c r="Y220">
        <v>0.72808360000000005</v>
      </c>
      <c r="Z220">
        <v>-0.62310109999999996</v>
      </c>
      <c r="AA220">
        <v>0.91774979999999995</v>
      </c>
      <c r="AB220">
        <v>1.5258179999999999</v>
      </c>
      <c r="AC220">
        <v>-0.69277200000000005</v>
      </c>
      <c r="AD220">
        <v>-0.109393</v>
      </c>
      <c r="AE220">
        <v>1.641194</v>
      </c>
      <c r="AF220">
        <v>1.6812830000000001</v>
      </c>
      <c r="AG220">
        <v>-0.52965989999999996</v>
      </c>
      <c r="AH220">
        <v>0.56146370000000001</v>
      </c>
      <c r="AI220">
        <v>2.3968039999999999</v>
      </c>
      <c r="AJ220">
        <v>0.78863919999999998</v>
      </c>
      <c r="AK220">
        <v>5.7620519999999997</v>
      </c>
      <c r="AL220">
        <v>4.0910060000000001</v>
      </c>
      <c r="AM220">
        <v>2.549445</v>
      </c>
      <c r="AN220">
        <v>-1.203973</v>
      </c>
      <c r="AO220">
        <v>8.5229769999999991</v>
      </c>
      <c r="AP220">
        <v>-9.4310599999999994E-2</v>
      </c>
      <c r="AQ220">
        <v>9.4472109999999994</v>
      </c>
      <c r="AR220">
        <v>7.3621299999999996</v>
      </c>
      <c r="AS220">
        <v>2.0014799999999999</v>
      </c>
      <c r="AT220">
        <v>10.2926</v>
      </c>
      <c r="AU220">
        <v>94.677999999999997</v>
      </c>
      <c r="AV220">
        <v>233.071</v>
      </c>
      <c r="AW220">
        <v>198.2</v>
      </c>
      <c r="AX220" s="17">
        <v>32000000000</v>
      </c>
      <c r="AY220">
        <v>2.82138</v>
      </c>
      <c r="AZ220">
        <v>0.52</v>
      </c>
      <c r="BA220">
        <v>0.69314719999999996</v>
      </c>
      <c r="BB220">
        <v>0.69314717999999997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1.8621700000000001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7.3709999999999997E-4</v>
      </c>
      <c r="CG220">
        <v>0.41860360000000002</v>
      </c>
      <c r="CH220">
        <v>0.20266600000000001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-0.18588160000000001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0.175229</v>
      </c>
      <c r="DI220">
        <v>3.4551999999999999E-2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0.2176739</v>
      </c>
      <c r="DW220">
        <v>-9.6658400000000005E-2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13.948230000000001</v>
      </c>
      <c r="EW220">
        <v>7.1494600000000005E-2</v>
      </c>
      <c r="EX220">
        <v>7.1317599999999995E-2</v>
      </c>
      <c r="EY220">
        <v>7.1594099999999994E-2</v>
      </c>
      <c r="EZ220">
        <v>7.1626700000000001E-2</v>
      </c>
      <c r="FA220">
        <v>7.1589899999999998E-2</v>
      </c>
      <c r="FB220">
        <v>7.1222300000000002E-2</v>
      </c>
      <c r="FC220">
        <v>7.1693599999999996E-2</v>
      </c>
      <c r="FD220">
        <v>7.1264099999999997E-2</v>
      </c>
      <c r="FE220">
        <v>7.1202000000000001E-2</v>
      </c>
      <c r="FF220">
        <v>7.1681099999999998E-2</v>
      </c>
      <c r="FG220">
        <v>7.1572399999999994E-2</v>
      </c>
      <c r="FH220">
        <v>7.1407700000000005E-2</v>
      </c>
      <c r="FI220">
        <v>7.1187799999999996E-2</v>
      </c>
      <c r="FJ220">
        <v>7.1146000000000001E-2</v>
      </c>
      <c r="FK220">
        <v>0.29892210000000002</v>
      </c>
      <c r="FL220">
        <v>8.93544E-2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-0.88621399999999995</v>
      </c>
      <c r="FZ220">
        <v>0.45528940000000001</v>
      </c>
      <c r="GA220">
        <v>-1.427179</v>
      </c>
      <c r="GB220">
        <v>-3.2289690000000002</v>
      </c>
      <c r="GC220">
        <v>-0.62310109999999996</v>
      </c>
      <c r="GD220">
        <v>-0.69277200000000005</v>
      </c>
      <c r="GE220">
        <v>-0.52965989999999996</v>
      </c>
      <c r="GF220">
        <v>-0.109393</v>
      </c>
      <c r="GG220">
        <v>1.641194</v>
      </c>
      <c r="GH220">
        <v>0.22758990000000001</v>
      </c>
      <c r="GI220">
        <v>5.1797200000000002E-2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0.15543950000000001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0.1183468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1</v>
      </c>
      <c r="LW220">
        <v>1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1</v>
      </c>
      <c r="MG220">
        <v>1</v>
      </c>
      <c r="MH220">
        <v>1</v>
      </c>
      <c r="MI220">
        <v>1</v>
      </c>
      <c r="MJ220">
        <v>1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1</v>
      </c>
      <c r="MX220">
        <v>1</v>
      </c>
      <c r="MY220">
        <v>1</v>
      </c>
      <c r="MZ220">
        <v>1</v>
      </c>
      <c r="NA220">
        <v>1</v>
      </c>
      <c r="NB220">
        <v>1</v>
      </c>
      <c r="NC220">
        <v>1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  <c r="NN220">
        <v>1</v>
      </c>
      <c r="NO220">
        <v>1</v>
      </c>
      <c r="NP220">
        <v>105.938</v>
      </c>
      <c r="NQ220">
        <v>1</v>
      </c>
      <c r="NR220">
        <v>1</v>
      </c>
      <c r="NS220">
        <v>1</v>
      </c>
      <c r="NT220">
        <v>1</v>
      </c>
      <c r="NU220">
        <v>1</v>
      </c>
      <c r="NV220">
        <v>1</v>
      </c>
      <c r="NW220">
        <v>1</v>
      </c>
      <c r="NX220">
        <v>1</v>
      </c>
      <c r="NY220">
        <v>1</v>
      </c>
      <c r="NZ220">
        <v>1</v>
      </c>
      <c r="OA220">
        <v>1</v>
      </c>
      <c r="OB220">
        <v>1</v>
      </c>
      <c r="OC220">
        <v>16.8</v>
      </c>
      <c r="OD220">
        <v>29513.9</v>
      </c>
      <c r="OE220">
        <v>0</v>
      </c>
      <c r="OF220">
        <v>1575.19</v>
      </c>
      <c r="OG220">
        <v>7.4</v>
      </c>
      <c r="OH220">
        <v>94.677999999999997</v>
      </c>
    </row>
    <row r="221" spans="1:398">
      <c r="A221">
        <v>20</v>
      </c>
      <c r="B221" t="s">
        <v>15</v>
      </c>
      <c r="C221" t="s">
        <v>14</v>
      </c>
      <c r="D221">
        <v>2020</v>
      </c>
      <c r="E221">
        <v>11.098000000000001</v>
      </c>
      <c r="F221">
        <v>1.8367</v>
      </c>
      <c r="G221">
        <v>320</v>
      </c>
      <c r="H221">
        <v>10.9</v>
      </c>
      <c r="I221">
        <v>58.3</v>
      </c>
      <c r="J221">
        <v>16.5</v>
      </c>
      <c r="K221">
        <v>0.2</v>
      </c>
      <c r="L221">
        <v>1.2</v>
      </c>
      <c r="M221">
        <v>3</v>
      </c>
      <c r="N221">
        <v>4857</v>
      </c>
      <c r="O221">
        <v>2.25</v>
      </c>
      <c r="P221">
        <v>0.91</v>
      </c>
      <c r="Q221">
        <v>12579.8</v>
      </c>
      <c r="R221">
        <v>69.3</v>
      </c>
      <c r="S221">
        <v>0.31099399999999999</v>
      </c>
      <c r="T221">
        <v>-0.87284969999999995</v>
      </c>
      <c r="U221">
        <v>0.10622810000000001</v>
      </c>
      <c r="V221">
        <v>-1.411994</v>
      </c>
      <c r="W221">
        <v>-1.523741</v>
      </c>
      <c r="X221">
        <v>-3.4373179999999999</v>
      </c>
      <c r="Y221">
        <v>1.320568</v>
      </c>
      <c r="Z221">
        <v>-0.6231141</v>
      </c>
      <c r="AA221">
        <v>1.474019</v>
      </c>
      <c r="AB221">
        <v>1.6577440000000001</v>
      </c>
      <c r="AC221">
        <v>-0.69368540000000001</v>
      </c>
      <c r="AD221">
        <v>-0.109393</v>
      </c>
      <c r="AE221">
        <v>1.6105560000000001</v>
      </c>
      <c r="AF221">
        <v>1.639141</v>
      </c>
      <c r="AG221">
        <v>-0.51663910000000002</v>
      </c>
      <c r="AH221">
        <v>0.85274930000000004</v>
      </c>
      <c r="AI221">
        <v>2.406765</v>
      </c>
      <c r="AJ221">
        <v>0.60797049999999997</v>
      </c>
      <c r="AK221">
        <v>5.7683210000000003</v>
      </c>
      <c r="AL221">
        <v>4.0656020000000002</v>
      </c>
      <c r="AM221">
        <v>2.8033600000000001</v>
      </c>
      <c r="AN221">
        <v>-1.6094379999999999</v>
      </c>
      <c r="AO221">
        <v>8.4881759999999993</v>
      </c>
      <c r="AP221">
        <v>-9.4310599999999994E-2</v>
      </c>
      <c r="AQ221">
        <v>9.4398459999999993</v>
      </c>
      <c r="AR221">
        <v>7.3842400000000001</v>
      </c>
      <c r="AS221">
        <v>2.2191999999999998</v>
      </c>
      <c r="AT221">
        <v>10.235099999999999</v>
      </c>
      <c r="AU221">
        <v>94.744</v>
      </c>
      <c r="AV221">
        <v>256.88799999999998</v>
      </c>
      <c r="AW221">
        <v>192.14099999999999</v>
      </c>
      <c r="AX221" s="17">
        <v>31000000000</v>
      </c>
      <c r="AY221">
        <v>2.84491</v>
      </c>
      <c r="AZ221">
        <v>0.53</v>
      </c>
      <c r="BA221">
        <v>0.81093020000000005</v>
      </c>
      <c r="BB221">
        <v>0.81093019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2.1249699999999998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1.0013999999999999E-3</v>
      </c>
      <c r="CG221">
        <v>0.42903920000000001</v>
      </c>
      <c r="CH221">
        <v>0.21477499999999999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0.12352879999999999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0.1840746</v>
      </c>
      <c r="DI221">
        <v>1.5259399999999999E-2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0.2273907</v>
      </c>
      <c r="DW221">
        <v>6.5470299999999995E-2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13.946440000000001</v>
      </c>
      <c r="EW221">
        <v>7.1502599999999999E-2</v>
      </c>
      <c r="EX221">
        <v>7.1387400000000004E-2</v>
      </c>
      <c r="EY221">
        <v>7.1600999999999998E-2</v>
      </c>
      <c r="EZ221">
        <v>7.1615799999999993E-2</v>
      </c>
      <c r="FA221">
        <v>7.1614499999999998E-2</v>
      </c>
      <c r="FB221">
        <v>7.1121100000000007E-2</v>
      </c>
      <c r="FC221">
        <v>7.17029E-2</v>
      </c>
      <c r="FD221">
        <v>7.1202299999999996E-2</v>
      </c>
      <c r="FE221">
        <v>7.1198399999999995E-2</v>
      </c>
      <c r="FF221">
        <v>7.1690900000000002E-2</v>
      </c>
      <c r="FG221">
        <v>7.1576699999999993E-2</v>
      </c>
      <c r="FH221">
        <v>7.1417800000000004E-2</v>
      </c>
      <c r="FI221">
        <v>7.1203900000000001E-2</v>
      </c>
      <c r="FJ221">
        <v>7.1164699999999997E-2</v>
      </c>
      <c r="FK221">
        <v>0.31030869999999999</v>
      </c>
      <c r="FL221">
        <v>9.6291500000000002E-2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-0.87284969999999995</v>
      </c>
      <c r="FZ221">
        <v>0.10622810000000001</v>
      </c>
      <c r="GA221">
        <v>-1.411994</v>
      </c>
      <c r="GB221">
        <v>-3.4373179999999999</v>
      </c>
      <c r="GC221">
        <v>-0.6231141</v>
      </c>
      <c r="GD221">
        <v>-0.69368540000000001</v>
      </c>
      <c r="GE221">
        <v>-0.51663910000000002</v>
      </c>
      <c r="GF221">
        <v>-0.109393</v>
      </c>
      <c r="GG221">
        <v>1.6105560000000001</v>
      </c>
      <c r="GH221">
        <v>0.66117840000000005</v>
      </c>
      <c r="GI221">
        <v>0.43715690000000001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0.16446359999999999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0.35042450000000003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H221">
        <v>1</v>
      </c>
      <c r="KI221">
        <v>1</v>
      </c>
      <c r="KJ221">
        <v>1</v>
      </c>
      <c r="KK221">
        <v>1</v>
      </c>
      <c r="KL221">
        <v>1</v>
      </c>
      <c r="KM221">
        <v>1</v>
      </c>
      <c r="KN221">
        <v>1</v>
      </c>
      <c r="KO221">
        <v>1</v>
      </c>
      <c r="KP221">
        <v>1</v>
      </c>
      <c r="KQ221">
        <v>1</v>
      </c>
      <c r="KR221">
        <v>1</v>
      </c>
      <c r="KS221">
        <v>1</v>
      </c>
      <c r="KT221">
        <v>1</v>
      </c>
      <c r="KU221">
        <v>1</v>
      </c>
      <c r="KV221">
        <v>1</v>
      </c>
      <c r="KW221">
        <v>1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1</v>
      </c>
      <c r="LJ221">
        <v>1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1</v>
      </c>
      <c r="LR221">
        <v>1</v>
      </c>
      <c r="LS221">
        <v>1</v>
      </c>
      <c r="LT221">
        <v>1</v>
      </c>
      <c r="LU221">
        <v>1</v>
      </c>
      <c r="LV221">
        <v>1</v>
      </c>
      <c r="LW221">
        <v>1</v>
      </c>
      <c r="LX221">
        <v>1</v>
      </c>
      <c r="LY221">
        <v>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1</v>
      </c>
      <c r="MJ221">
        <v>1</v>
      </c>
      <c r="MK221">
        <v>1</v>
      </c>
      <c r="ML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1</v>
      </c>
      <c r="MV221">
        <v>1</v>
      </c>
      <c r="MW221">
        <v>1</v>
      </c>
      <c r="MX221">
        <v>1</v>
      </c>
      <c r="MY221">
        <v>1</v>
      </c>
      <c r="MZ221">
        <v>1</v>
      </c>
      <c r="NA221">
        <v>1</v>
      </c>
      <c r="NB221">
        <v>1</v>
      </c>
      <c r="NC221">
        <v>1</v>
      </c>
      <c r="ND221">
        <v>1</v>
      </c>
      <c r="NE221">
        <v>1</v>
      </c>
      <c r="NF221">
        <v>1</v>
      </c>
      <c r="NG221">
        <v>1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  <c r="NN221">
        <v>1</v>
      </c>
      <c r="NO221">
        <v>1</v>
      </c>
      <c r="NP221">
        <v>104.7581</v>
      </c>
      <c r="NQ221">
        <v>1</v>
      </c>
      <c r="NR221">
        <v>1</v>
      </c>
      <c r="NS221">
        <v>1</v>
      </c>
      <c r="NT221">
        <v>1</v>
      </c>
      <c r="NU221">
        <v>1</v>
      </c>
      <c r="NV221">
        <v>1</v>
      </c>
      <c r="NW221">
        <v>1</v>
      </c>
      <c r="NX221">
        <v>1</v>
      </c>
      <c r="NY221">
        <v>1</v>
      </c>
      <c r="NZ221">
        <v>1</v>
      </c>
      <c r="OA221">
        <v>1</v>
      </c>
      <c r="OB221">
        <v>1</v>
      </c>
      <c r="OC221">
        <v>17.2</v>
      </c>
      <c r="OD221">
        <v>27865.3</v>
      </c>
      <c r="OE221">
        <v>0</v>
      </c>
      <c r="OF221">
        <v>1610.41</v>
      </c>
      <c r="OG221">
        <v>9.1999999999999993</v>
      </c>
      <c r="OH221">
        <v>94.744</v>
      </c>
    </row>
    <row r="222" spans="1:398">
      <c r="A222">
        <v>21</v>
      </c>
      <c r="B222" t="s">
        <v>13</v>
      </c>
      <c r="C222" t="s">
        <v>12</v>
      </c>
      <c r="D222">
        <v>2010</v>
      </c>
      <c r="E222">
        <v>11.702</v>
      </c>
      <c r="F222">
        <v>3.5455000000000001</v>
      </c>
      <c r="G222">
        <v>410</v>
      </c>
      <c r="H222">
        <v>49.2</v>
      </c>
      <c r="I222">
        <v>79.900000000000006</v>
      </c>
      <c r="J222">
        <v>25.5</v>
      </c>
      <c r="K222">
        <v>19598.2</v>
      </c>
      <c r="L222">
        <v>0.7</v>
      </c>
      <c r="M222">
        <v>1.1000000000000001</v>
      </c>
      <c r="N222">
        <v>97728</v>
      </c>
      <c r="O222">
        <v>11.38</v>
      </c>
      <c r="P222">
        <v>1.02</v>
      </c>
      <c r="Q222">
        <v>10571</v>
      </c>
      <c r="R222">
        <v>72.3</v>
      </c>
      <c r="S222">
        <v>0.44572699999999998</v>
      </c>
      <c r="T222">
        <v>-0.79946709999999999</v>
      </c>
      <c r="U222">
        <v>1.7462489999999999</v>
      </c>
      <c r="V222">
        <v>-0.72867219999999999</v>
      </c>
      <c r="W222">
        <v>0.94174080000000004</v>
      </c>
      <c r="X222">
        <v>-0.4370888</v>
      </c>
      <c r="Y222">
        <v>2.761746</v>
      </c>
      <c r="Z222">
        <v>1.9342509999999999</v>
      </c>
      <c r="AA222">
        <v>8.3346600000000007E-2</v>
      </c>
      <c r="AB222">
        <v>-0.84886099999999998</v>
      </c>
      <c r="AC222">
        <v>-0.20054259999999999</v>
      </c>
      <c r="AD222">
        <v>0.4296527</v>
      </c>
      <c r="AE222">
        <v>0.94874930000000002</v>
      </c>
      <c r="AF222">
        <v>1.797175</v>
      </c>
      <c r="AG222">
        <v>-4.1119200000000002E-2</v>
      </c>
      <c r="AH222">
        <v>3.659497</v>
      </c>
      <c r="AI222">
        <v>2.4597600000000002</v>
      </c>
      <c r="AJ222">
        <v>1.265679</v>
      </c>
      <c r="AK222">
        <v>6.0161569999999998</v>
      </c>
      <c r="AL222">
        <v>4.380776</v>
      </c>
      <c r="AM222">
        <v>3.2386780000000002</v>
      </c>
      <c r="AN222">
        <v>9.8831930000000003</v>
      </c>
      <c r="AO222">
        <v>11.489940000000001</v>
      </c>
      <c r="AP222">
        <v>1.98026E-2</v>
      </c>
      <c r="AQ222">
        <v>9.2658710000000006</v>
      </c>
      <c r="AR222">
        <v>6.1997</v>
      </c>
      <c r="AS222">
        <v>1.3609800000000001</v>
      </c>
      <c r="AT222">
        <v>10.706799999999999</v>
      </c>
      <c r="AU222">
        <v>87.134</v>
      </c>
      <c r="AV222">
        <v>130.08199999999999</v>
      </c>
      <c r="AW222">
        <v>6.2507599999999996</v>
      </c>
      <c r="AX222" s="17">
        <v>53000000000</v>
      </c>
      <c r="AY222">
        <v>3.21888</v>
      </c>
      <c r="AZ222">
        <v>0.81</v>
      </c>
      <c r="BA222">
        <v>2.4318569999999999</v>
      </c>
      <c r="BB222">
        <v>2.4318572999999999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-0.385662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6.5978E-3</v>
      </c>
      <c r="CG222">
        <v>0.6197665</v>
      </c>
      <c r="CH222">
        <v>0.416686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3.7074159999999998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0.38411060000000002</v>
      </c>
      <c r="DI222">
        <v>13.74493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0.50201090000000004</v>
      </c>
      <c r="DW222">
        <v>3.0030070000000002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13.917680000000001</v>
      </c>
      <c r="EW222">
        <v>7.1641800000000005E-2</v>
      </c>
      <c r="EX222">
        <v>7.1280800000000005E-2</v>
      </c>
      <c r="EY222">
        <v>7.1650800000000001E-2</v>
      </c>
      <c r="EZ222">
        <v>7.1432999999999996E-2</v>
      </c>
      <c r="FA222">
        <v>7.1571200000000001E-2</v>
      </c>
      <c r="FB222">
        <v>7.1028099999999997E-2</v>
      </c>
      <c r="FC222">
        <v>7.0742600000000003E-2</v>
      </c>
      <c r="FD222">
        <v>7.1543899999999994E-2</v>
      </c>
      <c r="FE222">
        <v>7.1693800000000002E-2</v>
      </c>
      <c r="FF222">
        <v>7.1624800000000002E-2</v>
      </c>
      <c r="FG222">
        <v>7.1559600000000001E-2</v>
      </c>
      <c r="FH222">
        <v>7.1499599999999996E-2</v>
      </c>
      <c r="FI222">
        <v>7.1435200000000004E-2</v>
      </c>
      <c r="FJ222">
        <v>7.1294899999999994E-2</v>
      </c>
      <c r="FK222">
        <v>0.44514920000000002</v>
      </c>
      <c r="FL222">
        <v>0.1981578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-0.79946709999999999</v>
      </c>
      <c r="FZ222">
        <v>1.7462489999999999</v>
      </c>
      <c r="GA222">
        <v>-0.72867219999999999</v>
      </c>
      <c r="GB222">
        <v>-0.4370888</v>
      </c>
      <c r="GC222">
        <v>1.9342509999999999</v>
      </c>
      <c r="GD222">
        <v>-0.20054259999999999</v>
      </c>
      <c r="GE222">
        <v>-4.1119200000000002E-2</v>
      </c>
      <c r="GF222">
        <v>0.4296527</v>
      </c>
      <c r="GG222">
        <v>0.94874930000000002</v>
      </c>
      <c r="GH222">
        <v>4.7269220000000001</v>
      </c>
      <c r="GI222">
        <v>22.343789999999998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0.36057090000000003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3.8288060000000002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R222">
        <v>1</v>
      </c>
      <c r="IS222">
        <v>1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1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H222">
        <v>1</v>
      </c>
      <c r="KI222">
        <v>1</v>
      </c>
      <c r="KJ222">
        <v>1</v>
      </c>
      <c r="KK222">
        <v>1</v>
      </c>
      <c r="KL222">
        <v>1</v>
      </c>
      <c r="KM222">
        <v>1</v>
      </c>
      <c r="KN222">
        <v>1</v>
      </c>
      <c r="KO222">
        <v>1</v>
      </c>
      <c r="KP222">
        <v>1</v>
      </c>
      <c r="KQ222">
        <v>1</v>
      </c>
      <c r="KR222">
        <v>1</v>
      </c>
      <c r="KS222">
        <v>1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1</v>
      </c>
      <c r="LF222">
        <v>1</v>
      </c>
      <c r="LG222">
        <v>1</v>
      </c>
      <c r="LH222">
        <v>1</v>
      </c>
      <c r="LI222">
        <v>1</v>
      </c>
      <c r="LJ222">
        <v>1</v>
      </c>
      <c r="LK222">
        <v>1</v>
      </c>
      <c r="LL222">
        <v>1</v>
      </c>
      <c r="LM222">
        <v>1</v>
      </c>
      <c r="LN222">
        <v>1</v>
      </c>
      <c r="LO222">
        <v>1</v>
      </c>
      <c r="LP222">
        <v>1</v>
      </c>
      <c r="LQ222">
        <v>1</v>
      </c>
      <c r="LR222">
        <v>1</v>
      </c>
      <c r="LS222">
        <v>1</v>
      </c>
      <c r="LT222">
        <v>1</v>
      </c>
      <c r="LU222">
        <v>1</v>
      </c>
      <c r="LV222">
        <v>1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1</v>
      </c>
      <c r="MF222">
        <v>1</v>
      </c>
      <c r="MG222">
        <v>1</v>
      </c>
      <c r="MH222">
        <v>1</v>
      </c>
      <c r="MI222">
        <v>1</v>
      </c>
      <c r="MJ222">
        <v>1</v>
      </c>
      <c r="MK222">
        <v>1</v>
      </c>
      <c r="ML222">
        <v>1</v>
      </c>
      <c r="MM222">
        <v>1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1</v>
      </c>
      <c r="MW222">
        <v>1</v>
      </c>
      <c r="MX222">
        <v>1</v>
      </c>
      <c r="MY222">
        <v>1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1</v>
      </c>
      <c r="NF222">
        <v>1</v>
      </c>
      <c r="NG222">
        <v>1</v>
      </c>
      <c r="NH222">
        <v>1</v>
      </c>
      <c r="NI222">
        <v>1</v>
      </c>
      <c r="NJ222">
        <v>1</v>
      </c>
      <c r="NK222">
        <v>1</v>
      </c>
      <c r="NL222">
        <v>1</v>
      </c>
      <c r="NM222">
        <v>1</v>
      </c>
      <c r="NN222">
        <v>1</v>
      </c>
      <c r="NO222">
        <v>1</v>
      </c>
      <c r="NP222">
        <v>114.636</v>
      </c>
      <c r="NQ222">
        <v>1</v>
      </c>
      <c r="NR222">
        <v>1</v>
      </c>
      <c r="NS222">
        <v>1</v>
      </c>
      <c r="NT222">
        <v>1</v>
      </c>
      <c r="NU222">
        <v>1</v>
      </c>
      <c r="NV222">
        <v>1</v>
      </c>
      <c r="NW222">
        <v>1</v>
      </c>
      <c r="NX222">
        <v>1</v>
      </c>
      <c r="NY222">
        <v>1</v>
      </c>
      <c r="NZ222">
        <v>1</v>
      </c>
      <c r="OA222">
        <v>1</v>
      </c>
      <c r="OB222">
        <v>1</v>
      </c>
      <c r="OC222">
        <v>25</v>
      </c>
      <c r="OD222">
        <v>44659.3</v>
      </c>
      <c r="OE222">
        <v>0.68</v>
      </c>
      <c r="OF222">
        <v>492.6</v>
      </c>
      <c r="OG222">
        <v>3.9</v>
      </c>
      <c r="OH222">
        <v>87.134</v>
      </c>
    </row>
    <row r="223" spans="1:398">
      <c r="A223">
        <v>21</v>
      </c>
      <c r="B223" t="s">
        <v>13</v>
      </c>
      <c r="C223" t="s">
        <v>12</v>
      </c>
      <c r="D223">
        <v>2011</v>
      </c>
      <c r="E223">
        <v>11.914999999999999</v>
      </c>
      <c r="F223">
        <v>3.6305999999999998</v>
      </c>
      <c r="G223">
        <v>411</v>
      </c>
      <c r="H223">
        <v>49.1</v>
      </c>
      <c r="I223">
        <v>81.8</v>
      </c>
      <c r="J223">
        <v>25</v>
      </c>
      <c r="K223">
        <v>22106.2</v>
      </c>
      <c r="L223">
        <v>0.7</v>
      </c>
      <c r="M223">
        <v>1.1000000000000001</v>
      </c>
      <c r="N223">
        <v>98805</v>
      </c>
      <c r="O223">
        <v>18.52</v>
      </c>
      <c r="P223">
        <v>1.04</v>
      </c>
      <c r="Q223">
        <v>10516</v>
      </c>
      <c r="R223">
        <v>72.5</v>
      </c>
      <c r="S223">
        <v>0.45850600000000002</v>
      </c>
      <c r="T223">
        <v>-0.77358870000000002</v>
      </c>
      <c r="U223">
        <v>1.8279240000000001</v>
      </c>
      <c r="V223">
        <v>-0.72107969999999999</v>
      </c>
      <c r="W223">
        <v>0.93530329999999995</v>
      </c>
      <c r="X223">
        <v>-0.17317959999999999</v>
      </c>
      <c r="Y223">
        <v>2.6816810000000002</v>
      </c>
      <c r="Z223">
        <v>2.2615229999999999</v>
      </c>
      <c r="AA223">
        <v>8.3346600000000007E-2</v>
      </c>
      <c r="AB223">
        <v>-0.84886099999999998</v>
      </c>
      <c r="AC223">
        <v>-0.19482369999999999</v>
      </c>
      <c r="AD223">
        <v>0.52766089999999999</v>
      </c>
      <c r="AE223">
        <v>0.93061780000000005</v>
      </c>
      <c r="AF223">
        <v>1.8077110000000001</v>
      </c>
      <c r="AG223">
        <v>0.33075520000000003</v>
      </c>
      <c r="AH223">
        <v>3.870546</v>
      </c>
      <c r="AI223">
        <v>2.4777979999999999</v>
      </c>
      <c r="AJ223">
        <v>1.289398</v>
      </c>
      <c r="AK223">
        <v>6.0185930000000001</v>
      </c>
      <c r="AL223">
        <v>4.4042770000000004</v>
      </c>
      <c r="AM223">
        <v>3.2188759999999998</v>
      </c>
      <c r="AN223">
        <v>10.00361</v>
      </c>
      <c r="AO223">
        <v>11.5009</v>
      </c>
      <c r="AP223">
        <v>3.9220699999999997E-2</v>
      </c>
      <c r="AQ223">
        <v>9.2606520000000003</v>
      </c>
      <c r="AR223">
        <v>6.2046599999999996</v>
      </c>
      <c r="AS223">
        <v>1.54756</v>
      </c>
      <c r="AT223">
        <v>10.7197</v>
      </c>
      <c r="AU223">
        <v>87.879000000000005</v>
      </c>
      <c r="AV223">
        <v>141.75700000000001</v>
      </c>
      <c r="AW223">
        <v>38.813299999999998</v>
      </c>
      <c r="AX223" s="17">
        <v>350000000000</v>
      </c>
      <c r="AY223">
        <v>3.23868</v>
      </c>
      <c r="AZ223">
        <v>0.78</v>
      </c>
      <c r="BA223">
        <v>2.9188510000000001</v>
      </c>
      <c r="BB223">
        <v>2.9188510999999999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0.10435999999999999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6.5401000000000001E-3</v>
      </c>
      <c r="CG223">
        <v>0.62556639999999997</v>
      </c>
      <c r="CH223">
        <v>0.439753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3.7755770000000002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0.3913333</v>
      </c>
      <c r="DI223">
        <v>14.25498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0.48794179999999998</v>
      </c>
      <c r="DW223">
        <v>2.94495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13.915010000000001</v>
      </c>
      <c r="EW223">
        <v>7.1652900000000005E-2</v>
      </c>
      <c r="EX223">
        <v>7.1287299999999998E-2</v>
      </c>
      <c r="EY223">
        <v>7.1664000000000005E-2</v>
      </c>
      <c r="EZ223">
        <v>7.1449600000000002E-2</v>
      </c>
      <c r="FA223">
        <v>7.1570999999999996E-2</v>
      </c>
      <c r="FB223">
        <v>7.1064000000000002E-2</v>
      </c>
      <c r="FC223">
        <v>7.0677000000000004E-2</v>
      </c>
      <c r="FD223">
        <v>7.1558800000000006E-2</v>
      </c>
      <c r="FE223">
        <v>7.1707800000000002E-2</v>
      </c>
      <c r="FF223">
        <v>7.1637000000000006E-2</v>
      </c>
      <c r="FG223">
        <v>7.1462800000000007E-2</v>
      </c>
      <c r="FH223">
        <v>7.15031E-2</v>
      </c>
      <c r="FI223">
        <v>7.1453299999999997E-2</v>
      </c>
      <c r="FJ223">
        <v>7.1311299999999994E-2</v>
      </c>
      <c r="FK223">
        <v>0.45793820000000002</v>
      </c>
      <c r="FL223">
        <v>0.20970739999999999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-0.77358870000000002</v>
      </c>
      <c r="FZ223">
        <v>1.8279240000000001</v>
      </c>
      <c r="GA223">
        <v>-0.72107969999999999</v>
      </c>
      <c r="GB223">
        <v>-0.17317959999999999</v>
      </c>
      <c r="GC223">
        <v>2.2615229999999999</v>
      </c>
      <c r="GD223">
        <v>-0.19482369999999999</v>
      </c>
      <c r="GE223">
        <v>0.33075520000000003</v>
      </c>
      <c r="GF223">
        <v>0.52766089999999999</v>
      </c>
      <c r="GG223">
        <v>0.93061780000000005</v>
      </c>
      <c r="GH223">
        <v>5.0464989999999998</v>
      </c>
      <c r="GI223">
        <v>25.46716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0.3571917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3.9362689999999998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1</v>
      </c>
      <c r="KN223">
        <v>1</v>
      </c>
      <c r="KO223">
        <v>1</v>
      </c>
      <c r="KP223">
        <v>1</v>
      </c>
      <c r="KQ223">
        <v>1</v>
      </c>
      <c r="KR223">
        <v>1</v>
      </c>
      <c r="KS223">
        <v>1</v>
      </c>
      <c r="KT223">
        <v>1</v>
      </c>
      <c r="KU223">
        <v>1</v>
      </c>
      <c r="KV223">
        <v>1</v>
      </c>
      <c r="KW223">
        <v>1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1</v>
      </c>
      <c r="LG223">
        <v>1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  <c r="MX223">
        <v>1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1</v>
      </c>
      <c r="NG223">
        <v>1</v>
      </c>
      <c r="NH223">
        <v>1</v>
      </c>
      <c r="NI223">
        <v>1</v>
      </c>
      <c r="NJ223">
        <v>1</v>
      </c>
      <c r="NK223">
        <v>1</v>
      </c>
      <c r="NL223">
        <v>1</v>
      </c>
      <c r="NM223">
        <v>1</v>
      </c>
      <c r="NN223">
        <v>1</v>
      </c>
      <c r="NO223">
        <v>1</v>
      </c>
      <c r="NP223">
        <v>114.9126</v>
      </c>
      <c r="NQ223">
        <v>1</v>
      </c>
      <c r="NR223">
        <v>1</v>
      </c>
      <c r="NS223">
        <v>1</v>
      </c>
      <c r="NT223">
        <v>1</v>
      </c>
      <c r="NU223">
        <v>1</v>
      </c>
      <c r="NV223">
        <v>1</v>
      </c>
      <c r="NW223">
        <v>1</v>
      </c>
      <c r="NX223">
        <v>1</v>
      </c>
      <c r="NY223">
        <v>1</v>
      </c>
      <c r="NZ223">
        <v>1</v>
      </c>
      <c r="OA223">
        <v>1</v>
      </c>
      <c r="OB223">
        <v>1</v>
      </c>
      <c r="OC223">
        <v>25.5</v>
      </c>
      <c r="OD223">
        <v>45239.7</v>
      </c>
      <c r="OE223">
        <v>1.1100000000000001</v>
      </c>
      <c r="OF223">
        <v>495.05</v>
      </c>
      <c r="OG223">
        <v>4.7</v>
      </c>
      <c r="OH223">
        <v>87.879000000000005</v>
      </c>
    </row>
    <row r="224" spans="1:398">
      <c r="A224">
        <v>21</v>
      </c>
      <c r="B224" t="s">
        <v>13</v>
      </c>
      <c r="C224" t="s">
        <v>12</v>
      </c>
      <c r="D224">
        <v>2012</v>
      </c>
      <c r="E224">
        <v>10.426</v>
      </c>
      <c r="F224">
        <v>3.7286999999999999</v>
      </c>
      <c r="G224">
        <v>407</v>
      </c>
      <c r="H224">
        <v>49.4</v>
      </c>
      <c r="I224">
        <v>83</v>
      </c>
      <c r="J224">
        <v>26.3</v>
      </c>
      <c r="K224">
        <v>25925</v>
      </c>
      <c r="L224">
        <v>0.7</v>
      </c>
      <c r="M224">
        <v>1.1000000000000001</v>
      </c>
      <c r="N224">
        <v>99896</v>
      </c>
      <c r="O224">
        <v>18.57</v>
      </c>
      <c r="P224">
        <v>1.07</v>
      </c>
      <c r="Q224">
        <v>10431.299999999999</v>
      </c>
      <c r="R224">
        <v>73.400000000000006</v>
      </c>
      <c r="S224">
        <v>0.47209200000000001</v>
      </c>
      <c r="T224">
        <v>-0.95449390000000001</v>
      </c>
      <c r="U224">
        <v>1.922075</v>
      </c>
      <c r="V224">
        <v>-0.75144960000000005</v>
      </c>
      <c r="W224">
        <v>0.9546154</v>
      </c>
      <c r="X224">
        <v>-6.5006999999999999E-3</v>
      </c>
      <c r="Y224">
        <v>2.8898510000000002</v>
      </c>
      <c r="Z224">
        <v>2.7598419999999999</v>
      </c>
      <c r="AA224">
        <v>8.3346600000000007E-2</v>
      </c>
      <c r="AB224">
        <v>-0.84886099999999998</v>
      </c>
      <c r="AC224">
        <v>-0.18903049999999999</v>
      </c>
      <c r="AD224">
        <v>0.67467390000000005</v>
      </c>
      <c r="AE224">
        <v>0.90270439999999996</v>
      </c>
      <c r="AF224">
        <v>1.855121</v>
      </c>
      <c r="AG224">
        <v>0.33335930000000003</v>
      </c>
      <c r="AH224">
        <v>4.2129000000000003</v>
      </c>
      <c r="AI224">
        <v>2.344303</v>
      </c>
      <c r="AJ224">
        <v>1.31606</v>
      </c>
      <c r="AK224">
        <v>6.008813</v>
      </c>
      <c r="AL224">
        <v>4.4188400000000003</v>
      </c>
      <c r="AM224">
        <v>3.2695690000000002</v>
      </c>
      <c r="AN224">
        <v>10.16296</v>
      </c>
      <c r="AO224">
        <v>11.51188</v>
      </c>
      <c r="AP224">
        <v>6.7658700000000002E-2</v>
      </c>
      <c r="AQ224">
        <v>9.2525619999999993</v>
      </c>
      <c r="AR224">
        <v>6.2083599999999999</v>
      </c>
      <c r="AS224">
        <v>1.5892299999999999</v>
      </c>
      <c r="AT224">
        <v>10.706200000000001</v>
      </c>
      <c r="AU224">
        <v>88.587999999999994</v>
      </c>
      <c r="AV224">
        <v>149.393</v>
      </c>
      <c r="AW224">
        <v>30.700500000000002</v>
      </c>
      <c r="AX224" s="17">
        <v>260000000000</v>
      </c>
      <c r="AY224">
        <v>3.2958400000000001</v>
      </c>
      <c r="AZ224">
        <v>0.75</v>
      </c>
      <c r="BA224">
        <v>2.9215469999999999</v>
      </c>
      <c r="BB224">
        <v>2.9215474000000001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0.10435999999999999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6.5405999999999997E-3</v>
      </c>
      <c r="CG224">
        <v>0.6291234</v>
      </c>
      <c r="CH224">
        <v>0.46810400000000002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3.9801419999999998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0.39579619999999999</v>
      </c>
      <c r="DI224">
        <v>15.841530000000001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0.4718425</v>
      </c>
      <c r="DW224">
        <v>2.985106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13.91306</v>
      </c>
      <c r="EW224">
        <v>7.1685600000000002E-2</v>
      </c>
      <c r="EX224">
        <v>7.1288799999999999E-2</v>
      </c>
      <c r="EY224">
        <v>7.1678599999999995E-2</v>
      </c>
      <c r="EZ224">
        <v>7.1459599999999998E-2</v>
      </c>
      <c r="FA224">
        <v>7.1572800000000006E-2</v>
      </c>
      <c r="FB224">
        <v>7.10509E-2</v>
      </c>
      <c r="FC224">
        <v>7.0570400000000005E-2</v>
      </c>
      <c r="FD224">
        <v>7.1569900000000006E-2</v>
      </c>
      <c r="FE224">
        <v>7.1718100000000007E-2</v>
      </c>
      <c r="FF224">
        <v>7.1645500000000001E-2</v>
      </c>
      <c r="FG224">
        <v>7.1474099999999999E-2</v>
      </c>
      <c r="FH224">
        <v>7.1497500000000005E-2</v>
      </c>
      <c r="FI224">
        <v>7.1468900000000002E-2</v>
      </c>
      <c r="FJ224">
        <v>7.1319300000000002E-2</v>
      </c>
      <c r="FK224">
        <v>0.47139110000000001</v>
      </c>
      <c r="FL224">
        <v>0.22220960000000001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-0.95449390000000001</v>
      </c>
      <c r="FZ224">
        <v>1.922075</v>
      </c>
      <c r="GA224">
        <v>-0.75144960000000005</v>
      </c>
      <c r="GB224">
        <v>-6.5006999999999999E-3</v>
      </c>
      <c r="GC224">
        <v>2.7598419999999999</v>
      </c>
      <c r="GD224">
        <v>-0.18903049999999999</v>
      </c>
      <c r="GE224">
        <v>0.33335930000000003</v>
      </c>
      <c r="GF224">
        <v>0.67467390000000005</v>
      </c>
      <c r="GG224">
        <v>0.90270439999999996</v>
      </c>
      <c r="GH224">
        <v>5.5304520000000004</v>
      </c>
      <c r="GI224">
        <v>30.585899999999999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0.3535433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4.1478390000000003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1</v>
      </c>
      <c r="KK224">
        <v>1</v>
      </c>
      <c r="KL224">
        <v>1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1</v>
      </c>
      <c r="KT224">
        <v>1</v>
      </c>
      <c r="KU224">
        <v>1</v>
      </c>
      <c r="KV224">
        <v>1</v>
      </c>
      <c r="KW224">
        <v>1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1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1</v>
      </c>
      <c r="LR224">
        <v>1</v>
      </c>
      <c r="LS224">
        <v>1</v>
      </c>
      <c r="LT224">
        <v>1</v>
      </c>
      <c r="LU224">
        <v>1</v>
      </c>
      <c r="LV224">
        <v>1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1</v>
      </c>
      <c r="MF224">
        <v>1</v>
      </c>
      <c r="MG224">
        <v>1</v>
      </c>
      <c r="MH224">
        <v>1</v>
      </c>
      <c r="MI224">
        <v>1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1</v>
      </c>
      <c r="MX224">
        <v>1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1</v>
      </c>
      <c r="NH224">
        <v>1</v>
      </c>
      <c r="NI224">
        <v>1</v>
      </c>
      <c r="NJ224">
        <v>1</v>
      </c>
      <c r="NK224">
        <v>1</v>
      </c>
      <c r="NL224">
        <v>1</v>
      </c>
      <c r="NM224">
        <v>1</v>
      </c>
      <c r="NN224">
        <v>1</v>
      </c>
      <c r="NO224">
        <v>1</v>
      </c>
      <c r="NP224">
        <v>114.62269999999999</v>
      </c>
      <c r="NQ224">
        <v>1</v>
      </c>
      <c r="NR224">
        <v>1</v>
      </c>
      <c r="NS224">
        <v>1</v>
      </c>
      <c r="NT224">
        <v>1</v>
      </c>
      <c r="NU224">
        <v>1</v>
      </c>
      <c r="NV224">
        <v>1</v>
      </c>
      <c r="NW224">
        <v>1</v>
      </c>
      <c r="NX224">
        <v>1</v>
      </c>
      <c r="NY224">
        <v>1</v>
      </c>
      <c r="NZ224">
        <v>1</v>
      </c>
      <c r="OA224">
        <v>1</v>
      </c>
      <c r="OB224">
        <v>1</v>
      </c>
      <c r="OC224">
        <v>27</v>
      </c>
      <c r="OD224">
        <v>44631.9</v>
      </c>
      <c r="OE224">
        <v>1.1100000000000001</v>
      </c>
      <c r="OF224">
        <v>496.88499999999999</v>
      </c>
      <c r="OG224">
        <v>4.9000000000000004</v>
      </c>
      <c r="OH224">
        <v>88.587999999999994</v>
      </c>
    </row>
    <row r="225" spans="1:398">
      <c r="A225">
        <v>21</v>
      </c>
      <c r="B225" t="s">
        <v>13</v>
      </c>
      <c r="C225" t="s">
        <v>12</v>
      </c>
      <c r="D225">
        <v>2013</v>
      </c>
      <c r="E225">
        <v>9.5289999999999999</v>
      </c>
      <c r="F225">
        <v>3.9167000000000001</v>
      </c>
      <c r="G225">
        <v>439</v>
      </c>
      <c r="H225">
        <v>49.8</v>
      </c>
      <c r="I225">
        <v>83.1</v>
      </c>
      <c r="J225">
        <v>26.8</v>
      </c>
      <c r="K225">
        <v>19481.2</v>
      </c>
      <c r="L225">
        <v>0.7</v>
      </c>
      <c r="M225">
        <v>1.1000000000000001</v>
      </c>
      <c r="N225">
        <v>95338</v>
      </c>
      <c r="O225">
        <v>17.86</v>
      </c>
      <c r="P225">
        <v>1.07</v>
      </c>
      <c r="Q225">
        <v>10750.7</v>
      </c>
      <c r="R225">
        <v>73.3</v>
      </c>
      <c r="S225">
        <v>0.46940999999999999</v>
      </c>
      <c r="T225">
        <v>-1.063474</v>
      </c>
      <c r="U225">
        <v>2.1025079999999998</v>
      </c>
      <c r="V225">
        <v>-0.50849069999999996</v>
      </c>
      <c r="W225">
        <v>0.98036440000000002</v>
      </c>
      <c r="X225">
        <v>7.3891E-3</v>
      </c>
      <c r="Y225">
        <v>2.9699170000000001</v>
      </c>
      <c r="Z225">
        <v>1.918984</v>
      </c>
      <c r="AA225">
        <v>8.3346600000000007E-2</v>
      </c>
      <c r="AB225">
        <v>-0.84886099999999998</v>
      </c>
      <c r="AC225">
        <v>-0.21323339999999999</v>
      </c>
      <c r="AD225">
        <v>0.67467390000000005</v>
      </c>
      <c r="AE225">
        <v>1.0079640000000001</v>
      </c>
      <c r="AF225">
        <v>1.8498540000000001</v>
      </c>
      <c r="AG225">
        <v>0.29638029999999999</v>
      </c>
      <c r="AH225">
        <v>4.0796479999999997</v>
      </c>
      <c r="AI225">
        <v>2.25434</v>
      </c>
      <c r="AJ225">
        <v>1.3652489999999999</v>
      </c>
      <c r="AK225">
        <v>6.0844990000000001</v>
      </c>
      <c r="AL225">
        <v>4.420045</v>
      </c>
      <c r="AM225">
        <v>3.288402</v>
      </c>
      <c r="AN225">
        <v>9.877205</v>
      </c>
      <c r="AO225">
        <v>11.46518</v>
      </c>
      <c r="AP225">
        <v>6.7658700000000002E-2</v>
      </c>
      <c r="AQ225">
        <v>9.2827300000000008</v>
      </c>
      <c r="AR225">
        <v>6.2122000000000002</v>
      </c>
      <c r="AS225">
        <v>1.60944</v>
      </c>
      <c r="AT225">
        <v>10.7029</v>
      </c>
      <c r="AU225">
        <v>89.186999999999998</v>
      </c>
      <c r="AV225">
        <v>150.65199999999999</v>
      </c>
      <c r="AW225">
        <v>35.131500000000003</v>
      </c>
      <c r="AX225" s="17">
        <v>310000000000</v>
      </c>
      <c r="AY225">
        <v>3.2958400000000001</v>
      </c>
      <c r="AZ225">
        <v>0.74</v>
      </c>
      <c r="BA225">
        <v>2.8825639999999999</v>
      </c>
      <c r="BB225">
        <v>2.8825636000000001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5.8269000000000001E-2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6.5551000000000003E-3</v>
      </c>
      <c r="CG225">
        <v>0.63211910000000004</v>
      </c>
      <c r="CH225">
        <v>0.43745899999999999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4.0586359999999999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0.3995746</v>
      </c>
      <c r="DI225">
        <v>16.472519999999999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0.46776820000000002</v>
      </c>
      <c r="DW225">
        <v>3.0033910000000001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13.916399999999999</v>
      </c>
      <c r="EW225">
        <v>7.1682399999999993E-2</v>
      </c>
      <c r="EX225">
        <v>7.1251700000000001E-2</v>
      </c>
      <c r="EY225">
        <v>7.1629899999999996E-2</v>
      </c>
      <c r="EZ225">
        <v>7.1441699999999997E-2</v>
      </c>
      <c r="FA225">
        <v>7.1555900000000006E-2</v>
      </c>
      <c r="FB225">
        <v>7.1031399999999995E-2</v>
      </c>
      <c r="FC225">
        <v>7.0815199999999995E-2</v>
      </c>
      <c r="FD225">
        <v>7.1553800000000001E-2</v>
      </c>
      <c r="FE225">
        <v>7.1701100000000004E-2</v>
      </c>
      <c r="FF225">
        <v>7.1637699999999999E-2</v>
      </c>
      <c r="FG225">
        <v>7.1469400000000002E-2</v>
      </c>
      <c r="FH225">
        <v>7.1482100000000007E-2</v>
      </c>
      <c r="FI225">
        <v>7.1440799999999999E-2</v>
      </c>
      <c r="FJ225">
        <v>7.1306900000000006E-2</v>
      </c>
      <c r="FK225">
        <v>0.46882190000000001</v>
      </c>
      <c r="FL225">
        <v>0.21979399999999999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-1.063474</v>
      </c>
      <c r="FZ225">
        <v>2.1025079999999998</v>
      </c>
      <c r="GA225">
        <v>-0.50849069999999996</v>
      </c>
      <c r="GB225">
        <v>7.3891E-3</v>
      </c>
      <c r="GC225">
        <v>1.918984</v>
      </c>
      <c r="GD225">
        <v>-0.21323339999999999</v>
      </c>
      <c r="GE225">
        <v>0.29638029999999999</v>
      </c>
      <c r="GF225">
        <v>0.67467390000000005</v>
      </c>
      <c r="GG225">
        <v>1.0079640000000001</v>
      </c>
      <c r="GH225">
        <v>5.3280529999999997</v>
      </c>
      <c r="GI225">
        <v>28.38815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0.34692820000000002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3.9427590000000001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1</v>
      </c>
      <c r="KN225">
        <v>1</v>
      </c>
      <c r="KO225">
        <v>1</v>
      </c>
      <c r="KP225">
        <v>1</v>
      </c>
      <c r="KQ225">
        <v>1</v>
      </c>
      <c r="KR225">
        <v>1</v>
      </c>
      <c r="KS225">
        <v>1</v>
      </c>
      <c r="KT225">
        <v>1</v>
      </c>
      <c r="KU225">
        <v>1</v>
      </c>
      <c r="KV225">
        <v>1</v>
      </c>
      <c r="KW225">
        <v>1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1</v>
      </c>
      <c r="LI225">
        <v>1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1</v>
      </c>
      <c r="LP225">
        <v>1</v>
      </c>
      <c r="LQ225">
        <v>1</v>
      </c>
      <c r="LR225">
        <v>1</v>
      </c>
      <c r="LS225">
        <v>1</v>
      </c>
      <c r="LT225">
        <v>1</v>
      </c>
      <c r="LU225">
        <v>1</v>
      </c>
      <c r="LV225">
        <v>1</v>
      </c>
      <c r="LW225">
        <v>1</v>
      </c>
      <c r="LX225">
        <v>1</v>
      </c>
      <c r="LY225">
        <v>1</v>
      </c>
      <c r="LZ225">
        <v>1</v>
      </c>
      <c r="MA225">
        <v>1</v>
      </c>
      <c r="MB225">
        <v>1</v>
      </c>
      <c r="MC225">
        <v>1</v>
      </c>
      <c r="MD225">
        <v>1</v>
      </c>
      <c r="ME225">
        <v>1</v>
      </c>
      <c r="MF225">
        <v>1</v>
      </c>
      <c r="MG225">
        <v>1</v>
      </c>
      <c r="MH225">
        <v>1</v>
      </c>
      <c r="MI225">
        <v>1</v>
      </c>
      <c r="MJ225">
        <v>1</v>
      </c>
      <c r="MK225">
        <v>1</v>
      </c>
      <c r="ML225">
        <v>1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1</v>
      </c>
      <c r="MX225">
        <v>1</v>
      </c>
      <c r="MY225">
        <v>1</v>
      </c>
      <c r="MZ225">
        <v>1</v>
      </c>
      <c r="NA225">
        <v>1</v>
      </c>
      <c r="NB225">
        <v>1</v>
      </c>
      <c r="NC225">
        <v>1</v>
      </c>
      <c r="ND225">
        <v>1</v>
      </c>
      <c r="NE225">
        <v>1</v>
      </c>
      <c r="NF225">
        <v>1</v>
      </c>
      <c r="NG225">
        <v>1</v>
      </c>
      <c r="NH225">
        <v>1</v>
      </c>
      <c r="NI225">
        <v>1</v>
      </c>
      <c r="NJ225">
        <v>1</v>
      </c>
      <c r="NK225">
        <v>1</v>
      </c>
      <c r="NL225">
        <v>1</v>
      </c>
      <c r="NM225">
        <v>1</v>
      </c>
      <c r="NN225">
        <v>1</v>
      </c>
      <c r="NO225">
        <v>1</v>
      </c>
      <c r="NP225">
        <v>114.5531</v>
      </c>
      <c r="NQ225">
        <v>1</v>
      </c>
      <c r="NR225">
        <v>1</v>
      </c>
      <c r="NS225">
        <v>1</v>
      </c>
      <c r="NT225">
        <v>1</v>
      </c>
      <c r="NU225">
        <v>1</v>
      </c>
      <c r="NV225">
        <v>1</v>
      </c>
      <c r="NW225">
        <v>1</v>
      </c>
      <c r="NX225">
        <v>1</v>
      </c>
      <c r="NY225">
        <v>1</v>
      </c>
      <c r="NZ225">
        <v>1</v>
      </c>
      <c r="OA225">
        <v>1</v>
      </c>
      <c r="OB225">
        <v>1</v>
      </c>
      <c r="OC225">
        <v>27</v>
      </c>
      <c r="OD225">
        <v>44487</v>
      </c>
      <c r="OE225">
        <v>1.06</v>
      </c>
      <c r="OF225">
        <v>498.79599999999999</v>
      </c>
      <c r="OG225">
        <v>5</v>
      </c>
      <c r="OH225">
        <v>89.186999999999998</v>
      </c>
    </row>
    <row r="226" spans="1:398">
      <c r="A226">
        <v>21</v>
      </c>
      <c r="B226" t="s">
        <v>13</v>
      </c>
      <c r="C226" t="s">
        <v>12</v>
      </c>
      <c r="D226">
        <v>2014</v>
      </c>
      <c r="E226">
        <v>9.23</v>
      </c>
      <c r="F226">
        <v>3.9037000000000002</v>
      </c>
      <c r="G226">
        <v>478</v>
      </c>
      <c r="H226">
        <v>50.9</v>
      </c>
      <c r="I226">
        <v>82.4</v>
      </c>
      <c r="J226">
        <v>26.5</v>
      </c>
      <c r="K226">
        <v>17750.400000000001</v>
      </c>
      <c r="L226">
        <v>0.7</v>
      </c>
      <c r="M226">
        <v>1</v>
      </c>
      <c r="N226">
        <v>92761</v>
      </c>
      <c r="O226">
        <v>22.18</v>
      </c>
      <c r="P226">
        <v>1.1100000000000001</v>
      </c>
      <c r="Q226">
        <v>10647.2</v>
      </c>
      <c r="R226">
        <v>74.3</v>
      </c>
      <c r="S226">
        <v>0.47503099999999998</v>
      </c>
      <c r="T226">
        <v>-1.099801</v>
      </c>
      <c r="U226">
        <v>2.0900319999999999</v>
      </c>
      <c r="V226">
        <v>-0.2123845</v>
      </c>
      <c r="W226">
        <v>1.051175</v>
      </c>
      <c r="X226">
        <v>-8.9840199999999995E-2</v>
      </c>
      <c r="Y226">
        <v>2.9218769999999998</v>
      </c>
      <c r="Z226">
        <v>1.69313</v>
      </c>
      <c r="AA226">
        <v>8.3346600000000007E-2</v>
      </c>
      <c r="AB226">
        <v>-0.98078770000000004</v>
      </c>
      <c r="AC226">
        <v>-0.22691720000000001</v>
      </c>
      <c r="AD226">
        <v>0.87069039999999998</v>
      </c>
      <c r="AE226">
        <v>0.97385520000000003</v>
      </c>
      <c r="AF226">
        <v>1.9025319999999999</v>
      </c>
      <c r="AG226">
        <v>0.52137979999999995</v>
      </c>
      <c r="AH226">
        <v>4.1658359999999997</v>
      </c>
      <c r="AI226">
        <v>2.2224590000000002</v>
      </c>
      <c r="AJ226">
        <v>1.3619250000000001</v>
      </c>
      <c r="AK226">
        <v>6.1696109999999997</v>
      </c>
      <c r="AL226">
        <v>4.4115849999999996</v>
      </c>
      <c r="AM226">
        <v>3.277145</v>
      </c>
      <c r="AN226">
        <v>9.7841629999999995</v>
      </c>
      <c r="AO226">
        <v>11.43778</v>
      </c>
      <c r="AP226">
        <v>0.10435999999999999</v>
      </c>
      <c r="AQ226">
        <v>9.2730540000000001</v>
      </c>
      <c r="AR226">
        <v>6.2157999999999998</v>
      </c>
      <c r="AS226">
        <v>1.7227699999999999</v>
      </c>
      <c r="AT226">
        <v>10.715400000000001</v>
      </c>
      <c r="AU226">
        <v>89.69</v>
      </c>
      <c r="AV226">
        <v>151.71600000000001</v>
      </c>
      <c r="AW226">
        <v>15.8698</v>
      </c>
      <c r="AX226" s="17">
        <v>140000000000</v>
      </c>
      <c r="AY226">
        <v>3.2657600000000002</v>
      </c>
      <c r="AZ226">
        <v>0.73</v>
      </c>
      <c r="BA226">
        <v>3.0991909999999998</v>
      </c>
      <c r="BB226">
        <v>3.0991909999999998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0.27763199999999999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6.6680999999999997E-3</v>
      </c>
      <c r="CG226">
        <v>0.63737670000000002</v>
      </c>
      <c r="CH226">
        <v>0.43489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4.17997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0.40624909999999997</v>
      </c>
      <c r="DI226">
        <v>17.472149999999999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0.465285</v>
      </c>
      <c r="DW226">
        <v>3.0513780000000001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13.916790000000001</v>
      </c>
      <c r="EW226">
        <v>7.1685299999999993E-2</v>
      </c>
      <c r="EX226">
        <v>7.1256299999999995E-2</v>
      </c>
      <c r="EY226">
        <v>7.1591199999999994E-2</v>
      </c>
      <c r="EZ226">
        <v>7.1433999999999997E-2</v>
      </c>
      <c r="FA226">
        <v>7.1560299999999993E-2</v>
      </c>
      <c r="FB226">
        <v>7.1046399999999996E-2</v>
      </c>
      <c r="FC226">
        <v>7.0896799999999996E-2</v>
      </c>
      <c r="FD226">
        <v>7.1553000000000005E-2</v>
      </c>
      <c r="FE226">
        <v>7.1721599999999996E-2</v>
      </c>
      <c r="FF226">
        <v>7.1641200000000002E-2</v>
      </c>
      <c r="FG226">
        <v>7.1406899999999995E-2</v>
      </c>
      <c r="FH226">
        <v>7.1459400000000006E-2</v>
      </c>
      <c r="FI226">
        <v>7.14452E-2</v>
      </c>
      <c r="FJ226">
        <v>7.1302299999999999E-2</v>
      </c>
      <c r="FK226">
        <v>0.47448839999999998</v>
      </c>
      <c r="FL226">
        <v>0.22513920000000001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-1.099801</v>
      </c>
      <c r="FZ226">
        <v>2.0900319999999999</v>
      </c>
      <c r="GA226">
        <v>-0.2123845</v>
      </c>
      <c r="GB226">
        <v>-8.9840199999999995E-2</v>
      </c>
      <c r="GC226">
        <v>1.69313</v>
      </c>
      <c r="GD226">
        <v>-0.22691720000000001</v>
      </c>
      <c r="GE226">
        <v>0.52137979999999995</v>
      </c>
      <c r="GF226">
        <v>0.87069039999999998</v>
      </c>
      <c r="GG226">
        <v>0.97385520000000003</v>
      </c>
      <c r="GH226">
        <v>5.4528639999999999</v>
      </c>
      <c r="GI226">
        <v>29.733720000000002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0.34637649999999998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3.980591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1</v>
      </c>
      <c r="KS226">
        <v>1</v>
      </c>
      <c r="KT226">
        <v>1</v>
      </c>
      <c r="KU226">
        <v>1</v>
      </c>
      <c r="KV226">
        <v>1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1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1</v>
      </c>
      <c r="LT226">
        <v>1</v>
      </c>
      <c r="LU226">
        <v>1</v>
      </c>
      <c r="LV226">
        <v>1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1</v>
      </c>
      <c r="MX226">
        <v>1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1</v>
      </c>
      <c r="NJ226">
        <v>1</v>
      </c>
      <c r="NK226">
        <v>1</v>
      </c>
      <c r="NL226">
        <v>1</v>
      </c>
      <c r="NM226">
        <v>1</v>
      </c>
      <c r="NN226">
        <v>1</v>
      </c>
      <c r="NO226">
        <v>1</v>
      </c>
      <c r="NP226">
        <v>114.81870000000001</v>
      </c>
      <c r="NQ226">
        <v>1</v>
      </c>
      <c r="NR226">
        <v>1</v>
      </c>
      <c r="NS226">
        <v>1</v>
      </c>
      <c r="NT226">
        <v>1</v>
      </c>
      <c r="NU226">
        <v>1</v>
      </c>
      <c r="NV226">
        <v>1</v>
      </c>
      <c r="NW226">
        <v>1</v>
      </c>
      <c r="NX226">
        <v>1</v>
      </c>
      <c r="NY226">
        <v>1</v>
      </c>
      <c r="NZ226">
        <v>1</v>
      </c>
      <c r="OA226">
        <v>1</v>
      </c>
      <c r="OB226">
        <v>1</v>
      </c>
      <c r="OC226">
        <v>26.2</v>
      </c>
      <c r="OD226">
        <v>45042.1</v>
      </c>
      <c r="OE226">
        <v>1.32</v>
      </c>
      <c r="OF226">
        <v>500.59399999999999</v>
      </c>
      <c r="OG226">
        <v>5.6</v>
      </c>
      <c r="OH226">
        <v>89.69</v>
      </c>
    </row>
    <row r="227" spans="1:398">
      <c r="A227">
        <v>21</v>
      </c>
      <c r="B227" t="s">
        <v>13</v>
      </c>
      <c r="C227" t="s">
        <v>12</v>
      </c>
      <c r="D227">
        <v>2015</v>
      </c>
      <c r="E227">
        <v>10.803000000000001</v>
      </c>
      <c r="F227">
        <v>3.8976000000000002</v>
      </c>
      <c r="G227">
        <v>461</v>
      </c>
      <c r="H227">
        <v>51.8</v>
      </c>
      <c r="I227">
        <v>82.1</v>
      </c>
      <c r="J227">
        <v>26.7</v>
      </c>
      <c r="K227">
        <v>27479.5</v>
      </c>
      <c r="L227">
        <v>1</v>
      </c>
      <c r="M227">
        <v>1</v>
      </c>
      <c r="N227">
        <v>95504</v>
      </c>
      <c r="O227">
        <v>23.93</v>
      </c>
      <c r="P227">
        <v>1.1200000000000001</v>
      </c>
      <c r="Q227">
        <v>10424.4</v>
      </c>
      <c r="R227">
        <v>77.099999999999994</v>
      </c>
      <c r="S227">
        <v>0.50700400000000001</v>
      </c>
      <c r="T227">
        <v>-0.90869049999999996</v>
      </c>
      <c r="U227">
        <v>2.0841769999999999</v>
      </c>
      <c r="V227">
        <v>-0.34145639999999999</v>
      </c>
      <c r="W227">
        <v>1.10911</v>
      </c>
      <c r="X227">
        <v>-0.1315104</v>
      </c>
      <c r="Y227">
        <v>2.9539040000000001</v>
      </c>
      <c r="Z227">
        <v>2.962691</v>
      </c>
      <c r="AA227">
        <v>0.91774979999999995</v>
      </c>
      <c r="AB227">
        <v>-0.98078770000000004</v>
      </c>
      <c r="AC227">
        <v>-0.21235190000000001</v>
      </c>
      <c r="AD227">
        <v>0.91969449999999997</v>
      </c>
      <c r="AE227">
        <v>0.90044259999999998</v>
      </c>
      <c r="AF227">
        <v>2.05003</v>
      </c>
      <c r="AG227">
        <v>0.61252549999999995</v>
      </c>
      <c r="AH227">
        <v>4.8707120000000002</v>
      </c>
      <c r="AI227">
        <v>2.3798240000000002</v>
      </c>
      <c r="AJ227">
        <v>1.3603609999999999</v>
      </c>
      <c r="AK227">
        <v>6.1333979999999997</v>
      </c>
      <c r="AL227">
        <v>4.4079379999999997</v>
      </c>
      <c r="AM227">
        <v>3.2846639999999998</v>
      </c>
      <c r="AN227">
        <v>10.2212</v>
      </c>
      <c r="AO227">
        <v>11.46692</v>
      </c>
      <c r="AP227">
        <v>0.1133287</v>
      </c>
      <c r="AQ227">
        <v>9.2519039999999997</v>
      </c>
      <c r="AR227">
        <v>6.2208199999999998</v>
      </c>
      <c r="AS227">
        <v>1.75786</v>
      </c>
      <c r="AT227">
        <v>10.7319</v>
      </c>
      <c r="AU227">
        <v>90.173000000000002</v>
      </c>
      <c r="AV227">
        <v>160.32599999999999</v>
      </c>
      <c r="AW227">
        <v>48.501100000000001</v>
      </c>
      <c r="AX227" s="17">
        <v>380000000000</v>
      </c>
      <c r="AY227">
        <v>3.2958400000000001</v>
      </c>
      <c r="AZ227">
        <v>0.72</v>
      </c>
      <c r="BA227">
        <v>3.1751330000000002</v>
      </c>
      <c r="BB227">
        <v>3.1751330000000002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0.34359000000000001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6.7505000000000004E-3</v>
      </c>
      <c r="CG227">
        <v>0.65828909999999996</v>
      </c>
      <c r="CH227">
        <v>0.50097999999999998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4.5004499999999998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0.43334460000000002</v>
      </c>
      <c r="DI227">
        <v>20.254049999999999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0.47396820000000001</v>
      </c>
      <c r="DW227">
        <v>3.2403240000000002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13.910119999999999</v>
      </c>
      <c r="EW227">
        <v>7.1696200000000002E-2</v>
      </c>
      <c r="EX227">
        <v>7.1296100000000001E-2</v>
      </c>
      <c r="EY227">
        <v>7.1642399999999995E-2</v>
      </c>
      <c r="EZ227">
        <v>7.1464100000000003E-2</v>
      </c>
      <c r="FA227">
        <v>7.1597999999999995E-2</v>
      </c>
      <c r="FB227">
        <v>7.1085099999999998E-2</v>
      </c>
      <c r="FC227">
        <v>7.0596699999999998E-2</v>
      </c>
      <c r="FD227">
        <v>7.1472099999999997E-2</v>
      </c>
      <c r="FE227">
        <v>7.1756200000000006E-2</v>
      </c>
      <c r="FF227">
        <v>7.1670800000000007E-2</v>
      </c>
      <c r="FG227">
        <v>7.1419399999999994E-2</v>
      </c>
      <c r="FH227">
        <v>7.1490100000000001E-2</v>
      </c>
      <c r="FI227">
        <v>7.1490600000000001E-2</v>
      </c>
      <c r="FJ227">
        <v>7.1322200000000002E-2</v>
      </c>
      <c r="FK227">
        <v>0.50631740000000003</v>
      </c>
      <c r="FL227">
        <v>0.25635730000000001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-0.90869049999999996</v>
      </c>
      <c r="FZ227">
        <v>2.0841769999999999</v>
      </c>
      <c r="GA227">
        <v>-0.34145639999999999</v>
      </c>
      <c r="GB227">
        <v>-0.1315104</v>
      </c>
      <c r="GC227">
        <v>2.962691</v>
      </c>
      <c r="GD227">
        <v>-0.21235190000000001</v>
      </c>
      <c r="GE227">
        <v>0.61252549999999995</v>
      </c>
      <c r="GF227">
        <v>0.91969449999999997</v>
      </c>
      <c r="GG227">
        <v>0.90044259999999998</v>
      </c>
      <c r="GH227">
        <v>6.4347349999999999</v>
      </c>
      <c r="GI227">
        <v>41.405819999999999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0.3645486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4.6330090000000004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1</v>
      </c>
      <c r="NK227">
        <v>1</v>
      </c>
      <c r="NL227">
        <v>1</v>
      </c>
      <c r="NM227">
        <v>1</v>
      </c>
      <c r="NN227">
        <v>1</v>
      </c>
      <c r="NO227">
        <v>1</v>
      </c>
      <c r="NP227">
        <v>115.1737</v>
      </c>
      <c r="NQ227">
        <v>1</v>
      </c>
      <c r="NR227">
        <v>1</v>
      </c>
      <c r="NS227">
        <v>1</v>
      </c>
      <c r="NT227">
        <v>1</v>
      </c>
      <c r="NU227">
        <v>1</v>
      </c>
      <c r="NV227">
        <v>1</v>
      </c>
      <c r="NW227">
        <v>1</v>
      </c>
      <c r="NX227">
        <v>1</v>
      </c>
      <c r="NY227">
        <v>1</v>
      </c>
      <c r="NZ227">
        <v>1</v>
      </c>
      <c r="OA227">
        <v>1</v>
      </c>
      <c r="OB227">
        <v>1</v>
      </c>
      <c r="OC227">
        <v>27</v>
      </c>
      <c r="OD227">
        <v>45793.8</v>
      </c>
      <c r="OE227">
        <v>1.41</v>
      </c>
      <c r="OF227">
        <v>503.11599999999999</v>
      </c>
      <c r="OG227">
        <v>5.8</v>
      </c>
      <c r="OH227">
        <v>90.173000000000002</v>
      </c>
    </row>
    <row r="228" spans="1:398">
      <c r="A228">
        <v>21</v>
      </c>
      <c r="B228" t="s">
        <v>13</v>
      </c>
      <c r="C228" t="s">
        <v>12</v>
      </c>
      <c r="D228">
        <v>2016</v>
      </c>
      <c r="E228">
        <v>8.3209999999999997</v>
      </c>
      <c r="F228">
        <v>4.3448000000000002</v>
      </c>
      <c r="G228">
        <v>464</v>
      </c>
      <c r="H228">
        <v>53.5</v>
      </c>
      <c r="I228">
        <v>80.900000000000006</v>
      </c>
      <c r="J228">
        <v>29</v>
      </c>
      <c r="K228">
        <v>24224.9</v>
      </c>
      <c r="L228">
        <v>0.9</v>
      </c>
      <c r="M228">
        <v>1.1000000000000001</v>
      </c>
      <c r="N228">
        <v>97501</v>
      </c>
      <c r="O228">
        <v>24.25</v>
      </c>
      <c r="P228">
        <v>1.1399999999999999</v>
      </c>
      <c r="Q228">
        <v>10048</v>
      </c>
      <c r="R228">
        <v>78.099999999999994</v>
      </c>
      <c r="S228">
        <v>0.51131899999999997</v>
      </c>
      <c r="T228">
        <v>-1.21024</v>
      </c>
      <c r="U228">
        <v>2.5133770000000002</v>
      </c>
      <c r="V228">
        <v>-0.31867899999999999</v>
      </c>
      <c r="W228">
        <v>1.2185440000000001</v>
      </c>
      <c r="X228">
        <v>-0.29818939999999999</v>
      </c>
      <c r="Y228">
        <v>3.3222049999999999</v>
      </c>
      <c r="Z228">
        <v>2.537995</v>
      </c>
      <c r="AA228">
        <v>0.6396153</v>
      </c>
      <c r="AB228">
        <v>-0.84886099999999998</v>
      </c>
      <c r="AC228">
        <v>-0.20174790000000001</v>
      </c>
      <c r="AD228">
        <v>1.017703</v>
      </c>
      <c r="AE228">
        <v>0.77642520000000004</v>
      </c>
      <c r="AF228">
        <v>2.1027079999999998</v>
      </c>
      <c r="AG228">
        <v>0.62919210000000003</v>
      </c>
      <c r="AH228">
        <v>5.1234830000000002</v>
      </c>
      <c r="AI228">
        <v>2.1187830000000001</v>
      </c>
      <c r="AJ228">
        <v>1.46898</v>
      </c>
      <c r="AK228">
        <v>6.1398840000000003</v>
      </c>
      <c r="AL228">
        <v>4.3932140000000004</v>
      </c>
      <c r="AM228">
        <v>3.3672960000000001</v>
      </c>
      <c r="AN228">
        <v>10.095140000000001</v>
      </c>
      <c r="AO228">
        <v>11.48762</v>
      </c>
      <c r="AP228">
        <v>0.13102820000000001</v>
      </c>
      <c r="AQ228">
        <v>9.2151250000000005</v>
      </c>
      <c r="AR228">
        <v>6.22614</v>
      </c>
      <c r="AS228">
        <v>1.7227699999999999</v>
      </c>
      <c r="AT228">
        <v>10.750500000000001</v>
      </c>
      <c r="AU228">
        <v>90.635000000000005</v>
      </c>
      <c r="AV228">
        <v>150.96600000000001</v>
      </c>
      <c r="AW228">
        <v>34.567799999999998</v>
      </c>
      <c r="AX228" s="17">
        <v>280000000000</v>
      </c>
      <c r="AY228">
        <v>3.2542399999999998</v>
      </c>
      <c r="AZ228">
        <v>0.73</v>
      </c>
      <c r="BA228">
        <v>3.1884169999999998</v>
      </c>
      <c r="BB228">
        <v>3.1884166999999999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0.350657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6.9424999999999999E-3</v>
      </c>
      <c r="CG228">
        <v>0.65626340000000005</v>
      </c>
      <c r="CH228">
        <v>0.496645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4.8112880000000002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0.4306817</v>
      </c>
      <c r="DI228">
        <v>23.148489999999999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0.47907230000000001</v>
      </c>
      <c r="DW228">
        <v>3.5122399999999998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13.911440000000001</v>
      </c>
      <c r="EW228">
        <v>7.1727700000000005E-2</v>
      </c>
      <c r="EX228">
        <v>7.1238399999999993E-2</v>
      </c>
      <c r="EY228">
        <v>7.1633500000000003E-2</v>
      </c>
      <c r="EZ228">
        <v>7.1447700000000003E-2</v>
      </c>
      <c r="FA228">
        <v>7.1601399999999996E-2</v>
      </c>
      <c r="FB228">
        <v>7.10345E-2</v>
      </c>
      <c r="FC228">
        <v>7.0724099999999998E-2</v>
      </c>
      <c r="FD228">
        <v>7.1504799999999993E-2</v>
      </c>
      <c r="FE228">
        <v>7.1727399999999997E-2</v>
      </c>
      <c r="FF228">
        <v>7.1660699999999994E-2</v>
      </c>
      <c r="FG228">
        <v>7.1411100000000005E-2</v>
      </c>
      <c r="FH228">
        <v>7.1474399999999993E-2</v>
      </c>
      <c r="FI228">
        <v>7.1501099999999998E-2</v>
      </c>
      <c r="FJ228">
        <v>7.1313299999999996E-2</v>
      </c>
      <c r="FK228">
        <v>0.51059639999999995</v>
      </c>
      <c r="FL228">
        <v>0.26070870000000002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-1.21024</v>
      </c>
      <c r="FZ228">
        <v>2.5133770000000002</v>
      </c>
      <c r="GA228">
        <v>-0.31867899999999999</v>
      </c>
      <c r="GB228">
        <v>-0.29818939999999999</v>
      </c>
      <c r="GC228">
        <v>2.537995</v>
      </c>
      <c r="GD228">
        <v>-0.20174790000000001</v>
      </c>
      <c r="GE228">
        <v>0.62919210000000003</v>
      </c>
      <c r="GF228">
        <v>1.017703</v>
      </c>
      <c r="GG228">
        <v>0.77642520000000004</v>
      </c>
      <c r="GH228">
        <v>6.7794949999999998</v>
      </c>
      <c r="GI228">
        <v>45.961550000000003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0.37273539999999999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4.9490309999999997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1</v>
      </c>
      <c r="IP228">
        <v>1</v>
      </c>
      <c r="IQ228">
        <v>1</v>
      </c>
      <c r="IR228">
        <v>1</v>
      </c>
      <c r="IS228">
        <v>1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1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1</v>
      </c>
      <c r="KT228">
        <v>1</v>
      </c>
      <c r="KU228">
        <v>1</v>
      </c>
      <c r="KV228">
        <v>1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1</v>
      </c>
      <c r="LV228">
        <v>1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1</v>
      </c>
      <c r="MJ228">
        <v>1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1</v>
      </c>
      <c r="NL228">
        <v>1</v>
      </c>
      <c r="NM228">
        <v>1</v>
      </c>
      <c r="NN228">
        <v>1</v>
      </c>
      <c r="NO228">
        <v>1</v>
      </c>
      <c r="NP228">
        <v>115.5741</v>
      </c>
      <c r="NQ228">
        <v>1</v>
      </c>
      <c r="NR228">
        <v>1</v>
      </c>
      <c r="NS228">
        <v>1</v>
      </c>
      <c r="NT228">
        <v>1</v>
      </c>
      <c r="NU228">
        <v>1</v>
      </c>
      <c r="NV228">
        <v>1</v>
      </c>
      <c r="NW228">
        <v>1</v>
      </c>
      <c r="NX228">
        <v>1</v>
      </c>
      <c r="NY228">
        <v>1</v>
      </c>
      <c r="NZ228">
        <v>1</v>
      </c>
      <c r="OA228">
        <v>1</v>
      </c>
      <c r="OB228">
        <v>1</v>
      </c>
      <c r="OC228">
        <v>25.9</v>
      </c>
      <c r="OD228">
        <v>46655</v>
      </c>
      <c r="OE228">
        <v>1.42</v>
      </c>
      <c r="OF228">
        <v>505.80099999999999</v>
      </c>
      <c r="OG228">
        <v>5.6</v>
      </c>
      <c r="OH228">
        <v>90.635000000000005</v>
      </c>
    </row>
    <row r="229" spans="1:398">
      <c r="A229">
        <v>21</v>
      </c>
      <c r="B229" t="s">
        <v>13</v>
      </c>
      <c r="C229" t="s">
        <v>12</v>
      </c>
      <c r="D229">
        <v>2017</v>
      </c>
      <c r="E229">
        <v>7.931</v>
      </c>
      <c r="F229">
        <v>4.0293999999999999</v>
      </c>
      <c r="G229">
        <v>533</v>
      </c>
      <c r="H229">
        <v>54.6</v>
      </c>
      <c r="I229">
        <v>81.599999999999994</v>
      </c>
      <c r="J229">
        <v>26.7</v>
      </c>
      <c r="K229">
        <v>34742.199999999997</v>
      </c>
      <c r="L229">
        <v>0.8</v>
      </c>
      <c r="M229">
        <v>1.1000000000000001</v>
      </c>
      <c r="N229">
        <v>101143</v>
      </c>
      <c r="O229">
        <v>24.47</v>
      </c>
      <c r="P229">
        <v>1.18</v>
      </c>
      <c r="Q229">
        <v>9810.59</v>
      </c>
      <c r="R229">
        <v>78.8</v>
      </c>
      <c r="S229">
        <v>0.52724000000000004</v>
      </c>
      <c r="T229">
        <v>-1.257622</v>
      </c>
      <c r="U229">
        <v>2.2106720000000002</v>
      </c>
      <c r="V229">
        <v>0.2052011</v>
      </c>
      <c r="W229">
        <v>1.2893539999999999</v>
      </c>
      <c r="X229">
        <v>-0.20096020000000001</v>
      </c>
      <c r="Y229">
        <v>2.9539040000000001</v>
      </c>
      <c r="Z229">
        <v>3.910409</v>
      </c>
      <c r="AA229">
        <v>0.361481</v>
      </c>
      <c r="AB229">
        <v>-0.84886099999999998</v>
      </c>
      <c r="AC229">
        <v>-0.18240899999999999</v>
      </c>
      <c r="AD229">
        <v>1.213719</v>
      </c>
      <c r="AE229">
        <v>0.69821940000000005</v>
      </c>
      <c r="AF229">
        <v>2.139583</v>
      </c>
      <c r="AG229">
        <v>0.64065039999999995</v>
      </c>
      <c r="AH229">
        <v>5.3477519999999998</v>
      </c>
      <c r="AI229">
        <v>2.0707789999999999</v>
      </c>
      <c r="AJ229">
        <v>1.3936170000000001</v>
      </c>
      <c r="AK229">
        <v>6.2785219999999997</v>
      </c>
      <c r="AL229">
        <v>4.4018290000000002</v>
      </c>
      <c r="AM229">
        <v>3.2846639999999998</v>
      </c>
      <c r="AN229">
        <v>10.45571</v>
      </c>
      <c r="AO229">
        <v>11.524290000000001</v>
      </c>
      <c r="AP229">
        <v>0.16551440000000001</v>
      </c>
      <c r="AQ229">
        <v>9.191217</v>
      </c>
      <c r="AR229">
        <v>6.2320599999999997</v>
      </c>
      <c r="AS229">
        <v>1.8563000000000001</v>
      </c>
      <c r="AT229">
        <v>10.7721</v>
      </c>
      <c r="AU229">
        <v>91.076999999999998</v>
      </c>
      <c r="AV229">
        <v>159.64599999999999</v>
      </c>
      <c r="AW229">
        <v>23.520199999999999</v>
      </c>
      <c r="AX229" s="17">
        <v>200000000000</v>
      </c>
      <c r="AY229">
        <v>3.2846600000000001</v>
      </c>
      <c r="AZ229">
        <v>0.75</v>
      </c>
      <c r="BA229">
        <v>3.1974480000000001</v>
      </c>
      <c r="BB229">
        <v>3.1974478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0.35767399999999999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7.0470999999999997E-3</v>
      </c>
      <c r="CG229">
        <v>0.65765989999999996</v>
      </c>
      <c r="CH229">
        <v>0.54741499999999998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4.698868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0.43251659999999997</v>
      </c>
      <c r="DI229">
        <v>22.079360000000001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0.49324489999999999</v>
      </c>
      <c r="DW229">
        <v>3.5241509999999998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13.90814</v>
      </c>
      <c r="EW229">
        <v>7.1750999999999995E-2</v>
      </c>
      <c r="EX229">
        <v>7.1299699999999994E-2</v>
      </c>
      <c r="EY229">
        <v>7.1588200000000005E-2</v>
      </c>
      <c r="EZ229">
        <v>7.1459400000000006E-2</v>
      </c>
      <c r="FA229">
        <v>7.1613899999999994E-2</v>
      </c>
      <c r="FB229">
        <v>7.1114200000000002E-2</v>
      </c>
      <c r="FC229">
        <v>7.0436200000000004E-2</v>
      </c>
      <c r="FD229">
        <v>7.1561899999999998E-2</v>
      </c>
      <c r="FE229">
        <v>7.1744699999999995E-2</v>
      </c>
      <c r="FF229">
        <v>7.1671299999999993E-2</v>
      </c>
      <c r="FG229">
        <v>7.14278E-2</v>
      </c>
      <c r="FH229">
        <v>7.1471999999999994E-2</v>
      </c>
      <c r="FI229">
        <v>7.1529599999999999E-2</v>
      </c>
      <c r="FJ229">
        <v>7.1330099999999994E-2</v>
      </c>
      <c r="FK229">
        <v>0.52634510000000001</v>
      </c>
      <c r="FL229">
        <v>0.27703909999999998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-1.257622</v>
      </c>
      <c r="FZ229">
        <v>2.2106720000000002</v>
      </c>
      <c r="GA229">
        <v>0.2052011</v>
      </c>
      <c r="GB229">
        <v>-0.20096020000000001</v>
      </c>
      <c r="GC229">
        <v>3.910409</v>
      </c>
      <c r="GD229">
        <v>-0.18240899999999999</v>
      </c>
      <c r="GE229">
        <v>0.64065039999999995</v>
      </c>
      <c r="GF229">
        <v>1.213719</v>
      </c>
      <c r="GG229">
        <v>0.69821940000000005</v>
      </c>
      <c r="GH229">
        <v>7.1357730000000004</v>
      </c>
      <c r="GI229">
        <v>50.919249999999998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0.39475880000000002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5.3518299999999996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1</v>
      </c>
      <c r="IQ229">
        <v>1</v>
      </c>
      <c r="IR229">
        <v>1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1</v>
      </c>
      <c r="KG229">
        <v>1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1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1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1</v>
      </c>
      <c r="NL229">
        <v>1</v>
      </c>
      <c r="NM229">
        <v>1</v>
      </c>
      <c r="NN229">
        <v>1</v>
      </c>
      <c r="NO229">
        <v>1</v>
      </c>
      <c r="NP229">
        <v>116.0373</v>
      </c>
      <c r="NQ229">
        <v>1</v>
      </c>
      <c r="NR229">
        <v>1</v>
      </c>
      <c r="NS229">
        <v>1</v>
      </c>
      <c r="NT229">
        <v>1</v>
      </c>
      <c r="NU229">
        <v>1</v>
      </c>
      <c r="NV229">
        <v>1</v>
      </c>
      <c r="NW229">
        <v>1</v>
      </c>
      <c r="NX229">
        <v>1</v>
      </c>
      <c r="NY229">
        <v>1</v>
      </c>
      <c r="NZ229">
        <v>1</v>
      </c>
      <c r="OA229">
        <v>1</v>
      </c>
      <c r="OB229">
        <v>1</v>
      </c>
      <c r="OC229">
        <v>26.7</v>
      </c>
      <c r="OD229">
        <v>47670.1</v>
      </c>
      <c r="OE229">
        <v>1.43</v>
      </c>
      <c r="OF229">
        <v>508.8</v>
      </c>
      <c r="OG229">
        <v>6.4</v>
      </c>
      <c r="OH229">
        <v>91.076999999999998</v>
      </c>
    </row>
    <row r="230" spans="1:398">
      <c r="A230">
        <v>21</v>
      </c>
      <c r="B230" t="s">
        <v>13</v>
      </c>
      <c r="C230" t="s">
        <v>12</v>
      </c>
      <c r="D230">
        <v>2018</v>
      </c>
      <c r="E230">
        <v>9.0009999999999994</v>
      </c>
      <c r="F230">
        <v>3.9192999999999998</v>
      </c>
      <c r="G230">
        <v>540</v>
      </c>
      <c r="H230">
        <v>55.9</v>
      </c>
      <c r="I230">
        <v>75.599999999999994</v>
      </c>
      <c r="J230">
        <v>25.8</v>
      </c>
      <c r="K230">
        <v>41549.9</v>
      </c>
      <c r="L230">
        <v>1</v>
      </c>
      <c r="M230">
        <v>1.1000000000000001</v>
      </c>
      <c r="N230">
        <v>105760</v>
      </c>
      <c r="O230">
        <v>33.46</v>
      </c>
      <c r="P230">
        <v>1.18</v>
      </c>
      <c r="Q230">
        <v>8679.0300000000007</v>
      </c>
      <c r="R230">
        <v>80.400000000000006</v>
      </c>
      <c r="S230">
        <v>0.54115599999999997</v>
      </c>
      <c r="T230">
        <v>-1.127623</v>
      </c>
      <c r="U230">
        <v>2.1050040000000001</v>
      </c>
      <c r="V230">
        <v>0.25834829999999998</v>
      </c>
      <c r="W230">
        <v>1.3730389999999999</v>
      </c>
      <c r="X230">
        <v>-1.034357</v>
      </c>
      <c r="Y230">
        <v>2.8097859999999999</v>
      </c>
      <c r="Z230">
        <v>4.7987529999999996</v>
      </c>
      <c r="AA230">
        <v>0.91774979999999995</v>
      </c>
      <c r="AB230">
        <v>-0.84886099999999998</v>
      </c>
      <c r="AC230">
        <v>-0.1578928</v>
      </c>
      <c r="AD230">
        <v>1.213719</v>
      </c>
      <c r="AE230">
        <v>0.32541769999999998</v>
      </c>
      <c r="AF230">
        <v>2.223868</v>
      </c>
      <c r="AG230">
        <v>1.1088789999999999</v>
      </c>
      <c r="AH230">
        <v>5.9184190000000001</v>
      </c>
      <c r="AI230">
        <v>2.197336</v>
      </c>
      <c r="AJ230">
        <v>1.3659129999999999</v>
      </c>
      <c r="AK230">
        <v>6.291569</v>
      </c>
      <c r="AL230">
        <v>4.325456</v>
      </c>
      <c r="AM230">
        <v>3.250375</v>
      </c>
      <c r="AN230">
        <v>10.634650000000001</v>
      </c>
      <c r="AO230">
        <v>11.56893</v>
      </c>
      <c r="AP230">
        <v>0.16551440000000001</v>
      </c>
      <c r="AQ230">
        <v>9.0686660000000003</v>
      </c>
      <c r="AR230">
        <v>6.2378999999999998</v>
      </c>
      <c r="AS230">
        <v>2.0014799999999999</v>
      </c>
      <c r="AT230">
        <v>10.788600000000001</v>
      </c>
      <c r="AU230">
        <v>91.49</v>
      </c>
      <c r="AV230">
        <v>163.559</v>
      </c>
      <c r="AW230">
        <v>-30.7775</v>
      </c>
      <c r="AX230" s="17">
        <v>-290000000000</v>
      </c>
      <c r="AY230">
        <v>3.2958400000000001</v>
      </c>
      <c r="AZ230">
        <v>0.74</v>
      </c>
      <c r="BA230">
        <v>3.510351</v>
      </c>
      <c r="BB230">
        <v>3.5103507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0.66268800000000005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7.1767000000000003E-3</v>
      </c>
      <c r="CG230">
        <v>0.66164699999999999</v>
      </c>
      <c r="CH230">
        <v>0.59530400000000006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4.9187019999999997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0.43777670000000002</v>
      </c>
      <c r="DI230">
        <v>24.193629999999999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0.48961870000000002</v>
      </c>
      <c r="DW230">
        <v>3.6398389999999998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13.90494</v>
      </c>
      <c r="EW230">
        <v>7.1751099999999998E-2</v>
      </c>
      <c r="EX230">
        <v>7.1334599999999998E-2</v>
      </c>
      <c r="EY230">
        <v>7.1599700000000002E-2</v>
      </c>
      <c r="EZ230">
        <v>7.1469400000000002E-2</v>
      </c>
      <c r="FA230">
        <v>7.1678099999999995E-2</v>
      </c>
      <c r="FB230">
        <v>7.1160100000000004E-2</v>
      </c>
      <c r="FC230">
        <v>7.03038E-2</v>
      </c>
      <c r="FD230">
        <v>7.1504499999999999E-2</v>
      </c>
      <c r="FE230">
        <v>7.1761400000000003E-2</v>
      </c>
      <c r="FF230">
        <v>7.1679699999999999E-2</v>
      </c>
      <c r="FG230">
        <v>7.13308E-2</v>
      </c>
      <c r="FH230">
        <v>7.1490799999999993E-2</v>
      </c>
      <c r="FI230">
        <v>7.1595199999999998E-2</v>
      </c>
      <c r="FJ230">
        <v>7.1340700000000007E-2</v>
      </c>
      <c r="FK230">
        <v>0.54008160000000005</v>
      </c>
      <c r="FL230">
        <v>0.29168810000000001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-1.127623</v>
      </c>
      <c r="FZ230">
        <v>2.1050040000000001</v>
      </c>
      <c r="GA230">
        <v>0.25834829999999998</v>
      </c>
      <c r="GB230">
        <v>-1.034357</v>
      </c>
      <c r="GC230">
        <v>4.7987529999999996</v>
      </c>
      <c r="GD230">
        <v>-0.1578928</v>
      </c>
      <c r="GE230">
        <v>1.1088789999999999</v>
      </c>
      <c r="GF230">
        <v>1.213719</v>
      </c>
      <c r="GG230">
        <v>0.32541769999999998</v>
      </c>
      <c r="GH230">
        <v>7.9712940000000003</v>
      </c>
      <c r="GI230">
        <v>63.541530000000002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0.39966040000000003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5.8987579999999999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1</v>
      </c>
      <c r="KH230">
        <v>1</v>
      </c>
      <c r="KI230">
        <v>1</v>
      </c>
      <c r="KJ230">
        <v>1</v>
      </c>
      <c r="KK230">
        <v>1</v>
      </c>
      <c r="KL230">
        <v>1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1</v>
      </c>
      <c r="KS230">
        <v>1</v>
      </c>
      <c r="KT230">
        <v>1</v>
      </c>
      <c r="KU230">
        <v>1</v>
      </c>
      <c r="KV230">
        <v>1</v>
      </c>
      <c r="KW230">
        <v>1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1</v>
      </c>
      <c r="LE230">
        <v>1</v>
      </c>
      <c r="LF230">
        <v>1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1</v>
      </c>
      <c r="LR230">
        <v>1</v>
      </c>
      <c r="LS230">
        <v>1</v>
      </c>
      <c r="LT230">
        <v>1</v>
      </c>
      <c r="LU230">
        <v>1</v>
      </c>
      <c r="LV230">
        <v>1</v>
      </c>
      <c r="LW230">
        <v>1</v>
      </c>
      <c r="LX230">
        <v>1</v>
      </c>
      <c r="LY230">
        <v>1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1</v>
      </c>
      <c r="MX230">
        <v>1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1</v>
      </c>
      <c r="NH230">
        <v>1</v>
      </c>
      <c r="NI230">
        <v>1</v>
      </c>
      <c r="NJ230">
        <v>1</v>
      </c>
      <c r="NK230">
        <v>1</v>
      </c>
      <c r="NL230">
        <v>1</v>
      </c>
      <c r="NM230">
        <v>1</v>
      </c>
      <c r="NN230">
        <v>1</v>
      </c>
      <c r="NO230">
        <v>1</v>
      </c>
      <c r="NP230">
        <v>116.393</v>
      </c>
      <c r="NQ230">
        <v>1</v>
      </c>
      <c r="NR230">
        <v>1</v>
      </c>
      <c r="NS230">
        <v>1</v>
      </c>
      <c r="NT230">
        <v>1</v>
      </c>
      <c r="NU230">
        <v>1</v>
      </c>
      <c r="NV230">
        <v>1</v>
      </c>
      <c r="NW230">
        <v>1</v>
      </c>
      <c r="NX230">
        <v>1</v>
      </c>
      <c r="NY230">
        <v>1</v>
      </c>
      <c r="NZ230">
        <v>1</v>
      </c>
      <c r="OA230">
        <v>1</v>
      </c>
      <c r="OB230">
        <v>1</v>
      </c>
      <c r="OC230">
        <v>27</v>
      </c>
      <c r="OD230">
        <v>48463</v>
      </c>
      <c r="OE230">
        <v>1.94</v>
      </c>
      <c r="OF230">
        <v>511.78</v>
      </c>
      <c r="OG230">
        <v>7.4</v>
      </c>
      <c r="OH230">
        <v>91.49</v>
      </c>
    </row>
    <row r="231" spans="1:398">
      <c r="A231">
        <v>21</v>
      </c>
      <c r="B231" t="s">
        <v>13</v>
      </c>
      <c r="C231" t="s">
        <v>12</v>
      </c>
      <c r="D231">
        <v>2019</v>
      </c>
      <c r="E231">
        <v>9.2959999999999994</v>
      </c>
      <c r="F231">
        <v>4.1224999999999996</v>
      </c>
      <c r="G231">
        <v>541</v>
      </c>
      <c r="H231">
        <v>56.9</v>
      </c>
      <c r="I231">
        <v>69.599999999999994</v>
      </c>
      <c r="J231">
        <v>25.6</v>
      </c>
      <c r="K231">
        <v>35751.1</v>
      </c>
      <c r="L231">
        <v>1.1000000000000001</v>
      </c>
      <c r="M231">
        <v>1.1000000000000001</v>
      </c>
      <c r="N231">
        <v>108283</v>
      </c>
      <c r="O231">
        <v>33.520000000000003</v>
      </c>
      <c r="P231">
        <v>1.18</v>
      </c>
      <c r="Q231">
        <v>7547.48</v>
      </c>
      <c r="R231">
        <v>80.599999999999994</v>
      </c>
      <c r="S231">
        <v>0.52790499999999996</v>
      </c>
      <c r="T231">
        <v>-1.0917829999999999</v>
      </c>
      <c r="U231">
        <v>2.3000250000000002</v>
      </c>
      <c r="V231">
        <v>0.26594079999999998</v>
      </c>
      <c r="W231">
        <v>1.4374119999999999</v>
      </c>
      <c r="X231">
        <v>-1.8677539999999999</v>
      </c>
      <c r="Y231">
        <v>2.7777599999999998</v>
      </c>
      <c r="Z231">
        <v>4.0420619999999996</v>
      </c>
      <c r="AA231">
        <v>1.1958839999999999</v>
      </c>
      <c r="AB231">
        <v>-0.84886099999999998</v>
      </c>
      <c r="AC231">
        <v>-0.14449580000000001</v>
      </c>
      <c r="AD231">
        <v>1.213719</v>
      </c>
      <c r="AE231">
        <v>-4.7384000000000003E-2</v>
      </c>
      <c r="AF231">
        <v>2.2344040000000001</v>
      </c>
      <c r="AG231">
        <v>1.112004</v>
      </c>
      <c r="AH231">
        <v>5.8844779999999997</v>
      </c>
      <c r="AI231">
        <v>2.229584</v>
      </c>
      <c r="AJ231">
        <v>1.4164600000000001</v>
      </c>
      <c r="AK231">
        <v>6.2934190000000001</v>
      </c>
      <c r="AL231">
        <v>4.2427640000000002</v>
      </c>
      <c r="AM231">
        <v>3.2425920000000001</v>
      </c>
      <c r="AN231">
        <v>10.48434</v>
      </c>
      <c r="AO231">
        <v>11.592499999999999</v>
      </c>
      <c r="AP231">
        <v>0.16551440000000001</v>
      </c>
      <c r="AQ231">
        <v>8.9289690000000004</v>
      </c>
      <c r="AR231">
        <v>6.24444</v>
      </c>
      <c r="AS231">
        <v>2.1517599999999999</v>
      </c>
      <c r="AT231">
        <v>10.8048</v>
      </c>
      <c r="AU231">
        <v>91.876000000000005</v>
      </c>
      <c r="AV231">
        <v>160.67699999999999</v>
      </c>
      <c r="AW231">
        <v>-13.673999999999999</v>
      </c>
      <c r="AX231" s="17">
        <v>-130000000000</v>
      </c>
      <c r="AY231">
        <v>3.3214299999999999</v>
      </c>
      <c r="AZ231">
        <v>0.73</v>
      </c>
      <c r="BA231">
        <v>3.5121419999999999</v>
      </c>
      <c r="BB231">
        <v>3.5121422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0.65751999999999999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7.2620999999999996E-3</v>
      </c>
      <c r="CG231">
        <v>0.65588250000000003</v>
      </c>
      <c r="CH231">
        <v>0.5655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5.0640710000000002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0.4301818</v>
      </c>
      <c r="DI231">
        <v>25.644819999999999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0.4787942</v>
      </c>
      <c r="DW231">
        <v>3.6967720000000002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13.908429999999999</v>
      </c>
      <c r="EW231">
        <v>7.1728899999999998E-2</v>
      </c>
      <c r="EX231">
        <v>7.1296300000000007E-2</v>
      </c>
      <c r="EY231">
        <v>7.1582099999999996E-2</v>
      </c>
      <c r="EZ231">
        <v>7.1447200000000002E-2</v>
      </c>
      <c r="FA231">
        <v>7.1709899999999993E-2</v>
      </c>
      <c r="FB231">
        <v>7.1154899999999993E-2</v>
      </c>
      <c r="FC231">
        <v>7.0480600000000004E-2</v>
      </c>
      <c r="FD231">
        <v>7.14529E-2</v>
      </c>
      <c r="FE231">
        <v>7.1743699999999994E-2</v>
      </c>
      <c r="FF231">
        <v>7.1657700000000005E-2</v>
      </c>
      <c r="FG231">
        <v>7.1316699999999997E-2</v>
      </c>
      <c r="FH231">
        <v>7.14751E-2</v>
      </c>
      <c r="FI231">
        <v>7.1627899999999994E-2</v>
      </c>
      <c r="FJ231">
        <v>7.1326000000000001E-2</v>
      </c>
      <c r="FK231">
        <v>0.52699949999999995</v>
      </c>
      <c r="FL231">
        <v>0.27772839999999999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-1.0917829999999999</v>
      </c>
      <c r="FZ231">
        <v>2.3000250000000002</v>
      </c>
      <c r="GA231">
        <v>0.26594079999999998</v>
      </c>
      <c r="GB231">
        <v>-1.8677539999999999</v>
      </c>
      <c r="GC231">
        <v>4.0420619999999996</v>
      </c>
      <c r="GD231">
        <v>-0.14449580000000001</v>
      </c>
      <c r="GE231">
        <v>1.112004</v>
      </c>
      <c r="GF231">
        <v>1.213719</v>
      </c>
      <c r="GG231">
        <v>-4.7384000000000003E-2</v>
      </c>
      <c r="GH231">
        <v>7.9113129999999998</v>
      </c>
      <c r="GI231">
        <v>62.58887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0.38470959999999998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5.7752590000000001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1</v>
      </c>
      <c r="LA231">
        <v>1</v>
      </c>
      <c r="LB231">
        <v>1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116.7426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27.7</v>
      </c>
      <c r="OD231">
        <v>49254</v>
      </c>
      <c r="OE231">
        <v>1.93</v>
      </c>
      <c r="OF231">
        <v>515.14300000000003</v>
      </c>
      <c r="OG231">
        <v>8.6</v>
      </c>
      <c r="OH231">
        <v>91.876000000000005</v>
      </c>
    </row>
    <row r="232" spans="1:398">
      <c r="A232">
        <v>21</v>
      </c>
      <c r="B232" t="s">
        <v>13</v>
      </c>
      <c r="C232" t="s">
        <v>12</v>
      </c>
      <c r="D232">
        <v>2020</v>
      </c>
      <c r="E232">
        <v>9.2639999999999993</v>
      </c>
      <c r="F232">
        <v>4.3422000000000001</v>
      </c>
      <c r="G232">
        <v>580</v>
      </c>
      <c r="H232">
        <v>56.9</v>
      </c>
      <c r="I232">
        <v>74</v>
      </c>
      <c r="J232">
        <v>27.1</v>
      </c>
      <c r="K232">
        <v>39992.400000000001</v>
      </c>
      <c r="L232">
        <v>1</v>
      </c>
      <c r="M232">
        <v>1.1000000000000001</v>
      </c>
      <c r="N232">
        <v>104905</v>
      </c>
      <c r="O232">
        <v>13.25</v>
      </c>
      <c r="P232">
        <v>1.0900000000000001</v>
      </c>
      <c r="Q232">
        <v>6415.92</v>
      </c>
      <c r="R232">
        <v>81</v>
      </c>
      <c r="S232">
        <v>0.52229999999999999</v>
      </c>
      <c r="T232">
        <v>-1.0956699999999999</v>
      </c>
      <c r="U232">
        <v>2.5108820000000001</v>
      </c>
      <c r="V232">
        <v>0.56204690000000002</v>
      </c>
      <c r="W232">
        <v>1.4374119999999999</v>
      </c>
      <c r="X232">
        <v>-1.256596</v>
      </c>
      <c r="Y232">
        <v>3.0179559999999999</v>
      </c>
      <c r="Z232">
        <v>4.5955130000000004</v>
      </c>
      <c r="AA232">
        <v>0.91774979999999995</v>
      </c>
      <c r="AB232">
        <v>-0.84886099999999998</v>
      </c>
      <c r="AC232">
        <v>-0.16243289999999999</v>
      </c>
      <c r="AD232">
        <v>0.77268210000000004</v>
      </c>
      <c r="AE232">
        <v>-0.42018559999999999</v>
      </c>
      <c r="AF232">
        <v>2.2554750000000001</v>
      </c>
      <c r="AG232">
        <v>5.62765E-2</v>
      </c>
      <c r="AH232">
        <v>5.7177509999999998</v>
      </c>
      <c r="AI232">
        <v>2.2261359999999999</v>
      </c>
      <c r="AJ232">
        <v>1.4683809999999999</v>
      </c>
      <c r="AK232">
        <v>6.3630279999999999</v>
      </c>
      <c r="AL232">
        <v>4.3040649999999996</v>
      </c>
      <c r="AM232">
        <v>3.299534</v>
      </c>
      <c r="AN232">
        <v>10.596450000000001</v>
      </c>
      <c r="AO232">
        <v>11.56081</v>
      </c>
      <c r="AP232">
        <v>8.6177699999999996E-2</v>
      </c>
      <c r="AQ232">
        <v>8.7665389999999999</v>
      </c>
      <c r="AR232">
        <v>6.25</v>
      </c>
      <c r="AS232">
        <v>2.3702399999999999</v>
      </c>
      <c r="AT232">
        <v>10.7597</v>
      </c>
      <c r="AU232">
        <v>92.236000000000004</v>
      </c>
      <c r="AV232">
        <v>152.233</v>
      </c>
      <c r="AW232">
        <v>-23.709499999999998</v>
      </c>
      <c r="AX232" s="17">
        <v>-220000000000</v>
      </c>
      <c r="AY232">
        <v>3.3428599999999999</v>
      </c>
      <c r="AZ232">
        <v>0.72</v>
      </c>
      <c r="BA232">
        <v>2.5839970000000001</v>
      </c>
      <c r="BB232">
        <v>2.5839975000000002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-0.27443699999999999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7.2097000000000003E-3</v>
      </c>
      <c r="CG232">
        <v>0.65173270000000005</v>
      </c>
      <c r="CH232">
        <v>0.56717499999999998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4.8354540000000004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0.42475550000000001</v>
      </c>
      <c r="DI232">
        <v>23.381620000000002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0.46924749999999998</v>
      </c>
      <c r="DW232">
        <v>3.4815269999999998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13.91175</v>
      </c>
      <c r="EW232">
        <v>7.1712600000000001E-2</v>
      </c>
      <c r="EX232">
        <v>7.1257899999999999E-2</v>
      </c>
      <c r="EY232">
        <v>7.1532799999999994E-2</v>
      </c>
      <c r="EZ232">
        <v>7.1432700000000002E-2</v>
      </c>
      <c r="FA232">
        <v>7.1656899999999996E-2</v>
      </c>
      <c r="FB232">
        <v>7.11117E-2</v>
      </c>
      <c r="FC232">
        <v>7.0385900000000001E-2</v>
      </c>
      <c r="FD232">
        <v>7.1473900000000007E-2</v>
      </c>
      <c r="FE232">
        <v>7.1726799999999993E-2</v>
      </c>
      <c r="FF232">
        <v>7.1647500000000003E-2</v>
      </c>
      <c r="FG232">
        <v>7.1578299999999997E-2</v>
      </c>
      <c r="FH232">
        <v>7.15084E-2</v>
      </c>
      <c r="FI232">
        <v>7.1663500000000005E-2</v>
      </c>
      <c r="FJ232">
        <v>7.1310899999999997E-2</v>
      </c>
      <c r="FK232">
        <v>0.52113379999999998</v>
      </c>
      <c r="FL232">
        <v>0.2715804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-1.0956699999999999</v>
      </c>
      <c r="FZ232">
        <v>2.5108820000000001</v>
      </c>
      <c r="GA232">
        <v>0.56204690000000002</v>
      </c>
      <c r="GB232">
        <v>-1.256596</v>
      </c>
      <c r="GC232">
        <v>4.5955130000000004</v>
      </c>
      <c r="GD232">
        <v>-0.16243289999999999</v>
      </c>
      <c r="GE232">
        <v>5.62765E-2</v>
      </c>
      <c r="GF232">
        <v>0.77268210000000004</v>
      </c>
      <c r="GG232">
        <v>-0.42018559999999999</v>
      </c>
      <c r="GH232">
        <v>7.6325229999999999</v>
      </c>
      <c r="GI232">
        <v>58.255400000000002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0.3752163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5.4954169999999998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1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MZ232">
        <v>1</v>
      </c>
      <c r="NA232">
        <v>1</v>
      </c>
      <c r="NB232">
        <v>1</v>
      </c>
      <c r="NC232">
        <v>1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115.77200000000001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28.3</v>
      </c>
      <c r="OD232">
        <v>47086.6</v>
      </c>
      <c r="OE232">
        <v>0.76</v>
      </c>
      <c r="OF232">
        <v>518.01300000000003</v>
      </c>
      <c r="OG232">
        <v>10.7</v>
      </c>
      <c r="OH232">
        <v>92.236000000000004</v>
      </c>
    </row>
    <row r="233" spans="1:398">
      <c r="A233">
        <v>22</v>
      </c>
      <c r="B233" t="s">
        <v>11</v>
      </c>
      <c r="C233" t="s">
        <v>10</v>
      </c>
      <c r="D233">
        <v>2010</v>
      </c>
      <c r="E233">
        <v>15.673</v>
      </c>
      <c r="F233">
        <v>0.58730000000000004</v>
      </c>
      <c r="G233">
        <v>629</v>
      </c>
      <c r="H233">
        <v>16.3</v>
      </c>
      <c r="I233">
        <v>78.400000000000006</v>
      </c>
      <c r="J233">
        <v>11.1</v>
      </c>
      <c r="K233">
        <v>556.4</v>
      </c>
      <c r="L233">
        <v>0.5</v>
      </c>
      <c r="M233">
        <v>1.7</v>
      </c>
      <c r="N233">
        <v>371159</v>
      </c>
      <c r="O233">
        <v>34.67</v>
      </c>
      <c r="P233">
        <v>0.85</v>
      </c>
      <c r="Q233">
        <v>9139.24</v>
      </c>
      <c r="R233">
        <v>16.899999999999999</v>
      </c>
      <c r="S233">
        <v>0.29114099999999998</v>
      </c>
      <c r="T233">
        <v>-0.31701279999999998</v>
      </c>
      <c r="U233">
        <v>-1.092883</v>
      </c>
      <c r="V233">
        <v>0.93407779999999996</v>
      </c>
      <c r="W233">
        <v>-1.1761269999999999</v>
      </c>
      <c r="X233">
        <v>-0.64543810000000001</v>
      </c>
      <c r="Y233">
        <v>0.45586100000000002</v>
      </c>
      <c r="Z233">
        <v>-0.55053490000000005</v>
      </c>
      <c r="AA233">
        <v>-0.47292210000000001</v>
      </c>
      <c r="AB233">
        <v>-5.7301499999999998E-2</v>
      </c>
      <c r="AC233">
        <v>1.251369</v>
      </c>
      <c r="AD233">
        <v>-0.4034181</v>
      </c>
      <c r="AE233">
        <v>0.4770354</v>
      </c>
      <c r="AF233">
        <v>-1.1211930000000001</v>
      </c>
      <c r="AG233">
        <v>1.171899</v>
      </c>
      <c r="AH233">
        <v>-0.50387219999999999</v>
      </c>
      <c r="AI233">
        <v>2.7519399999999998</v>
      </c>
      <c r="AJ233">
        <v>-0.53221949999999996</v>
      </c>
      <c r="AK233">
        <v>6.4441309999999996</v>
      </c>
      <c r="AL233">
        <v>4.3618240000000004</v>
      </c>
      <c r="AM233">
        <v>2.4069449999999999</v>
      </c>
      <c r="AN233">
        <v>6.3214870000000003</v>
      </c>
      <c r="AO233">
        <v>12.824389999999999</v>
      </c>
      <c r="AP233">
        <v>-0.16251889999999999</v>
      </c>
      <c r="AQ233">
        <v>9.1203319999999994</v>
      </c>
      <c r="AR233">
        <v>4.8219700000000003</v>
      </c>
      <c r="AS233">
        <v>2.25129</v>
      </c>
      <c r="AT233">
        <v>9.2880800000000008</v>
      </c>
      <c r="AU233">
        <v>60.892000000000003</v>
      </c>
      <c r="AV233">
        <v>82.225899999999996</v>
      </c>
      <c r="AW233">
        <v>3.94489</v>
      </c>
      <c r="AX233" s="17">
        <v>19000000000</v>
      </c>
      <c r="AY233">
        <v>2.8622000000000001</v>
      </c>
      <c r="AZ233">
        <v>0.45</v>
      </c>
      <c r="BA233">
        <v>3.5458750000000001</v>
      </c>
      <c r="BB233">
        <v>3.5458745999999999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-9.4311000000000006E-2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1.6631E-3</v>
      </c>
      <c r="CG233">
        <v>0.46688590000000002</v>
      </c>
      <c r="CH233">
        <v>0.25956600000000002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-0.57258050000000005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0.21798239999999999</v>
      </c>
      <c r="DI233">
        <v>0.32784839999999998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0.2100987</v>
      </c>
      <c r="DW233">
        <v>-0.25766119999999998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13.945740000000001</v>
      </c>
      <c r="EW233">
        <v>7.1446399999999993E-2</v>
      </c>
      <c r="EX233">
        <v>7.16363E-2</v>
      </c>
      <c r="EY233">
        <v>7.1319599999999997E-2</v>
      </c>
      <c r="EZ233">
        <v>7.1572399999999994E-2</v>
      </c>
      <c r="FA233">
        <v>7.1448200000000003E-2</v>
      </c>
      <c r="FB233">
        <v>7.1347900000000006E-2</v>
      </c>
      <c r="FC233">
        <v>7.1659100000000003E-2</v>
      </c>
      <c r="FD233">
        <v>7.1497199999999997E-2</v>
      </c>
      <c r="FE233">
        <v>7.1432800000000005E-2</v>
      </c>
      <c r="FF233">
        <v>7.1062299999999995E-2</v>
      </c>
      <c r="FG233">
        <v>7.1118500000000001E-2</v>
      </c>
      <c r="FH233">
        <v>7.1473900000000007E-2</v>
      </c>
      <c r="FI233">
        <v>7.1369500000000002E-2</v>
      </c>
      <c r="FJ233">
        <v>7.1615999999999999E-2</v>
      </c>
      <c r="FK233">
        <v>0.29083819999999999</v>
      </c>
      <c r="FL233">
        <v>8.4586900000000007E-2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-0.31701279999999998</v>
      </c>
      <c r="FZ233">
        <v>-1.092883</v>
      </c>
      <c r="GA233">
        <v>0.93407779999999996</v>
      </c>
      <c r="GB233">
        <v>-0.64543810000000001</v>
      </c>
      <c r="GC233">
        <v>-0.55053490000000005</v>
      </c>
      <c r="GD233">
        <v>1.251369</v>
      </c>
      <c r="GE233">
        <v>1.171899</v>
      </c>
      <c r="GF233">
        <v>-0.4034181</v>
      </c>
      <c r="GG233">
        <v>0.4770354</v>
      </c>
      <c r="GH233">
        <v>-0.27668579999999998</v>
      </c>
      <c r="GI233">
        <v>7.6554999999999998E-2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0.1308772</v>
      </c>
      <c r="GW233">
        <v>1</v>
      </c>
      <c r="GX233">
        <v>1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1</v>
      </c>
      <c r="HE233">
        <v>1</v>
      </c>
      <c r="HF233">
        <v>1</v>
      </c>
      <c r="HG233">
        <v>1</v>
      </c>
      <c r="HH233">
        <v>1</v>
      </c>
      <c r="HI233">
        <v>-0.1245086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KZ233">
        <v>1</v>
      </c>
      <c r="LA233">
        <v>1</v>
      </c>
      <c r="LB233">
        <v>1</v>
      </c>
      <c r="LC233">
        <v>1</v>
      </c>
      <c r="LD233">
        <v>1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1</v>
      </c>
      <c r="MH233">
        <v>1</v>
      </c>
      <c r="MI233">
        <v>1</v>
      </c>
      <c r="MJ233">
        <v>1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1</v>
      </c>
      <c r="MW233">
        <v>1</v>
      </c>
      <c r="MX233">
        <v>1</v>
      </c>
      <c r="MY233">
        <v>1</v>
      </c>
      <c r="MZ233">
        <v>1</v>
      </c>
      <c r="NA233">
        <v>1</v>
      </c>
      <c r="NB233">
        <v>1</v>
      </c>
      <c r="NC233">
        <v>1</v>
      </c>
      <c r="ND233">
        <v>1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1</v>
      </c>
      <c r="NO233">
        <v>1</v>
      </c>
      <c r="NP233">
        <v>86.268420000000006</v>
      </c>
      <c r="NQ233">
        <v>1</v>
      </c>
      <c r="NR233">
        <v>1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17.5</v>
      </c>
      <c r="OD233">
        <v>10808.4</v>
      </c>
      <c r="OE233">
        <v>0.91</v>
      </c>
      <c r="OF233">
        <v>124.209</v>
      </c>
      <c r="OG233">
        <v>9.5</v>
      </c>
      <c r="OH233">
        <v>60.892000000000003</v>
      </c>
    </row>
    <row r="234" spans="1:398">
      <c r="A234">
        <v>22</v>
      </c>
      <c r="B234" t="s">
        <v>11</v>
      </c>
      <c r="C234" t="s">
        <v>10</v>
      </c>
      <c r="D234">
        <v>2011</v>
      </c>
      <c r="E234">
        <v>19.529</v>
      </c>
      <c r="F234">
        <v>0.498</v>
      </c>
      <c r="G234">
        <v>643</v>
      </c>
      <c r="H234">
        <v>11.4</v>
      </c>
      <c r="I234">
        <v>90</v>
      </c>
      <c r="J234">
        <v>9.4</v>
      </c>
      <c r="K234">
        <v>1331.9</v>
      </c>
      <c r="L234">
        <v>0.5</v>
      </c>
      <c r="M234">
        <v>1.8</v>
      </c>
      <c r="N234">
        <v>380152</v>
      </c>
      <c r="O234">
        <v>36.9</v>
      </c>
      <c r="P234">
        <v>0.84</v>
      </c>
      <c r="Q234">
        <v>9072.02</v>
      </c>
      <c r="R234">
        <v>15.3</v>
      </c>
      <c r="S234">
        <v>0.30047499999999999</v>
      </c>
      <c r="T234">
        <v>0.15146950000000001</v>
      </c>
      <c r="U234">
        <v>-1.1785890000000001</v>
      </c>
      <c r="V234">
        <v>1.0403720000000001</v>
      </c>
      <c r="W234">
        <v>-1.491555</v>
      </c>
      <c r="X234">
        <v>0.96579570000000003</v>
      </c>
      <c r="Y234">
        <v>0.1836383</v>
      </c>
      <c r="Z234">
        <v>-0.44933899999999999</v>
      </c>
      <c r="AA234">
        <v>-0.47292210000000001</v>
      </c>
      <c r="AB234">
        <v>7.46251E-2</v>
      </c>
      <c r="AC234">
        <v>1.2991220000000001</v>
      </c>
      <c r="AD234">
        <v>-0.45242250000000001</v>
      </c>
      <c r="AE234">
        <v>0.45489180000000001</v>
      </c>
      <c r="AF234">
        <v>-1.205478</v>
      </c>
      <c r="AG234">
        <v>1.2880450000000001</v>
      </c>
      <c r="AH234">
        <v>-0.93378349999999999</v>
      </c>
      <c r="AI234">
        <v>2.9719000000000002</v>
      </c>
      <c r="AJ234">
        <v>-0.69715519999999997</v>
      </c>
      <c r="AK234">
        <v>6.466145</v>
      </c>
      <c r="AL234">
        <v>4.4998100000000001</v>
      </c>
      <c r="AM234">
        <v>2.24071</v>
      </c>
      <c r="AN234">
        <v>7.1943619999999999</v>
      </c>
      <c r="AO234">
        <v>12.848330000000001</v>
      </c>
      <c r="AP234">
        <v>-0.17435339999999999</v>
      </c>
      <c r="AQ234">
        <v>9.1129499999999997</v>
      </c>
      <c r="AR234">
        <v>4.8226699999999996</v>
      </c>
      <c r="AS234">
        <v>2.3418100000000002</v>
      </c>
      <c r="AT234">
        <v>9.3387600000000006</v>
      </c>
      <c r="AU234">
        <v>60.78</v>
      </c>
      <c r="AV234">
        <v>86.923699999999997</v>
      </c>
      <c r="AW234">
        <v>3.5712899999999999</v>
      </c>
      <c r="AX234" s="17">
        <v>19000000000</v>
      </c>
      <c r="AY234">
        <v>2.9444400000000002</v>
      </c>
      <c r="AZ234">
        <v>0.48</v>
      </c>
      <c r="BA234">
        <v>3.608212</v>
      </c>
      <c r="BB234">
        <v>3.6082114999999999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-3.0459E-2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9.9419999999999999E-4</v>
      </c>
      <c r="CG234">
        <v>0.47742329999999999</v>
      </c>
      <c r="CH234">
        <v>0.26148100000000002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-1.034438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0.227933</v>
      </c>
      <c r="DI234">
        <v>1.0700620000000001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0.22916320000000001</v>
      </c>
      <c r="DW234">
        <v>-0.49653009999999997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13.9444</v>
      </c>
      <c r="EW234">
        <v>7.14032E-2</v>
      </c>
      <c r="EX234">
        <v>7.1662500000000004E-2</v>
      </c>
      <c r="EY234">
        <v>7.1317000000000005E-2</v>
      </c>
      <c r="EZ234">
        <v>7.1626800000000004E-2</v>
      </c>
      <c r="FA234">
        <v>7.1370299999999998E-2</v>
      </c>
      <c r="FB234">
        <v>7.1406700000000004E-2</v>
      </c>
      <c r="FC234">
        <v>7.1613200000000002E-2</v>
      </c>
      <c r="FD234">
        <v>7.1504499999999999E-2</v>
      </c>
      <c r="FE234">
        <v>7.1422100000000002E-2</v>
      </c>
      <c r="FF234">
        <v>7.1062899999999998E-2</v>
      </c>
      <c r="FG234">
        <v>7.1103399999999997E-2</v>
      </c>
      <c r="FH234">
        <v>7.1487499999999995E-2</v>
      </c>
      <c r="FI234">
        <v>7.13805E-2</v>
      </c>
      <c r="FJ234">
        <v>7.1639300000000003E-2</v>
      </c>
      <c r="FK234">
        <v>0.3001239</v>
      </c>
      <c r="FL234">
        <v>9.0074399999999999E-2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0.15146950000000001</v>
      </c>
      <c r="FZ234">
        <v>-1.1785890000000001</v>
      </c>
      <c r="GA234">
        <v>1.0403720000000001</v>
      </c>
      <c r="GB234">
        <v>0.96579570000000003</v>
      </c>
      <c r="GC234">
        <v>-0.44933899999999999</v>
      </c>
      <c r="GD234">
        <v>1.2991220000000001</v>
      </c>
      <c r="GE234">
        <v>1.2880450000000001</v>
      </c>
      <c r="GF234">
        <v>-0.45242250000000001</v>
      </c>
      <c r="GG234">
        <v>0.45489180000000001</v>
      </c>
      <c r="GH234">
        <v>-0.86641829999999997</v>
      </c>
      <c r="GI234">
        <v>0.75068069999999998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0.14405950000000001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1</v>
      </c>
      <c r="HG234">
        <v>1</v>
      </c>
      <c r="HH234">
        <v>1</v>
      </c>
      <c r="HI234">
        <v>-0.41588079999999999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IZ234">
        <v>1</v>
      </c>
      <c r="JA234">
        <v>1</v>
      </c>
      <c r="JB234">
        <v>1</v>
      </c>
      <c r="JC234">
        <v>1</v>
      </c>
      <c r="JD234">
        <v>1</v>
      </c>
      <c r="JE234">
        <v>1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1</v>
      </c>
      <c r="KY234">
        <v>1</v>
      </c>
      <c r="KZ234">
        <v>1</v>
      </c>
      <c r="LA234">
        <v>1</v>
      </c>
      <c r="LB234">
        <v>1</v>
      </c>
      <c r="LC234">
        <v>1</v>
      </c>
      <c r="LD234">
        <v>1</v>
      </c>
      <c r="LE234">
        <v>1</v>
      </c>
      <c r="LF234">
        <v>1</v>
      </c>
      <c r="LG234">
        <v>1</v>
      </c>
      <c r="LH234">
        <v>1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1</v>
      </c>
      <c r="LV234">
        <v>1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1</v>
      </c>
      <c r="MM234">
        <v>1</v>
      </c>
      <c r="MN234">
        <v>1</v>
      </c>
      <c r="MO234">
        <v>1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MZ234">
        <v>1</v>
      </c>
      <c r="NA234">
        <v>1</v>
      </c>
      <c r="NB234">
        <v>1</v>
      </c>
      <c r="NC234">
        <v>1</v>
      </c>
      <c r="ND234">
        <v>1</v>
      </c>
      <c r="NE234">
        <v>1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1</v>
      </c>
      <c r="NL234">
        <v>1</v>
      </c>
      <c r="NM234">
        <v>1</v>
      </c>
      <c r="NN234">
        <v>1</v>
      </c>
      <c r="NO234">
        <v>1</v>
      </c>
      <c r="NP234">
        <v>87.212450000000004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1</v>
      </c>
      <c r="NW234">
        <v>1</v>
      </c>
      <c r="NX234">
        <v>1</v>
      </c>
      <c r="NY234">
        <v>1</v>
      </c>
      <c r="NZ234">
        <v>1</v>
      </c>
      <c r="OA234">
        <v>1</v>
      </c>
      <c r="OB234">
        <v>1</v>
      </c>
      <c r="OC234">
        <v>19</v>
      </c>
      <c r="OD234">
        <v>11370.3</v>
      </c>
      <c r="OE234">
        <v>0.97</v>
      </c>
      <c r="OF234">
        <v>124.29600000000001</v>
      </c>
      <c r="OG234">
        <v>10.4</v>
      </c>
      <c r="OH234">
        <v>60.78</v>
      </c>
    </row>
    <row r="235" spans="1:398">
      <c r="A235">
        <v>22</v>
      </c>
      <c r="B235" t="s">
        <v>11</v>
      </c>
      <c r="C235" t="s">
        <v>10</v>
      </c>
      <c r="D235">
        <v>2012</v>
      </c>
      <c r="E235">
        <v>16.399000000000001</v>
      </c>
      <c r="F235">
        <v>0.58960000000000001</v>
      </c>
      <c r="G235">
        <v>643</v>
      </c>
      <c r="H235">
        <v>12</v>
      </c>
      <c r="I235">
        <v>76.3</v>
      </c>
      <c r="J235">
        <v>11</v>
      </c>
      <c r="K235">
        <v>217.5</v>
      </c>
      <c r="L235">
        <v>0.5</v>
      </c>
      <c r="M235">
        <v>1.9</v>
      </c>
      <c r="N235">
        <v>387443</v>
      </c>
      <c r="O235">
        <v>55.67</v>
      </c>
      <c r="P235">
        <v>0.83</v>
      </c>
      <c r="Q235">
        <v>8864.93</v>
      </c>
      <c r="R235">
        <v>16.2</v>
      </c>
      <c r="S235">
        <v>0.299813</v>
      </c>
      <c r="T235">
        <v>-0.22880790000000001</v>
      </c>
      <c r="U235">
        <v>-1.090676</v>
      </c>
      <c r="V235">
        <v>1.0403720000000001</v>
      </c>
      <c r="W235">
        <v>-1.452931</v>
      </c>
      <c r="X235">
        <v>-0.93712680000000004</v>
      </c>
      <c r="Y235">
        <v>0.43984790000000001</v>
      </c>
      <c r="Z235">
        <v>-0.59475840000000002</v>
      </c>
      <c r="AA235">
        <v>-0.47292210000000001</v>
      </c>
      <c r="AB235">
        <v>0.2065517</v>
      </c>
      <c r="AC235">
        <v>1.3378369999999999</v>
      </c>
      <c r="AD235">
        <v>-0.50142659999999994</v>
      </c>
      <c r="AE235">
        <v>0.3866637</v>
      </c>
      <c r="AF235">
        <v>-1.158067</v>
      </c>
      <c r="AG235">
        <v>2.265647</v>
      </c>
      <c r="AH235">
        <v>-0.2778217</v>
      </c>
      <c r="AI235">
        <v>2.7972199999999998</v>
      </c>
      <c r="AJ235">
        <v>-0.52831090000000003</v>
      </c>
      <c r="AK235">
        <v>6.466145</v>
      </c>
      <c r="AL235">
        <v>4.3346730000000004</v>
      </c>
      <c r="AM235">
        <v>2.3978950000000001</v>
      </c>
      <c r="AN235">
        <v>5.382199</v>
      </c>
      <c r="AO235">
        <v>12.867319999999999</v>
      </c>
      <c r="AP235">
        <v>-0.18632960000000001</v>
      </c>
      <c r="AQ235">
        <v>9.0898590000000006</v>
      </c>
      <c r="AR235">
        <v>4.8227000000000002</v>
      </c>
      <c r="AS235">
        <v>2.38876</v>
      </c>
      <c r="AT235">
        <v>9.3537599999999994</v>
      </c>
      <c r="AU235">
        <v>60.654000000000003</v>
      </c>
      <c r="AV235">
        <v>88.829899999999995</v>
      </c>
      <c r="AW235">
        <v>1.5288600000000001</v>
      </c>
      <c r="AX235" s="17">
        <v>7600000000</v>
      </c>
      <c r="AY235">
        <v>3.0204300000000002</v>
      </c>
      <c r="AZ235">
        <v>0.46</v>
      </c>
      <c r="BA235">
        <v>4.0194419999999997</v>
      </c>
      <c r="BB235">
        <v>4.0194416000000004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0.37843599999999999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1.0747E-3</v>
      </c>
      <c r="CG235">
        <v>0.4586365</v>
      </c>
      <c r="CH235">
        <v>0.28271800000000002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-0.7437452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0.21034739999999999</v>
      </c>
      <c r="DI235">
        <v>0.55315689999999995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0.21097279999999999</v>
      </c>
      <c r="DW235">
        <v>-0.3421228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13.943580000000001</v>
      </c>
      <c r="EW235">
        <v>7.1449499999999999E-2</v>
      </c>
      <c r="EX235">
        <v>7.1647000000000002E-2</v>
      </c>
      <c r="EY235">
        <v>7.1323200000000003E-2</v>
      </c>
      <c r="EZ235">
        <v>7.1625099999999997E-2</v>
      </c>
      <c r="FA235">
        <v>7.1477499999999999E-2</v>
      </c>
      <c r="FB235">
        <v>7.1364800000000006E-2</v>
      </c>
      <c r="FC235">
        <v>7.1696899999999994E-2</v>
      </c>
      <c r="FD235">
        <v>7.1509299999999998E-2</v>
      </c>
      <c r="FE235">
        <v>7.1409399999999998E-2</v>
      </c>
      <c r="FF235">
        <v>7.1063399999999999E-2</v>
      </c>
      <c r="FG235">
        <v>7.0906499999999997E-2</v>
      </c>
      <c r="FH235">
        <v>7.1498599999999995E-2</v>
      </c>
      <c r="FI235">
        <v>7.1394700000000005E-2</v>
      </c>
      <c r="FJ235">
        <v>7.1634400000000001E-2</v>
      </c>
      <c r="FK235">
        <v>0.29936550000000001</v>
      </c>
      <c r="FL235">
        <v>8.9619699999999997E-2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-0.22880790000000001</v>
      </c>
      <c r="FZ235">
        <v>-1.090676</v>
      </c>
      <c r="GA235">
        <v>1.0403720000000001</v>
      </c>
      <c r="GB235">
        <v>-0.93712680000000004</v>
      </c>
      <c r="GC235">
        <v>-0.59475840000000002</v>
      </c>
      <c r="GD235">
        <v>1.3378369999999999</v>
      </c>
      <c r="GE235">
        <v>2.265647</v>
      </c>
      <c r="GF235">
        <v>-0.50142659999999994</v>
      </c>
      <c r="GG235">
        <v>0.3866637</v>
      </c>
      <c r="GH235">
        <v>0.11530219999999999</v>
      </c>
      <c r="GI235">
        <v>1.32946E-2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0.1377081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1</v>
      </c>
      <c r="HF235">
        <v>1</v>
      </c>
      <c r="HG235">
        <v>1</v>
      </c>
      <c r="HH235">
        <v>1</v>
      </c>
      <c r="HI235">
        <v>5.3039000000000003E-2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1</v>
      </c>
      <c r="KZ235">
        <v>1</v>
      </c>
      <c r="LA235">
        <v>1</v>
      </c>
      <c r="LB235">
        <v>1</v>
      </c>
      <c r="LC235">
        <v>1</v>
      </c>
      <c r="LD235">
        <v>1</v>
      </c>
      <c r="LE235">
        <v>1</v>
      </c>
      <c r="LF235">
        <v>1</v>
      </c>
      <c r="LG235">
        <v>1</v>
      </c>
      <c r="LH235">
        <v>1</v>
      </c>
      <c r="LI235">
        <v>1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1</v>
      </c>
      <c r="LS235">
        <v>1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  <c r="MX235">
        <v>1</v>
      </c>
      <c r="MY235">
        <v>1</v>
      </c>
      <c r="MZ235">
        <v>1</v>
      </c>
      <c r="NA235">
        <v>1</v>
      </c>
      <c r="NB235">
        <v>1</v>
      </c>
      <c r="NC235">
        <v>1</v>
      </c>
      <c r="ND235">
        <v>1</v>
      </c>
      <c r="NE235">
        <v>1</v>
      </c>
      <c r="NF235">
        <v>1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87.492909999999995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20.5</v>
      </c>
      <c r="OD235">
        <v>11542.2</v>
      </c>
      <c r="OE235">
        <v>1.46</v>
      </c>
      <c r="OF235">
        <v>124.3</v>
      </c>
      <c r="OG235">
        <v>10.9</v>
      </c>
      <c r="OH235">
        <v>60.654000000000003</v>
      </c>
    </row>
    <row r="236" spans="1:398">
      <c r="A236">
        <v>22</v>
      </c>
      <c r="B236" t="s">
        <v>11</v>
      </c>
      <c r="C236" t="s">
        <v>10</v>
      </c>
      <c r="D236">
        <v>2013</v>
      </c>
      <c r="E236">
        <v>15.401999999999999</v>
      </c>
      <c r="F236">
        <v>0.62360000000000004</v>
      </c>
      <c r="G236">
        <v>667</v>
      </c>
      <c r="H236">
        <v>15.1</v>
      </c>
      <c r="I236">
        <v>75.599999999999994</v>
      </c>
      <c r="J236">
        <v>12.2</v>
      </c>
      <c r="K236">
        <v>288.8</v>
      </c>
      <c r="L236">
        <v>0.5</v>
      </c>
      <c r="M236">
        <v>2</v>
      </c>
      <c r="N236">
        <v>399380</v>
      </c>
      <c r="O236">
        <v>36.71</v>
      </c>
      <c r="P236">
        <v>0.86</v>
      </c>
      <c r="Q236">
        <v>8943.4699999999993</v>
      </c>
      <c r="R236">
        <v>16</v>
      </c>
      <c r="S236">
        <v>0.30088100000000001</v>
      </c>
      <c r="T236">
        <v>-0.34993770000000002</v>
      </c>
      <c r="U236">
        <v>-1.0580449999999999</v>
      </c>
      <c r="V236">
        <v>1.2225919999999999</v>
      </c>
      <c r="W236">
        <v>-1.2533749999999999</v>
      </c>
      <c r="X236">
        <v>-1.034357</v>
      </c>
      <c r="Y236">
        <v>0.63200500000000004</v>
      </c>
      <c r="Z236">
        <v>-0.58545429999999998</v>
      </c>
      <c r="AA236">
        <v>-0.47292210000000001</v>
      </c>
      <c r="AB236">
        <v>0.33847840000000001</v>
      </c>
      <c r="AC236">
        <v>1.401222</v>
      </c>
      <c r="AD236">
        <v>-0.35441400000000001</v>
      </c>
      <c r="AE236">
        <v>0.4125395</v>
      </c>
      <c r="AF236">
        <v>-1.1686030000000001</v>
      </c>
      <c r="AG236">
        <v>1.278149</v>
      </c>
      <c r="AH236">
        <v>-0.32355509999999998</v>
      </c>
      <c r="AI236">
        <v>2.7344970000000002</v>
      </c>
      <c r="AJ236">
        <v>-0.4722461</v>
      </c>
      <c r="AK236">
        <v>6.5027900000000001</v>
      </c>
      <c r="AL236">
        <v>4.325456</v>
      </c>
      <c r="AM236">
        <v>2.501436</v>
      </c>
      <c r="AN236">
        <v>5.6657339999999996</v>
      </c>
      <c r="AO236">
        <v>12.89767</v>
      </c>
      <c r="AP236">
        <v>-0.15082290000000001</v>
      </c>
      <c r="AQ236">
        <v>9.0986799999999999</v>
      </c>
      <c r="AR236">
        <v>4.8221299999999996</v>
      </c>
      <c r="AS236">
        <v>2.4336099999999998</v>
      </c>
      <c r="AT236">
        <v>9.3611900000000006</v>
      </c>
      <c r="AU236">
        <v>60.529000000000003</v>
      </c>
      <c r="AV236">
        <v>90.417500000000004</v>
      </c>
      <c r="AW236">
        <v>0.25898300000000002</v>
      </c>
      <c r="AX236" s="17">
        <v>1300000000</v>
      </c>
      <c r="AY236">
        <v>3.0204300000000002</v>
      </c>
      <c r="AZ236">
        <v>0.46</v>
      </c>
      <c r="BA236">
        <v>3.6030489999999999</v>
      </c>
      <c r="BB236">
        <v>3.6030492999999999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-3.0459E-2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1.4942E-3</v>
      </c>
      <c r="CG236">
        <v>0.47017219999999998</v>
      </c>
      <c r="CH236">
        <v>0.27343600000000001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-0.5097294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0.22106190000000001</v>
      </c>
      <c r="DI236">
        <v>0.259824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0.2162792</v>
      </c>
      <c r="DW236">
        <v>-0.2344755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13.944979999999999</v>
      </c>
      <c r="EW236">
        <v>7.1456599999999995E-2</v>
      </c>
      <c r="EX236">
        <v>7.1632799999999996E-2</v>
      </c>
      <c r="EY236">
        <v>7.1299199999999993E-2</v>
      </c>
      <c r="EZ236">
        <v>7.1587999999999999E-2</v>
      </c>
      <c r="FA236">
        <v>7.1476399999999995E-2</v>
      </c>
      <c r="FB236">
        <v>7.1325E-2</v>
      </c>
      <c r="FC236">
        <v>7.1683800000000006E-2</v>
      </c>
      <c r="FD236">
        <v>7.1502599999999999E-2</v>
      </c>
      <c r="FE236">
        <v>7.1385699999999996E-2</v>
      </c>
      <c r="FF236">
        <v>7.1046799999999993E-2</v>
      </c>
      <c r="FG236">
        <v>7.1114899999999995E-2</v>
      </c>
      <c r="FH236">
        <v>7.1473499999999995E-2</v>
      </c>
      <c r="FI236">
        <v>7.1385500000000005E-2</v>
      </c>
      <c r="FJ236">
        <v>7.1629300000000007E-2</v>
      </c>
      <c r="FK236">
        <v>0.30052479999999998</v>
      </c>
      <c r="FL236">
        <v>9.0315099999999995E-2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-0.34993770000000002</v>
      </c>
      <c r="FZ236">
        <v>-1.0580449999999999</v>
      </c>
      <c r="GA236">
        <v>1.2225919999999999</v>
      </c>
      <c r="GB236">
        <v>-1.034357</v>
      </c>
      <c r="GC236">
        <v>-0.58545429999999998</v>
      </c>
      <c r="GD236">
        <v>1.401222</v>
      </c>
      <c r="GE236">
        <v>1.278149</v>
      </c>
      <c r="GF236">
        <v>-0.35441400000000001</v>
      </c>
      <c r="GG236">
        <v>0.4125395</v>
      </c>
      <c r="GH236">
        <v>1.79776E-2</v>
      </c>
      <c r="GI236">
        <v>3.232E-4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0.13824139999999999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1</v>
      </c>
      <c r="HH236">
        <v>1</v>
      </c>
      <c r="HI236">
        <v>8.2696999999999996E-3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KZ236">
        <v>1</v>
      </c>
      <c r="LA236">
        <v>1</v>
      </c>
      <c r="LB236">
        <v>1</v>
      </c>
      <c r="LC236">
        <v>1</v>
      </c>
      <c r="LD236">
        <v>1</v>
      </c>
      <c r="LE236">
        <v>1</v>
      </c>
      <c r="LF236">
        <v>1</v>
      </c>
      <c r="LG236">
        <v>1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1</v>
      </c>
      <c r="LT236">
        <v>1</v>
      </c>
      <c r="LU236">
        <v>1</v>
      </c>
      <c r="LV236">
        <v>1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1</v>
      </c>
      <c r="MG236">
        <v>1</v>
      </c>
      <c r="MH236">
        <v>1</v>
      </c>
      <c r="MI236">
        <v>1</v>
      </c>
      <c r="MJ236">
        <v>1</v>
      </c>
      <c r="MK236">
        <v>1</v>
      </c>
      <c r="ML236">
        <v>1</v>
      </c>
      <c r="MM236">
        <v>1</v>
      </c>
      <c r="MN236">
        <v>1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MZ236">
        <v>1</v>
      </c>
      <c r="NA236">
        <v>1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1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1</v>
      </c>
      <c r="NN236">
        <v>1</v>
      </c>
      <c r="NO236">
        <v>1</v>
      </c>
      <c r="NP236">
        <v>87.631860000000003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1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1</v>
      </c>
      <c r="OC236">
        <v>20.5</v>
      </c>
      <c r="OD236">
        <v>11628.2</v>
      </c>
      <c r="OE236">
        <v>0.97</v>
      </c>
      <c r="OF236">
        <v>124.229</v>
      </c>
      <c r="OG236">
        <v>11.4</v>
      </c>
      <c r="OH236">
        <v>60.529000000000003</v>
      </c>
    </row>
    <row r="237" spans="1:398">
      <c r="A237">
        <v>22</v>
      </c>
      <c r="B237" t="s">
        <v>11</v>
      </c>
      <c r="C237" t="s">
        <v>10</v>
      </c>
      <c r="D237">
        <v>2014</v>
      </c>
      <c r="E237">
        <v>15.516999999999999</v>
      </c>
      <c r="F237">
        <v>0.65339999999999998</v>
      </c>
      <c r="G237">
        <v>673</v>
      </c>
      <c r="H237">
        <v>26.5</v>
      </c>
      <c r="I237">
        <v>73.5</v>
      </c>
      <c r="J237">
        <v>13</v>
      </c>
      <c r="K237">
        <v>466.6</v>
      </c>
      <c r="L237">
        <v>0.6</v>
      </c>
      <c r="M237">
        <v>2</v>
      </c>
      <c r="N237">
        <v>398677</v>
      </c>
      <c r="O237">
        <v>28.22</v>
      </c>
      <c r="P237">
        <v>0.87</v>
      </c>
      <c r="Q237">
        <v>9228.91</v>
      </c>
      <c r="R237">
        <v>17</v>
      </c>
      <c r="S237">
        <v>0.31614199999999998</v>
      </c>
      <c r="T237">
        <v>-0.33596589999999998</v>
      </c>
      <c r="U237">
        <v>-1.029444</v>
      </c>
      <c r="V237">
        <v>1.268146</v>
      </c>
      <c r="W237">
        <v>-0.51952390000000004</v>
      </c>
      <c r="X237">
        <v>-1.3260460000000001</v>
      </c>
      <c r="Y237">
        <v>0.7601097</v>
      </c>
      <c r="Z237">
        <v>-0.562253</v>
      </c>
      <c r="AA237">
        <v>-0.19478770000000001</v>
      </c>
      <c r="AB237">
        <v>0.33847840000000001</v>
      </c>
      <c r="AC237">
        <v>1.397489</v>
      </c>
      <c r="AD237">
        <v>-0.30540980000000001</v>
      </c>
      <c r="AE237">
        <v>0.50657810000000003</v>
      </c>
      <c r="AF237">
        <v>-1.1159250000000001</v>
      </c>
      <c r="AG237">
        <v>0.83596250000000005</v>
      </c>
      <c r="AH237">
        <v>1.27492E-2</v>
      </c>
      <c r="AI237">
        <v>2.7419359999999999</v>
      </c>
      <c r="AJ237">
        <v>-0.42556579999999999</v>
      </c>
      <c r="AK237">
        <v>6.5117450000000003</v>
      </c>
      <c r="AL237">
        <v>4.2972859999999997</v>
      </c>
      <c r="AM237">
        <v>2.5649489999999999</v>
      </c>
      <c r="AN237">
        <v>6.145473</v>
      </c>
      <c r="AO237">
        <v>12.895910000000001</v>
      </c>
      <c r="AP237">
        <v>-0.1392621</v>
      </c>
      <c r="AQ237">
        <v>9.1300950000000007</v>
      </c>
      <c r="AR237">
        <v>4.8214399999999999</v>
      </c>
      <c r="AS237">
        <v>2.4510000000000001</v>
      </c>
      <c r="AT237">
        <v>9.4003999999999994</v>
      </c>
      <c r="AU237">
        <v>60.402999999999999</v>
      </c>
      <c r="AV237">
        <v>92.034000000000006</v>
      </c>
      <c r="AW237">
        <v>3.8508900000000001</v>
      </c>
      <c r="AX237" s="17">
        <v>21000000000</v>
      </c>
      <c r="AY237">
        <v>3.0056799999999999</v>
      </c>
      <c r="AZ237">
        <v>0.45</v>
      </c>
      <c r="BA237">
        <v>3.3400310000000002</v>
      </c>
      <c r="BB237">
        <v>3.3400308999999999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-0.30110500000000001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3.0335000000000002E-3</v>
      </c>
      <c r="CG237">
        <v>0.49258370000000001</v>
      </c>
      <c r="CH237">
        <v>0.278111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7.7091E-3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0.24263870000000001</v>
      </c>
      <c r="DI237">
        <v>5.94E-5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0.22166269999999999</v>
      </c>
      <c r="DW237">
        <v>3.4691000000000001E-3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13.94388</v>
      </c>
      <c r="EW237">
        <v>7.1461399999999994E-2</v>
      </c>
      <c r="EX237">
        <v>7.1632500000000002E-2</v>
      </c>
      <c r="EY237">
        <v>7.1302299999999999E-2</v>
      </c>
      <c r="EZ237">
        <v>7.1494500000000002E-2</v>
      </c>
      <c r="FA237">
        <v>7.1499199999999999E-2</v>
      </c>
      <c r="FB237">
        <v>7.1310299999999993E-2</v>
      </c>
      <c r="FC237">
        <v>7.1675500000000003E-2</v>
      </c>
      <c r="FD237">
        <v>7.1466799999999997E-2</v>
      </c>
      <c r="FE237">
        <v>7.1392600000000001E-2</v>
      </c>
      <c r="FF237">
        <v>7.1059300000000006E-2</v>
      </c>
      <c r="FG237">
        <v>7.1226399999999995E-2</v>
      </c>
      <c r="FH237">
        <v>7.1473700000000001E-2</v>
      </c>
      <c r="FI237">
        <v>7.1380700000000005E-2</v>
      </c>
      <c r="FJ237">
        <v>7.1624900000000005E-2</v>
      </c>
      <c r="FK237">
        <v>0.31584030000000002</v>
      </c>
      <c r="FL237">
        <v>9.9755099999999999E-2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-0.33596589999999998</v>
      </c>
      <c r="FZ237">
        <v>-1.029444</v>
      </c>
      <c r="GA237">
        <v>1.268146</v>
      </c>
      <c r="GB237">
        <v>-1.3260460000000001</v>
      </c>
      <c r="GC237">
        <v>-0.562253</v>
      </c>
      <c r="GD237">
        <v>1.397489</v>
      </c>
      <c r="GE237">
        <v>0.83596250000000005</v>
      </c>
      <c r="GF237">
        <v>-0.30540980000000001</v>
      </c>
      <c r="GG237">
        <v>0.50657810000000003</v>
      </c>
      <c r="GH237">
        <v>0.46926849999999998</v>
      </c>
      <c r="GI237">
        <v>0.22021289999999999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0.14212810000000001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0.21117079999999999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KZ237">
        <v>1</v>
      </c>
      <c r="LA237">
        <v>1</v>
      </c>
      <c r="LB237">
        <v>1</v>
      </c>
      <c r="LC237">
        <v>1</v>
      </c>
      <c r="LD237">
        <v>1</v>
      </c>
      <c r="LE237">
        <v>1</v>
      </c>
      <c r="LF237">
        <v>1</v>
      </c>
      <c r="LG237">
        <v>1</v>
      </c>
      <c r="LH237">
        <v>1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1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1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1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MZ237">
        <v>1</v>
      </c>
      <c r="NA237">
        <v>1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1</v>
      </c>
      <c r="NI237">
        <v>1</v>
      </c>
      <c r="NJ237">
        <v>1</v>
      </c>
      <c r="NK237">
        <v>1</v>
      </c>
      <c r="NL237">
        <v>1</v>
      </c>
      <c r="NM237">
        <v>1</v>
      </c>
      <c r="NN237">
        <v>1</v>
      </c>
      <c r="NO237">
        <v>1</v>
      </c>
      <c r="NP237">
        <v>88.367490000000004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20.2</v>
      </c>
      <c r="OD237">
        <v>12093.2</v>
      </c>
      <c r="OE237">
        <v>0.74</v>
      </c>
      <c r="OF237">
        <v>124.14400000000001</v>
      </c>
      <c r="OG237">
        <v>11.6</v>
      </c>
      <c r="OH237">
        <v>60.402999999999999</v>
      </c>
    </row>
    <row r="238" spans="1:398">
      <c r="A238">
        <v>22</v>
      </c>
      <c r="B238" t="s">
        <v>11</v>
      </c>
      <c r="C238" t="s">
        <v>10</v>
      </c>
      <c r="D238">
        <v>2015</v>
      </c>
      <c r="E238">
        <v>15.577</v>
      </c>
      <c r="F238">
        <v>0.68720000000000003</v>
      </c>
      <c r="G238">
        <v>697</v>
      </c>
      <c r="H238">
        <v>32.5</v>
      </c>
      <c r="I238">
        <v>69.7</v>
      </c>
      <c r="J238">
        <v>11.9</v>
      </c>
      <c r="K238">
        <v>484.5</v>
      </c>
      <c r="L238">
        <v>0.7</v>
      </c>
      <c r="M238">
        <v>1.9</v>
      </c>
      <c r="N238">
        <v>418033</v>
      </c>
      <c r="O238">
        <v>69.61</v>
      </c>
      <c r="P238">
        <v>0.87</v>
      </c>
      <c r="Q238">
        <v>9703.58</v>
      </c>
      <c r="R238">
        <v>17.600000000000001</v>
      </c>
      <c r="S238">
        <v>0.35281200000000001</v>
      </c>
      <c r="T238">
        <v>-0.32867629999999998</v>
      </c>
      <c r="U238">
        <v>-0.99700440000000001</v>
      </c>
      <c r="V238">
        <v>1.4503649999999999</v>
      </c>
      <c r="W238">
        <v>-0.13328660000000001</v>
      </c>
      <c r="X238">
        <v>-1.853864</v>
      </c>
      <c r="Y238">
        <v>0.58396570000000003</v>
      </c>
      <c r="Z238">
        <v>-0.5599172</v>
      </c>
      <c r="AA238">
        <v>8.3346600000000007E-2</v>
      </c>
      <c r="AB238">
        <v>0.2065517</v>
      </c>
      <c r="AC238">
        <v>1.5002690000000001</v>
      </c>
      <c r="AD238">
        <v>-0.30540980000000001</v>
      </c>
      <c r="AE238">
        <v>0.66296460000000002</v>
      </c>
      <c r="AF238">
        <v>-1.0843179999999999</v>
      </c>
      <c r="AG238">
        <v>2.9916879999999999</v>
      </c>
      <c r="AH238">
        <v>0.93600380000000005</v>
      </c>
      <c r="AI238">
        <v>2.7457950000000002</v>
      </c>
      <c r="AJ238">
        <v>-0.37512990000000002</v>
      </c>
      <c r="AK238">
        <v>6.5467849999999999</v>
      </c>
      <c r="AL238">
        <v>4.2442000000000002</v>
      </c>
      <c r="AM238">
        <v>2.4765380000000001</v>
      </c>
      <c r="AN238">
        <v>6.1831170000000002</v>
      </c>
      <c r="AO238">
        <v>12.94332</v>
      </c>
      <c r="AP238">
        <v>-0.1392621</v>
      </c>
      <c r="AQ238">
        <v>9.1802499999999991</v>
      </c>
      <c r="AR238">
        <v>4.8207800000000001</v>
      </c>
      <c r="AS238">
        <v>2.47654</v>
      </c>
      <c r="AT238">
        <v>9.4444199999999991</v>
      </c>
      <c r="AU238">
        <v>60.277999999999999</v>
      </c>
      <c r="AV238">
        <v>92.255399999999995</v>
      </c>
      <c r="AW238">
        <v>3.2954599999999998</v>
      </c>
      <c r="AX238" s="17">
        <v>16000000000</v>
      </c>
      <c r="AY238">
        <v>3.0397500000000002</v>
      </c>
      <c r="AZ238">
        <v>0.46</v>
      </c>
      <c r="BA238">
        <v>4.2429079999999999</v>
      </c>
      <c r="BB238">
        <v>4.2429085000000004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0.60431599999999996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3.8313000000000002E-3</v>
      </c>
      <c r="CG238">
        <v>0.50401629999999997</v>
      </c>
      <c r="CH238">
        <v>0.33419199999999999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0.42744910000000003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0.25403239999999999</v>
      </c>
      <c r="DI238">
        <v>0.18271270000000001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0.23184750000000001</v>
      </c>
      <c r="DW238">
        <v>0.19662660000000001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13.936820000000001</v>
      </c>
      <c r="EW238">
        <v>7.1497500000000005E-2</v>
      </c>
      <c r="EX238">
        <v>7.1662000000000003E-2</v>
      </c>
      <c r="EY238">
        <v>7.1322200000000002E-2</v>
      </c>
      <c r="EZ238">
        <v>7.1483699999999997E-2</v>
      </c>
      <c r="FA238">
        <v>7.1566699999999997E-2</v>
      </c>
      <c r="FB238">
        <v>7.1378899999999995E-2</v>
      </c>
      <c r="FC238">
        <v>7.1710499999999996E-2</v>
      </c>
      <c r="FD238">
        <v>7.1463799999999994E-2</v>
      </c>
      <c r="FE238">
        <v>7.1447499999999997E-2</v>
      </c>
      <c r="FF238">
        <v>7.1077100000000004E-2</v>
      </c>
      <c r="FG238">
        <v>7.0825399999999997E-2</v>
      </c>
      <c r="FH238">
        <v>7.1510500000000005E-2</v>
      </c>
      <c r="FI238">
        <v>7.1399000000000004E-2</v>
      </c>
      <c r="FJ238">
        <v>7.1655300000000005E-2</v>
      </c>
      <c r="FK238">
        <v>0.35229240000000001</v>
      </c>
      <c r="FL238">
        <v>0.1241099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-0.32867629999999998</v>
      </c>
      <c r="FZ238">
        <v>-0.99700440000000001</v>
      </c>
      <c r="GA238">
        <v>1.4503649999999999</v>
      </c>
      <c r="GB238">
        <v>-1.853864</v>
      </c>
      <c r="GC238">
        <v>-0.5599172</v>
      </c>
      <c r="GD238">
        <v>1.5002690000000001</v>
      </c>
      <c r="GE238">
        <v>2.9916879999999999</v>
      </c>
      <c r="GF238">
        <v>-0.30540980000000001</v>
      </c>
      <c r="GG238">
        <v>0.66296460000000002</v>
      </c>
      <c r="GH238">
        <v>1.891726</v>
      </c>
      <c r="GI238">
        <v>3.5786250000000002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0.16205449999999999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0.87019380000000002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1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1</v>
      </c>
      <c r="MH238">
        <v>1</v>
      </c>
      <c r="MI238">
        <v>1</v>
      </c>
      <c r="MJ238">
        <v>1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MZ238">
        <v>1</v>
      </c>
      <c r="NA238">
        <v>1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1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1</v>
      </c>
      <c r="NP238">
        <v>89.197140000000005</v>
      </c>
      <c r="NQ238">
        <v>1</v>
      </c>
      <c r="NR238">
        <v>1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20.9</v>
      </c>
      <c r="OD238">
        <v>12637.5</v>
      </c>
      <c r="OE238">
        <v>1.83</v>
      </c>
      <c r="OF238">
        <v>124.062</v>
      </c>
      <c r="OG238">
        <v>11.9</v>
      </c>
      <c r="OH238">
        <v>60.277999999999999</v>
      </c>
    </row>
    <row r="239" spans="1:398">
      <c r="A239">
        <v>22</v>
      </c>
      <c r="B239" t="s">
        <v>11</v>
      </c>
      <c r="C239" t="s">
        <v>10</v>
      </c>
      <c r="D239">
        <v>2016</v>
      </c>
      <c r="E239">
        <v>15.962</v>
      </c>
      <c r="F239">
        <v>0.68889999999999996</v>
      </c>
      <c r="G239">
        <v>642</v>
      </c>
      <c r="H239">
        <v>34.799999999999997</v>
      </c>
      <c r="I239">
        <v>82.2</v>
      </c>
      <c r="J239">
        <v>1.6</v>
      </c>
      <c r="K239">
        <v>412.7</v>
      </c>
      <c r="L239">
        <v>0.6</v>
      </c>
      <c r="M239">
        <v>1.9</v>
      </c>
      <c r="N239">
        <v>422007</v>
      </c>
      <c r="O239">
        <v>44.35</v>
      </c>
      <c r="P239">
        <v>0.89</v>
      </c>
      <c r="Q239">
        <v>9701.83</v>
      </c>
      <c r="R239">
        <v>17.8</v>
      </c>
      <c r="S239">
        <v>0.31774799999999997</v>
      </c>
      <c r="T239">
        <v>-0.28190090000000001</v>
      </c>
      <c r="U239">
        <v>-0.9953729</v>
      </c>
      <c r="V239">
        <v>1.03278</v>
      </c>
      <c r="W239">
        <v>1.4770999999999999E-2</v>
      </c>
      <c r="X239">
        <v>-0.11762069999999999</v>
      </c>
      <c r="Y239">
        <v>-1.065383</v>
      </c>
      <c r="Z239">
        <v>-0.56928650000000003</v>
      </c>
      <c r="AA239">
        <v>-0.19478770000000001</v>
      </c>
      <c r="AB239">
        <v>0.2065517</v>
      </c>
      <c r="AC239">
        <v>1.521371</v>
      </c>
      <c r="AD239">
        <v>-0.20740159999999999</v>
      </c>
      <c r="AE239">
        <v>0.66238870000000005</v>
      </c>
      <c r="AF239">
        <v>-1.073782</v>
      </c>
      <c r="AG239">
        <v>1.6760649999999999</v>
      </c>
      <c r="AH239">
        <v>-0.37658550000000002</v>
      </c>
      <c r="AI239">
        <v>2.7702110000000002</v>
      </c>
      <c r="AJ239">
        <v>-0.37265920000000002</v>
      </c>
      <c r="AK239">
        <v>6.464588</v>
      </c>
      <c r="AL239">
        <v>4.4091550000000002</v>
      </c>
      <c r="AM239">
        <v>0.47000360000000002</v>
      </c>
      <c r="AN239">
        <v>6.0227209999999998</v>
      </c>
      <c r="AO239">
        <v>12.952780000000001</v>
      </c>
      <c r="AP239">
        <v>-0.11653380000000001</v>
      </c>
      <c r="AQ239">
        <v>9.1800700000000006</v>
      </c>
      <c r="AR239">
        <v>4.8203500000000004</v>
      </c>
      <c r="AS239">
        <v>2.4247999999999998</v>
      </c>
      <c r="AT239">
        <v>9.4747199999999996</v>
      </c>
      <c r="AU239">
        <v>60.177999999999997</v>
      </c>
      <c r="AV239">
        <v>96.865899999999996</v>
      </c>
      <c r="AW239">
        <v>3.81609</v>
      </c>
      <c r="AX239" s="17">
        <v>18000000000</v>
      </c>
      <c r="AY239">
        <v>2.97553</v>
      </c>
      <c r="AZ239">
        <v>0.45</v>
      </c>
      <c r="BA239">
        <v>3.7921130000000001</v>
      </c>
      <c r="BB239">
        <v>3.7921125999999998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0.157004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4.1244999999999997E-3</v>
      </c>
      <c r="CG239">
        <v>0.4855139</v>
      </c>
      <c r="CH239">
        <v>0.270843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-0.55725570000000002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0.23572370000000001</v>
      </c>
      <c r="DI239">
        <v>0.31053389999999997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0.21848119999999999</v>
      </c>
      <c r="DW239">
        <v>-0.25076510000000002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13.944879999999999</v>
      </c>
      <c r="EW239">
        <v>7.1451799999999996E-2</v>
      </c>
      <c r="EX239">
        <v>7.1620299999999998E-2</v>
      </c>
      <c r="EY239">
        <v>7.13255E-2</v>
      </c>
      <c r="EZ239">
        <v>7.1425699999999995E-2</v>
      </c>
      <c r="FA239">
        <v>7.1428599999999995E-2</v>
      </c>
      <c r="FB239">
        <v>7.1688000000000002E-2</v>
      </c>
      <c r="FC239">
        <v>7.1674500000000002E-2</v>
      </c>
      <c r="FD239">
        <v>7.1463200000000004E-2</v>
      </c>
      <c r="FE239">
        <v>7.1407300000000007E-2</v>
      </c>
      <c r="FF239">
        <v>7.1037400000000001E-2</v>
      </c>
      <c r="FG239">
        <v>7.1048299999999995E-2</v>
      </c>
      <c r="FH239">
        <v>7.1457999999999994E-2</v>
      </c>
      <c r="FI239">
        <v>7.1359300000000001E-2</v>
      </c>
      <c r="FJ239">
        <v>7.1611999999999995E-2</v>
      </c>
      <c r="FK239">
        <v>0.3173337</v>
      </c>
      <c r="FL239">
        <v>0.1007007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-0.28190090000000001</v>
      </c>
      <c r="FZ239">
        <v>-0.9953729</v>
      </c>
      <c r="GA239">
        <v>1.03278</v>
      </c>
      <c r="GB239">
        <v>-0.11762069999999999</v>
      </c>
      <c r="GC239">
        <v>-0.56928650000000003</v>
      </c>
      <c r="GD239">
        <v>1.521371</v>
      </c>
      <c r="GE239">
        <v>1.6760649999999999</v>
      </c>
      <c r="GF239">
        <v>-0.20740159999999999</v>
      </c>
      <c r="GG239">
        <v>0.66238870000000005</v>
      </c>
      <c r="GH239">
        <v>-6.6171300000000002E-2</v>
      </c>
      <c r="GI239">
        <v>4.3785999999999999E-3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0.14280019999999999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-2.9777100000000001E-2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KZ239">
        <v>1</v>
      </c>
      <c r="LA239">
        <v>1</v>
      </c>
      <c r="LB239">
        <v>1</v>
      </c>
      <c r="LC239">
        <v>1</v>
      </c>
      <c r="LD239">
        <v>1</v>
      </c>
      <c r="LE239">
        <v>1</v>
      </c>
      <c r="LF239">
        <v>1</v>
      </c>
      <c r="LG239">
        <v>1</v>
      </c>
      <c r="LH239">
        <v>1</v>
      </c>
      <c r="LI239">
        <v>1</v>
      </c>
      <c r="LJ239">
        <v>1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1</v>
      </c>
      <c r="MJ239">
        <v>1</v>
      </c>
      <c r="MK239">
        <v>1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1</v>
      </c>
      <c r="MX239">
        <v>1</v>
      </c>
      <c r="MY239">
        <v>1</v>
      </c>
      <c r="MZ239">
        <v>1</v>
      </c>
      <c r="NA239">
        <v>1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1</v>
      </c>
      <c r="NI239">
        <v>1</v>
      </c>
      <c r="NJ239">
        <v>1</v>
      </c>
      <c r="NK239">
        <v>1</v>
      </c>
      <c r="NL239">
        <v>1</v>
      </c>
      <c r="NM239">
        <v>1</v>
      </c>
      <c r="NN239">
        <v>1</v>
      </c>
      <c r="NO239">
        <v>1</v>
      </c>
      <c r="NP239">
        <v>89.770290000000003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1</v>
      </c>
      <c r="NW239">
        <v>1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19.600000000000001</v>
      </c>
      <c r="OD239">
        <v>13026.2</v>
      </c>
      <c r="OE239">
        <v>1.17</v>
      </c>
      <c r="OF239">
        <v>124.008</v>
      </c>
      <c r="OG239">
        <v>11.3</v>
      </c>
      <c r="OH239">
        <v>60.177999999999997</v>
      </c>
    </row>
    <row r="240" spans="1:398">
      <c r="A240">
        <v>22</v>
      </c>
      <c r="B240" t="s">
        <v>11</v>
      </c>
      <c r="C240" t="s">
        <v>10</v>
      </c>
      <c r="D240">
        <v>2017</v>
      </c>
      <c r="E240">
        <v>17.292999999999999</v>
      </c>
      <c r="F240">
        <v>0.68049999999999999</v>
      </c>
      <c r="G240">
        <v>611</v>
      </c>
      <c r="H240">
        <v>33.799999999999997</v>
      </c>
      <c r="I240">
        <v>82.7</v>
      </c>
      <c r="J240">
        <v>1.4</v>
      </c>
      <c r="K240">
        <v>1619.4</v>
      </c>
      <c r="L240">
        <v>0.6</v>
      </c>
      <c r="M240">
        <v>1.9</v>
      </c>
      <c r="N240">
        <v>427247</v>
      </c>
      <c r="O240">
        <v>34.270000000000003</v>
      </c>
      <c r="P240">
        <v>0.88</v>
      </c>
      <c r="Q240">
        <v>9251.6</v>
      </c>
      <c r="R240">
        <v>18.100000000000001</v>
      </c>
      <c r="S240">
        <v>0.30785099999999999</v>
      </c>
      <c r="T240">
        <v>-0.12019199999999999</v>
      </c>
      <c r="U240">
        <v>-1.0034350000000001</v>
      </c>
      <c r="V240">
        <v>0.79741340000000005</v>
      </c>
      <c r="W240">
        <v>-4.9601899999999997E-2</v>
      </c>
      <c r="X240">
        <v>-4.8170900000000003E-2</v>
      </c>
      <c r="Y240">
        <v>-1.0974090000000001</v>
      </c>
      <c r="Z240">
        <v>-0.41182279999999999</v>
      </c>
      <c r="AA240">
        <v>-0.19478770000000001</v>
      </c>
      <c r="AB240">
        <v>0.2065517</v>
      </c>
      <c r="AC240">
        <v>1.549196</v>
      </c>
      <c r="AD240">
        <v>-0.25640570000000001</v>
      </c>
      <c r="AE240">
        <v>0.51405460000000003</v>
      </c>
      <c r="AF240">
        <v>-1.057979</v>
      </c>
      <c r="AG240">
        <v>1.1510659999999999</v>
      </c>
      <c r="AH240">
        <v>-0.58277109999999999</v>
      </c>
      <c r="AI240">
        <v>2.8503020000000001</v>
      </c>
      <c r="AJ240">
        <v>-0.38492749999999998</v>
      </c>
      <c r="AK240">
        <v>6.4150970000000003</v>
      </c>
      <c r="AL240">
        <v>4.4152199999999997</v>
      </c>
      <c r="AM240">
        <v>0.3364722</v>
      </c>
      <c r="AN240">
        <v>7.3898109999999999</v>
      </c>
      <c r="AO240">
        <v>12.965120000000001</v>
      </c>
      <c r="AP240">
        <v>-0.12783340000000001</v>
      </c>
      <c r="AQ240">
        <v>9.1325509999999994</v>
      </c>
      <c r="AR240">
        <v>4.8204799999999999</v>
      </c>
      <c r="AS240">
        <v>2.4069400000000001</v>
      </c>
      <c r="AT240">
        <v>9.5248299999999997</v>
      </c>
      <c r="AU240">
        <v>60.104999999999997</v>
      </c>
      <c r="AV240">
        <v>100.566</v>
      </c>
      <c r="AW240">
        <v>2.3781300000000001</v>
      </c>
      <c r="AX240" s="17">
        <v>13000000000</v>
      </c>
      <c r="AY240">
        <v>3.0007199999999998</v>
      </c>
      <c r="AZ240">
        <v>0.47</v>
      </c>
      <c r="BA240">
        <v>3.5342699999999998</v>
      </c>
      <c r="BB240">
        <v>3.5342703000000002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-0.105361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3.9743000000000001E-3</v>
      </c>
      <c r="CG240">
        <v>0.48858099999999999</v>
      </c>
      <c r="CH240">
        <v>0.263349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-0.53696999999999995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0.23871139999999999</v>
      </c>
      <c r="DI240">
        <v>0.2883367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0.22963310000000001</v>
      </c>
      <c r="DW240">
        <v>-0.25237589999999999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13.946109999999999</v>
      </c>
      <c r="EW240">
        <v>7.1428800000000001E-2</v>
      </c>
      <c r="EX240">
        <v>7.1615799999999993E-2</v>
      </c>
      <c r="EY240">
        <v>7.1345400000000003E-2</v>
      </c>
      <c r="EZ240">
        <v>7.1427900000000003E-2</v>
      </c>
      <c r="FA240">
        <v>7.14196E-2</v>
      </c>
      <c r="FB240">
        <v>7.1692199999999998E-2</v>
      </c>
      <c r="FC240">
        <v>7.15866E-2</v>
      </c>
      <c r="FD240">
        <v>7.1457699999999999E-2</v>
      </c>
      <c r="FE240">
        <v>7.1402099999999996E-2</v>
      </c>
      <c r="FF240">
        <v>7.1030999999999997E-2</v>
      </c>
      <c r="FG240">
        <v>7.1158899999999997E-2</v>
      </c>
      <c r="FH240">
        <v>7.1458300000000002E-2</v>
      </c>
      <c r="FI240">
        <v>7.1372599999999994E-2</v>
      </c>
      <c r="FJ240">
        <v>7.1602899999999997E-2</v>
      </c>
      <c r="FK240">
        <v>0.30751529999999999</v>
      </c>
      <c r="FL240">
        <v>9.4565700000000003E-2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-0.12019199999999999</v>
      </c>
      <c r="FZ240">
        <v>-1.0034350000000001</v>
      </c>
      <c r="GA240">
        <v>0.79741340000000005</v>
      </c>
      <c r="GB240">
        <v>-4.8170900000000003E-2</v>
      </c>
      <c r="GC240">
        <v>-0.41182279999999999</v>
      </c>
      <c r="GD240">
        <v>1.549196</v>
      </c>
      <c r="GE240">
        <v>1.1510659999999999</v>
      </c>
      <c r="GF240">
        <v>-0.25640570000000001</v>
      </c>
      <c r="GG240">
        <v>0.51405460000000003</v>
      </c>
      <c r="GH240">
        <v>-0.39196969999999998</v>
      </c>
      <c r="GI240">
        <v>0.1536402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0.1445322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-0.1842258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KZ240">
        <v>1</v>
      </c>
      <c r="LA240">
        <v>1</v>
      </c>
      <c r="LB240">
        <v>1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1</v>
      </c>
      <c r="LK240">
        <v>1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1</v>
      </c>
      <c r="MJ240">
        <v>1</v>
      </c>
      <c r="MK240">
        <v>1</v>
      </c>
      <c r="ML240">
        <v>1</v>
      </c>
      <c r="MM240">
        <v>1</v>
      </c>
      <c r="MN240">
        <v>1</v>
      </c>
      <c r="MO240">
        <v>1</v>
      </c>
      <c r="MP240">
        <v>1</v>
      </c>
      <c r="MQ240">
        <v>1</v>
      </c>
      <c r="MR240">
        <v>1</v>
      </c>
      <c r="MS240">
        <v>1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MZ240">
        <v>1</v>
      </c>
      <c r="NA240">
        <v>1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1</v>
      </c>
      <c r="NL240">
        <v>1</v>
      </c>
      <c r="NM240">
        <v>1</v>
      </c>
      <c r="NN240">
        <v>1</v>
      </c>
      <c r="NO240">
        <v>1</v>
      </c>
      <c r="NP240">
        <v>90.722380000000001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20.100000000000001</v>
      </c>
      <c r="OD240">
        <v>13695.6</v>
      </c>
      <c r="OE240">
        <v>0.9</v>
      </c>
      <c r="OF240">
        <v>124.024</v>
      </c>
      <c r="OG240">
        <v>11.1</v>
      </c>
      <c r="OH240">
        <v>60.104999999999997</v>
      </c>
    </row>
    <row r="241" spans="1:398">
      <c r="A241">
        <v>22</v>
      </c>
      <c r="B241" t="s">
        <v>11</v>
      </c>
      <c r="C241" t="s">
        <v>10</v>
      </c>
      <c r="D241">
        <v>2018</v>
      </c>
      <c r="E241">
        <v>17.794</v>
      </c>
      <c r="F241">
        <v>0.70269999999999999</v>
      </c>
      <c r="G241">
        <v>618</v>
      </c>
      <c r="H241">
        <v>34.299999999999997</v>
      </c>
      <c r="I241">
        <v>87.6</v>
      </c>
      <c r="J241">
        <v>1.5</v>
      </c>
      <c r="K241">
        <v>1975.2</v>
      </c>
      <c r="L241">
        <v>0.9</v>
      </c>
      <c r="M241">
        <v>1.9</v>
      </c>
      <c r="N241">
        <v>429029</v>
      </c>
      <c r="O241">
        <v>22.21</v>
      </c>
      <c r="P241">
        <v>0.89</v>
      </c>
      <c r="Q241">
        <v>8841.44</v>
      </c>
      <c r="R241">
        <v>19.5</v>
      </c>
      <c r="S241">
        <v>0.31916899999999998</v>
      </c>
      <c r="T241">
        <v>-5.9323099999999997E-2</v>
      </c>
      <c r="U241">
        <v>-0.98212829999999995</v>
      </c>
      <c r="V241">
        <v>0.85056069999999995</v>
      </c>
      <c r="W241">
        <v>-1.7415400000000001E-2</v>
      </c>
      <c r="X241">
        <v>0.63243680000000002</v>
      </c>
      <c r="Y241">
        <v>-1.081396</v>
      </c>
      <c r="Z241">
        <v>-0.3653941</v>
      </c>
      <c r="AA241">
        <v>0.6396153</v>
      </c>
      <c r="AB241">
        <v>0.2065517</v>
      </c>
      <c r="AC241">
        <v>1.5586580000000001</v>
      </c>
      <c r="AD241">
        <v>-0.20740159999999999</v>
      </c>
      <c r="AE241">
        <v>0.37892340000000002</v>
      </c>
      <c r="AF241">
        <v>-0.98422949999999998</v>
      </c>
      <c r="AG241">
        <v>0.52294220000000002</v>
      </c>
      <c r="AH241">
        <v>-0.57508930000000003</v>
      </c>
      <c r="AI241">
        <v>2.8788610000000001</v>
      </c>
      <c r="AJ241">
        <v>-0.35282520000000001</v>
      </c>
      <c r="AK241">
        <v>6.426488</v>
      </c>
      <c r="AL241">
        <v>4.4727810000000003</v>
      </c>
      <c r="AM241">
        <v>0.40546510000000002</v>
      </c>
      <c r="AN241">
        <v>7.588425</v>
      </c>
      <c r="AO241">
        <v>12.969279999999999</v>
      </c>
      <c r="AP241">
        <v>-0.11653380000000001</v>
      </c>
      <c r="AQ241">
        <v>9.0872050000000009</v>
      </c>
      <c r="AR241">
        <v>4.8205400000000003</v>
      </c>
      <c r="AS241">
        <v>2.71469</v>
      </c>
      <c r="AT241">
        <v>9.5854199999999992</v>
      </c>
      <c r="AU241">
        <v>60.058</v>
      </c>
      <c r="AV241">
        <v>102.44199999999999</v>
      </c>
      <c r="AW241">
        <v>3.3480400000000001</v>
      </c>
      <c r="AX241" s="17">
        <v>20000000000</v>
      </c>
      <c r="AY241">
        <v>3.0155400000000001</v>
      </c>
      <c r="AZ241">
        <v>0.44</v>
      </c>
      <c r="BA241">
        <v>3.100543</v>
      </c>
      <c r="BB241">
        <v>3.1005425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-0.54472699999999996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4.0248999999999997E-3</v>
      </c>
      <c r="CG241">
        <v>0.50734080000000004</v>
      </c>
      <c r="CH241">
        <v>0.26136100000000001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-0.3635041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0.25739469999999998</v>
      </c>
      <c r="DI241">
        <v>0.13213520000000001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0.22322990000000001</v>
      </c>
      <c r="DW241">
        <v>-0.1599418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13.94556</v>
      </c>
      <c r="EW241">
        <v>7.1426000000000003E-2</v>
      </c>
      <c r="EX241">
        <v>7.1614300000000006E-2</v>
      </c>
      <c r="EY241">
        <v>7.1344199999999997E-2</v>
      </c>
      <c r="EZ241">
        <v>7.14278E-2</v>
      </c>
      <c r="FA241">
        <v>7.1388199999999999E-2</v>
      </c>
      <c r="FB241">
        <v>7.1689699999999995E-2</v>
      </c>
      <c r="FC241">
        <v>7.1568099999999996E-2</v>
      </c>
      <c r="FD241">
        <v>7.1346699999999999E-2</v>
      </c>
      <c r="FE241">
        <v>7.1405999999999997E-2</v>
      </c>
      <c r="FF241">
        <v>7.1037900000000001E-2</v>
      </c>
      <c r="FG241">
        <v>7.1309499999999998E-2</v>
      </c>
      <c r="FH241">
        <v>7.1455900000000003E-2</v>
      </c>
      <c r="FI241">
        <v>7.1393300000000007E-2</v>
      </c>
      <c r="FJ241">
        <v>7.15924E-2</v>
      </c>
      <c r="FK241">
        <v>0.31885400000000003</v>
      </c>
      <c r="FL241">
        <v>0.10166790000000001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-5.9323099999999997E-2</v>
      </c>
      <c r="FZ241">
        <v>-0.98212829999999995</v>
      </c>
      <c r="GA241">
        <v>0.85056069999999995</v>
      </c>
      <c r="GB241">
        <v>0.63243680000000002</v>
      </c>
      <c r="GC241">
        <v>-0.3653941</v>
      </c>
      <c r="GD241">
        <v>1.5586580000000001</v>
      </c>
      <c r="GE241">
        <v>0.52294220000000002</v>
      </c>
      <c r="GF241">
        <v>-0.20740159999999999</v>
      </c>
      <c r="GG241">
        <v>0.37892340000000002</v>
      </c>
      <c r="GH241">
        <v>-0.43803039999999999</v>
      </c>
      <c r="GI241">
        <v>0.1918706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0.1402958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-0.1927334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1</v>
      </c>
      <c r="NK241">
        <v>1</v>
      </c>
      <c r="NL241">
        <v>1</v>
      </c>
      <c r="NM241">
        <v>1</v>
      </c>
      <c r="NN241">
        <v>1</v>
      </c>
      <c r="NO241">
        <v>1</v>
      </c>
      <c r="NP241">
        <v>91.880309999999994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20.399999999999999</v>
      </c>
      <c r="OD241">
        <v>14551.1</v>
      </c>
      <c r="OE241">
        <v>0.57999999999999996</v>
      </c>
      <c r="OF241">
        <v>124.032</v>
      </c>
      <c r="OG241">
        <v>15.1</v>
      </c>
      <c r="OH241">
        <v>60.058</v>
      </c>
    </row>
    <row r="242" spans="1:398">
      <c r="A242">
        <v>22</v>
      </c>
      <c r="B242" t="s">
        <v>11</v>
      </c>
      <c r="C242" t="s">
        <v>10</v>
      </c>
      <c r="D242">
        <v>2019</v>
      </c>
      <c r="E242">
        <v>17.056999999999999</v>
      </c>
      <c r="F242">
        <v>0.77110000000000001</v>
      </c>
      <c r="G242">
        <v>598</v>
      </c>
      <c r="H242">
        <v>34.1</v>
      </c>
      <c r="I242">
        <v>82.4</v>
      </c>
      <c r="J242">
        <v>9.1999999999999993</v>
      </c>
      <c r="K242">
        <v>1577.3</v>
      </c>
      <c r="L242">
        <v>0.8</v>
      </c>
      <c r="M242">
        <v>2</v>
      </c>
      <c r="N242">
        <v>435574</v>
      </c>
      <c r="O242">
        <v>20.23</v>
      </c>
      <c r="P242">
        <v>0.87</v>
      </c>
      <c r="Q242">
        <v>6967.35</v>
      </c>
      <c r="R242">
        <v>19.5</v>
      </c>
      <c r="S242">
        <v>0.316353</v>
      </c>
      <c r="T242">
        <v>-0.14886469999999999</v>
      </c>
      <c r="U242">
        <v>-0.9164814</v>
      </c>
      <c r="V242">
        <v>0.69871130000000004</v>
      </c>
      <c r="W242">
        <v>-3.0290000000000001E-2</v>
      </c>
      <c r="X242">
        <v>-8.9840199999999995E-2</v>
      </c>
      <c r="Y242">
        <v>0.1516121</v>
      </c>
      <c r="Z242">
        <v>-0.41731649999999998</v>
      </c>
      <c r="AA242">
        <v>0.361481</v>
      </c>
      <c r="AB242">
        <v>0.33847840000000001</v>
      </c>
      <c r="AC242">
        <v>1.5934120000000001</v>
      </c>
      <c r="AD242">
        <v>-0.30540980000000001</v>
      </c>
      <c r="AE242">
        <v>-0.23851320000000001</v>
      </c>
      <c r="AF242">
        <v>-0.98422949999999998</v>
      </c>
      <c r="AG242">
        <v>0.41981750000000001</v>
      </c>
      <c r="AH242">
        <v>-0.14086319999999999</v>
      </c>
      <c r="AI242">
        <v>2.8365610000000001</v>
      </c>
      <c r="AJ242">
        <v>-0.25993719999999998</v>
      </c>
      <c r="AK242">
        <v>6.3935909999999998</v>
      </c>
      <c r="AL242">
        <v>4.4115849999999996</v>
      </c>
      <c r="AM242">
        <v>2.2192029999999998</v>
      </c>
      <c r="AN242">
        <v>7.3634700000000004</v>
      </c>
      <c r="AO242">
        <v>12.98442</v>
      </c>
      <c r="AP242">
        <v>-0.1392621</v>
      </c>
      <c r="AQ242">
        <v>8.8489900000000006</v>
      </c>
      <c r="AR242">
        <v>4.8204900000000004</v>
      </c>
      <c r="AS242">
        <v>2.7472699999999999</v>
      </c>
      <c r="AT242">
        <v>9.6304499999999997</v>
      </c>
      <c r="AU242">
        <v>60.036999999999999</v>
      </c>
      <c r="AV242">
        <v>101.581</v>
      </c>
      <c r="AW242">
        <v>3.15456</v>
      </c>
      <c r="AX242" s="17">
        <v>19000000000</v>
      </c>
      <c r="AY242">
        <v>3.0397500000000002</v>
      </c>
      <c r="AZ242">
        <v>0.43</v>
      </c>
      <c r="BA242">
        <v>3.0071669999999999</v>
      </c>
      <c r="BB242">
        <v>3.0071666000000001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-0.63487800000000005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3.9823000000000002E-3</v>
      </c>
      <c r="CG242">
        <v>0.50641530000000001</v>
      </c>
      <c r="CH242">
        <v>0.27429500000000001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9.8207000000000003E-2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0.25645649999999998</v>
      </c>
      <c r="DI242">
        <v>9.6445999999999997E-3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0.2177586</v>
      </c>
      <c r="DW242">
        <v>4.2229000000000003E-2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13.944789999999999</v>
      </c>
      <c r="EW242">
        <v>7.1440400000000001E-2</v>
      </c>
      <c r="EX242">
        <v>7.1605100000000005E-2</v>
      </c>
      <c r="EY242">
        <v>7.1365600000000001E-2</v>
      </c>
      <c r="EZ242">
        <v>7.1434200000000003E-2</v>
      </c>
      <c r="FA242">
        <v>7.1430599999999997E-2</v>
      </c>
      <c r="FB242">
        <v>7.1417700000000001E-2</v>
      </c>
      <c r="FC242">
        <v>7.1596300000000002E-2</v>
      </c>
      <c r="FD242">
        <v>7.1388900000000005E-2</v>
      </c>
      <c r="FE242">
        <v>7.1393799999999993E-2</v>
      </c>
      <c r="FF242">
        <v>7.1040300000000001E-2</v>
      </c>
      <c r="FG242">
        <v>7.1340500000000001E-2</v>
      </c>
      <c r="FH242">
        <v>7.1472499999999994E-2</v>
      </c>
      <c r="FI242">
        <v>7.1477600000000002E-2</v>
      </c>
      <c r="FJ242">
        <v>7.1596499999999993E-2</v>
      </c>
      <c r="FK242">
        <v>0.31613740000000001</v>
      </c>
      <c r="FL242">
        <v>9.9942900000000001E-2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-0.14886469999999999</v>
      </c>
      <c r="FZ242">
        <v>-0.9164814</v>
      </c>
      <c r="GA242">
        <v>0.69871130000000004</v>
      </c>
      <c r="GB242">
        <v>-8.9840199999999995E-2</v>
      </c>
      <c r="GC242">
        <v>-0.41731649999999998</v>
      </c>
      <c r="GD242">
        <v>1.5934120000000001</v>
      </c>
      <c r="GE242">
        <v>0.41981750000000001</v>
      </c>
      <c r="GF242">
        <v>-0.30540980000000001</v>
      </c>
      <c r="GG242">
        <v>-0.23851320000000001</v>
      </c>
      <c r="GH242">
        <v>0.19113140000000001</v>
      </c>
      <c r="GI242">
        <v>3.65312E-2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0.13593910000000001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8.2186499999999996E-2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1</v>
      </c>
      <c r="MJ242">
        <v>1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1</v>
      </c>
      <c r="NL242">
        <v>1</v>
      </c>
      <c r="NM242">
        <v>1</v>
      </c>
      <c r="NN242">
        <v>1</v>
      </c>
      <c r="NO242">
        <v>1</v>
      </c>
      <c r="NP242">
        <v>92.745590000000007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20.9</v>
      </c>
      <c r="OD242">
        <v>15221.3</v>
      </c>
      <c r="OE242">
        <v>0.53</v>
      </c>
      <c r="OF242">
        <v>124.026</v>
      </c>
      <c r="OG242">
        <v>15.6</v>
      </c>
      <c r="OH242">
        <v>60.036999999999999</v>
      </c>
    </row>
    <row r="243" spans="1:398">
      <c r="A243">
        <v>22</v>
      </c>
      <c r="B243" t="s">
        <v>11</v>
      </c>
      <c r="C243" t="s">
        <v>10</v>
      </c>
      <c r="D243">
        <v>2020</v>
      </c>
      <c r="E243">
        <v>16.774999999999999</v>
      </c>
      <c r="F243">
        <v>0.76490000000000002</v>
      </c>
      <c r="G243">
        <v>595</v>
      </c>
      <c r="H243">
        <v>38.700000000000003</v>
      </c>
      <c r="I243">
        <v>85.9</v>
      </c>
      <c r="J243">
        <v>7.4</v>
      </c>
      <c r="K243">
        <v>736.6</v>
      </c>
      <c r="L243">
        <v>0.7</v>
      </c>
      <c r="M243">
        <v>1.9</v>
      </c>
      <c r="N243">
        <v>437080</v>
      </c>
      <c r="O243">
        <v>17.25</v>
      </c>
      <c r="P243">
        <v>0.78</v>
      </c>
      <c r="Q243">
        <v>6900.02</v>
      </c>
      <c r="R243">
        <v>19.3</v>
      </c>
      <c r="S243">
        <v>0.30352499999999999</v>
      </c>
      <c r="T243">
        <v>-0.18312600000000001</v>
      </c>
      <c r="U243">
        <v>-0.92243180000000002</v>
      </c>
      <c r="V243">
        <v>0.67593400000000003</v>
      </c>
      <c r="W243">
        <v>0.26582539999999999</v>
      </c>
      <c r="X243">
        <v>0.39630799999999999</v>
      </c>
      <c r="Y243">
        <v>-0.13662350000000001</v>
      </c>
      <c r="Z243">
        <v>-0.52702040000000006</v>
      </c>
      <c r="AA243">
        <v>8.3346600000000007E-2</v>
      </c>
      <c r="AB243">
        <v>0.2065517</v>
      </c>
      <c r="AC243">
        <v>1.6014079999999999</v>
      </c>
      <c r="AD243">
        <v>-0.74644759999999999</v>
      </c>
      <c r="AE243">
        <v>-0.26069639999999999</v>
      </c>
      <c r="AF243">
        <v>-0.99476520000000002</v>
      </c>
      <c r="AG243">
        <v>0.2646095</v>
      </c>
      <c r="AH243">
        <v>-0.44658490000000001</v>
      </c>
      <c r="AI243">
        <v>2.81989</v>
      </c>
      <c r="AJ243">
        <v>-0.26801009999999997</v>
      </c>
      <c r="AK243">
        <v>6.3885610000000002</v>
      </c>
      <c r="AL243">
        <v>4.4531840000000003</v>
      </c>
      <c r="AM243">
        <v>2.0014799999999999</v>
      </c>
      <c r="AN243">
        <v>6.6020450000000004</v>
      </c>
      <c r="AO243">
        <v>12.987869999999999</v>
      </c>
      <c r="AP243">
        <v>-0.2484614</v>
      </c>
      <c r="AQ243">
        <v>8.8392789999999994</v>
      </c>
      <c r="AR243">
        <v>4.8186799999999996</v>
      </c>
      <c r="AS243">
        <v>2.7788200000000001</v>
      </c>
      <c r="AT243">
        <v>9.6116399999999995</v>
      </c>
      <c r="AU243">
        <v>60.042999999999999</v>
      </c>
      <c r="AV243">
        <v>99.259100000000004</v>
      </c>
      <c r="AW243">
        <v>3.3149899999999999</v>
      </c>
      <c r="AX243" s="17">
        <v>20000000000</v>
      </c>
      <c r="AY243">
        <v>3.0680499999999999</v>
      </c>
      <c r="AZ243">
        <v>0.45</v>
      </c>
      <c r="BA243">
        <v>2.8478119999999998</v>
      </c>
      <c r="BB243">
        <v>2.8478121999999999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-0.77652900000000002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4.5719999999999997E-3</v>
      </c>
      <c r="CG243">
        <v>0.49086649999999998</v>
      </c>
      <c r="CH243">
        <v>0.25608199999999998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-0.25884010000000002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0.24094989999999999</v>
      </c>
      <c r="DI243">
        <v>6.6998199999999994E-2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0.2208899</v>
      </c>
      <c r="DW243">
        <v>-0.116478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13.94796</v>
      </c>
      <c r="EW243">
        <v>7.1428699999999998E-2</v>
      </c>
      <c r="EX243">
        <v>7.1590100000000004E-2</v>
      </c>
      <c r="EY243">
        <v>7.1353200000000006E-2</v>
      </c>
      <c r="EZ243">
        <v>7.1384900000000001E-2</v>
      </c>
      <c r="FA243">
        <v>7.1390200000000001E-2</v>
      </c>
      <c r="FB243">
        <v>7.1457599999999996E-2</v>
      </c>
      <c r="FC243">
        <v>7.1635199999999996E-2</v>
      </c>
      <c r="FD243">
        <v>7.1411699999999995E-2</v>
      </c>
      <c r="FE243">
        <v>7.1396000000000001E-2</v>
      </c>
      <c r="FF243">
        <v>7.1028599999999997E-2</v>
      </c>
      <c r="FG243">
        <v>7.13646E-2</v>
      </c>
      <c r="FH243">
        <v>7.1512000000000006E-2</v>
      </c>
      <c r="FI243">
        <v>7.1464899999999998E-2</v>
      </c>
      <c r="FJ243">
        <v>7.1582300000000001E-2</v>
      </c>
      <c r="FK243">
        <v>0.30326809999999998</v>
      </c>
      <c r="FL243">
        <v>9.1971499999999998E-2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-0.18312600000000001</v>
      </c>
      <c r="FZ243">
        <v>-0.92243180000000002</v>
      </c>
      <c r="GA243">
        <v>0.67593400000000003</v>
      </c>
      <c r="GB243">
        <v>0.39630799999999999</v>
      </c>
      <c r="GC243">
        <v>-0.52702040000000006</v>
      </c>
      <c r="GD243">
        <v>1.6014079999999999</v>
      </c>
      <c r="GE243">
        <v>0.2646095</v>
      </c>
      <c r="GF243">
        <v>-0.74644759999999999</v>
      </c>
      <c r="GG243">
        <v>-0.26069639999999999</v>
      </c>
      <c r="GH243">
        <v>-0.25128220000000001</v>
      </c>
      <c r="GI243">
        <v>6.3142799999999999E-2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0.1364706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-0.113077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1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1</v>
      </c>
      <c r="NO243">
        <v>1</v>
      </c>
      <c r="NP243">
        <v>92.383570000000006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21.5</v>
      </c>
      <c r="OD243">
        <v>14937.6</v>
      </c>
      <c r="OE243">
        <v>0.46</v>
      </c>
      <c r="OF243">
        <v>123.801</v>
      </c>
      <c r="OG243">
        <v>16.100000000000001</v>
      </c>
      <c r="OH243">
        <v>60.042999999999999</v>
      </c>
    </row>
    <row r="244" spans="1:398">
      <c r="A244">
        <v>23</v>
      </c>
      <c r="B244" t="s">
        <v>9</v>
      </c>
      <c r="C244" t="s">
        <v>8</v>
      </c>
      <c r="D244">
        <v>2010</v>
      </c>
      <c r="E244">
        <v>19.722000000000001</v>
      </c>
      <c r="F244">
        <v>0.92290000000000005</v>
      </c>
      <c r="G244">
        <v>549</v>
      </c>
      <c r="H244">
        <v>18.7</v>
      </c>
      <c r="I244">
        <v>85</v>
      </c>
      <c r="J244">
        <v>1.8</v>
      </c>
      <c r="K244">
        <v>17661</v>
      </c>
      <c r="L244">
        <v>0.6</v>
      </c>
      <c r="M244">
        <v>1.7</v>
      </c>
      <c r="N244">
        <v>89774</v>
      </c>
      <c r="O244">
        <v>2.5</v>
      </c>
      <c r="P244">
        <v>0.68</v>
      </c>
      <c r="Q244">
        <v>5589.53</v>
      </c>
      <c r="R244">
        <v>23.6</v>
      </c>
      <c r="S244">
        <v>0.23774500000000001</v>
      </c>
      <c r="T244">
        <v>0.17491799999999999</v>
      </c>
      <c r="U244">
        <v>-0.77079140000000002</v>
      </c>
      <c r="V244">
        <v>0.32668049999999998</v>
      </c>
      <c r="W244">
        <v>-1.0216320000000001</v>
      </c>
      <c r="X244">
        <v>0.27129829999999999</v>
      </c>
      <c r="Y244">
        <v>-1.0333570000000001</v>
      </c>
      <c r="Z244">
        <v>1.6814640000000001</v>
      </c>
      <c r="AA244">
        <v>-0.19478770000000001</v>
      </c>
      <c r="AB244">
        <v>-5.7301400000000002E-2</v>
      </c>
      <c r="AC244">
        <v>-0.2427781</v>
      </c>
      <c r="AD244">
        <v>-1.2364889999999999</v>
      </c>
      <c r="AE244">
        <v>-0.69244899999999998</v>
      </c>
      <c r="AF244">
        <v>-0.76824919999999997</v>
      </c>
      <c r="AG244">
        <v>-0.50361829999999996</v>
      </c>
      <c r="AH244">
        <v>-1.4105160000000001</v>
      </c>
      <c r="AI244">
        <v>2.981735</v>
      </c>
      <c r="AJ244">
        <v>-8.0234399999999997E-2</v>
      </c>
      <c r="AK244">
        <v>6.3080980000000002</v>
      </c>
      <c r="AL244">
        <v>4.4426509999999997</v>
      </c>
      <c r="AM244">
        <v>0.58778660000000005</v>
      </c>
      <c r="AN244">
        <v>9.7791139999999999</v>
      </c>
      <c r="AO244">
        <v>11.405049999999999</v>
      </c>
      <c r="AP244">
        <v>-0.38566250000000002</v>
      </c>
      <c r="AQ244">
        <v>8.6286509999999996</v>
      </c>
      <c r="AR244">
        <v>4.7487399999999997</v>
      </c>
      <c r="AS244">
        <v>3.32504</v>
      </c>
      <c r="AT244">
        <v>9.8883100000000006</v>
      </c>
      <c r="AU244">
        <v>60.567</v>
      </c>
      <c r="AV244">
        <v>67.6892</v>
      </c>
      <c r="AW244">
        <v>3.7606000000000002</v>
      </c>
      <c r="AX244" s="17">
        <v>9000000000</v>
      </c>
      <c r="AY244">
        <v>3.4339900000000001</v>
      </c>
      <c r="AZ244">
        <v>0.72</v>
      </c>
      <c r="BA244">
        <v>0.91629079999999996</v>
      </c>
      <c r="BB244">
        <v>0.91629075999999998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-1.4271199999999999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1.9254999999999999E-3</v>
      </c>
      <c r="CG244">
        <v>0.432251</v>
      </c>
      <c r="CH244">
        <v>0.21515500000000001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-1.40378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0.18684100000000001</v>
      </c>
      <c r="DI244">
        <v>1.9705969999999999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0.31122080000000002</v>
      </c>
      <c r="DW244">
        <v>-1.010721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13.95444</v>
      </c>
      <c r="EW244">
        <v>7.1359000000000006E-2</v>
      </c>
      <c r="EX244">
        <v>7.1527599999999997E-2</v>
      </c>
      <c r="EY244">
        <v>7.1358400000000002E-2</v>
      </c>
      <c r="EZ244">
        <v>7.1510299999999999E-2</v>
      </c>
      <c r="FA244">
        <v>7.1364499999999997E-2</v>
      </c>
      <c r="FB244">
        <v>7.1629399999999996E-2</v>
      </c>
      <c r="FC244">
        <v>7.0856799999999998E-2</v>
      </c>
      <c r="FD244">
        <v>7.1418599999999999E-2</v>
      </c>
      <c r="FE244">
        <v>7.1399099999999993E-2</v>
      </c>
      <c r="FF244">
        <v>7.1478700000000006E-2</v>
      </c>
      <c r="FG244">
        <v>7.1550199999999994E-2</v>
      </c>
      <c r="FH244">
        <v>7.1545700000000004E-2</v>
      </c>
      <c r="FI244">
        <v>7.1492100000000003E-2</v>
      </c>
      <c r="FJ244">
        <v>7.1509900000000001E-2</v>
      </c>
      <c r="FK244">
        <v>0.23749809999999999</v>
      </c>
      <c r="FL244">
        <v>5.6405299999999998E-2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0.17491799999999999</v>
      </c>
      <c r="FZ244">
        <v>-0.77079140000000002</v>
      </c>
      <c r="GA244">
        <v>0.32668049999999998</v>
      </c>
      <c r="GB244">
        <v>0.27129829999999999</v>
      </c>
      <c r="GC244">
        <v>1.6814640000000001</v>
      </c>
      <c r="GD244">
        <v>-0.2427781</v>
      </c>
      <c r="GE244">
        <v>-0.50361829999999996</v>
      </c>
      <c r="GF244">
        <v>-1.2364889999999999</v>
      </c>
      <c r="GG244">
        <v>-0.69244899999999998</v>
      </c>
      <c r="GH244">
        <v>-1.810748</v>
      </c>
      <c r="GI244">
        <v>3.27881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0.1709986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-1.303739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1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1</v>
      </c>
      <c r="LP244">
        <v>1</v>
      </c>
      <c r="LQ244">
        <v>1</v>
      </c>
      <c r="LR244">
        <v>1</v>
      </c>
      <c r="LS244">
        <v>1</v>
      </c>
      <c r="LT244">
        <v>1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1</v>
      </c>
      <c r="MH244">
        <v>1</v>
      </c>
      <c r="MI244">
        <v>1</v>
      </c>
      <c r="MJ244">
        <v>1</v>
      </c>
      <c r="MK244">
        <v>1</v>
      </c>
      <c r="ML244">
        <v>1</v>
      </c>
      <c r="MM244">
        <v>1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MZ244">
        <v>1</v>
      </c>
      <c r="NA244">
        <v>1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1</v>
      </c>
      <c r="NH244">
        <v>1</v>
      </c>
      <c r="NI244">
        <v>1</v>
      </c>
      <c r="NJ244">
        <v>1</v>
      </c>
      <c r="NK244">
        <v>1</v>
      </c>
      <c r="NL244">
        <v>1</v>
      </c>
      <c r="NM244">
        <v>1</v>
      </c>
      <c r="NN244">
        <v>1</v>
      </c>
      <c r="NO244">
        <v>1</v>
      </c>
      <c r="NP244">
        <v>97.778630000000007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1</v>
      </c>
      <c r="NW244">
        <v>1</v>
      </c>
      <c r="NX244">
        <v>1</v>
      </c>
      <c r="NY244">
        <v>1</v>
      </c>
      <c r="NZ244">
        <v>1</v>
      </c>
      <c r="OA244">
        <v>1</v>
      </c>
      <c r="OB244">
        <v>1</v>
      </c>
      <c r="OC244">
        <v>31</v>
      </c>
      <c r="OD244">
        <v>19698.7</v>
      </c>
      <c r="OE244">
        <v>0.24</v>
      </c>
      <c r="OF244">
        <v>115.43899999999999</v>
      </c>
      <c r="OG244">
        <v>27.8</v>
      </c>
      <c r="OH244">
        <v>60.567</v>
      </c>
    </row>
    <row r="245" spans="1:398">
      <c r="A245">
        <v>23</v>
      </c>
      <c r="B245" t="s">
        <v>9</v>
      </c>
      <c r="C245" t="s">
        <v>8</v>
      </c>
      <c r="D245">
        <v>2011</v>
      </c>
      <c r="E245">
        <v>18.234999999999999</v>
      </c>
      <c r="F245">
        <v>0.97929999999999995</v>
      </c>
      <c r="G245">
        <v>526</v>
      </c>
      <c r="H245">
        <v>20.100000000000001</v>
      </c>
      <c r="I245">
        <v>83</v>
      </c>
      <c r="J245">
        <v>1.7</v>
      </c>
      <c r="K245">
        <v>17629</v>
      </c>
      <c r="L245">
        <v>0.6</v>
      </c>
      <c r="M245">
        <v>1.6</v>
      </c>
      <c r="N245">
        <v>87587</v>
      </c>
      <c r="O245">
        <v>5.25</v>
      </c>
      <c r="P245">
        <v>0.68</v>
      </c>
      <c r="Q245">
        <v>5443.83</v>
      </c>
      <c r="R245">
        <v>24.3</v>
      </c>
      <c r="S245">
        <v>0.233372</v>
      </c>
      <c r="T245">
        <v>-5.7441000000000002E-3</v>
      </c>
      <c r="U245">
        <v>-0.71666149999999995</v>
      </c>
      <c r="V245">
        <v>0.15205379999999999</v>
      </c>
      <c r="W245">
        <v>-0.93151039999999996</v>
      </c>
      <c r="X245">
        <v>-6.5006999999999999E-3</v>
      </c>
      <c r="Y245">
        <v>-1.0493699999999999</v>
      </c>
      <c r="Z245">
        <v>1.6772879999999999</v>
      </c>
      <c r="AA245">
        <v>-0.19478770000000001</v>
      </c>
      <c r="AB245">
        <v>-0.18922800000000001</v>
      </c>
      <c r="AC245">
        <v>-0.25439099999999998</v>
      </c>
      <c r="AD245">
        <v>-1.2364889999999999</v>
      </c>
      <c r="AE245">
        <v>-0.74045150000000004</v>
      </c>
      <c r="AF245">
        <v>-0.73137459999999999</v>
      </c>
      <c r="AG245">
        <v>-0.36038940000000003</v>
      </c>
      <c r="AH245">
        <v>-1.2832710000000001</v>
      </c>
      <c r="AI245">
        <v>2.903343</v>
      </c>
      <c r="AJ245">
        <v>-2.09172E-2</v>
      </c>
      <c r="AK245">
        <v>6.265301</v>
      </c>
      <c r="AL245">
        <v>4.4188400000000003</v>
      </c>
      <c r="AM245">
        <v>0.53062830000000005</v>
      </c>
      <c r="AN245">
        <v>9.7773009999999996</v>
      </c>
      <c r="AO245">
        <v>11.38039</v>
      </c>
      <c r="AP245">
        <v>-0.38566250000000002</v>
      </c>
      <c r="AQ245">
        <v>8.6022390000000009</v>
      </c>
      <c r="AR245">
        <v>4.7472799999999999</v>
      </c>
      <c r="AS245">
        <v>3.30322</v>
      </c>
      <c r="AT245">
        <v>9.8724900000000009</v>
      </c>
      <c r="AU245">
        <v>61.167000000000002</v>
      </c>
      <c r="AV245">
        <v>73.007599999999996</v>
      </c>
      <c r="AW245">
        <v>4.0016299999999996</v>
      </c>
      <c r="AX245" s="17">
        <v>9800000000</v>
      </c>
      <c r="AY245">
        <v>3.4499900000000001</v>
      </c>
      <c r="AZ245">
        <v>0.67</v>
      </c>
      <c r="BA245">
        <v>1.658228</v>
      </c>
      <c r="BB245">
        <v>1.658228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-0.69314699999999996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2.1056999999999998E-3</v>
      </c>
      <c r="CG245">
        <v>0.42829149999999999</v>
      </c>
      <c r="CH245">
        <v>0.21617400000000001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-1.173386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0.1834336</v>
      </c>
      <c r="DI245">
        <v>1.3768339999999999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0.28695530000000002</v>
      </c>
      <c r="DW245">
        <v>-0.78616850000000005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13.954829999999999</v>
      </c>
      <c r="EW245">
        <v>7.1376700000000001E-2</v>
      </c>
      <c r="EX245">
        <v>7.1515599999999999E-2</v>
      </c>
      <c r="EY245">
        <v>7.1376300000000004E-2</v>
      </c>
      <c r="EZ245">
        <v>7.1496400000000002E-2</v>
      </c>
      <c r="FA245">
        <v>7.1377800000000005E-2</v>
      </c>
      <c r="FB245">
        <v>7.1632199999999993E-2</v>
      </c>
      <c r="FC245">
        <v>7.0865200000000003E-2</v>
      </c>
      <c r="FD245">
        <v>7.1417300000000003E-2</v>
      </c>
      <c r="FE245">
        <v>7.1415900000000004E-2</v>
      </c>
      <c r="FF245">
        <v>7.1480799999999997E-2</v>
      </c>
      <c r="FG245">
        <v>7.1502899999999994E-2</v>
      </c>
      <c r="FH245">
        <v>7.1543800000000005E-2</v>
      </c>
      <c r="FI245">
        <v>7.14973E-2</v>
      </c>
      <c r="FJ245">
        <v>7.1501999999999996E-2</v>
      </c>
      <c r="FK245">
        <v>0.23315530000000001</v>
      </c>
      <c r="FL245">
        <v>5.4361399999999997E-2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-5.7441000000000002E-3</v>
      </c>
      <c r="FZ245">
        <v>-0.71666149999999995</v>
      </c>
      <c r="GA245">
        <v>0.15205379999999999</v>
      </c>
      <c r="GB245">
        <v>-6.5006999999999999E-3</v>
      </c>
      <c r="GC245">
        <v>1.6772879999999999</v>
      </c>
      <c r="GD245">
        <v>-0.25439099999999998</v>
      </c>
      <c r="GE245">
        <v>-0.36038940000000003</v>
      </c>
      <c r="GF245">
        <v>-1.2364889999999999</v>
      </c>
      <c r="GG245">
        <v>-0.74045150000000004</v>
      </c>
      <c r="GH245">
        <v>-1.6356379999999999</v>
      </c>
      <c r="GI245">
        <v>2.6753130000000001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0.15621399999999999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-1.0958779999999999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IZ245">
        <v>1</v>
      </c>
      <c r="JA245">
        <v>1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1</v>
      </c>
      <c r="JQ245">
        <v>1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1</v>
      </c>
      <c r="KY245">
        <v>1</v>
      </c>
      <c r="KZ245">
        <v>1</v>
      </c>
      <c r="LA245">
        <v>1</v>
      </c>
      <c r="LB245">
        <v>1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1</v>
      </c>
      <c r="LQ245">
        <v>1</v>
      </c>
      <c r="LR245">
        <v>1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1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MZ245">
        <v>1</v>
      </c>
      <c r="NA245">
        <v>1</v>
      </c>
      <c r="NB245">
        <v>1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1</v>
      </c>
      <c r="NM245">
        <v>1</v>
      </c>
      <c r="NN245">
        <v>1</v>
      </c>
      <c r="NO245">
        <v>1</v>
      </c>
      <c r="NP245">
        <v>97.466089999999994</v>
      </c>
      <c r="NQ245">
        <v>1</v>
      </c>
      <c r="NR245">
        <v>1</v>
      </c>
      <c r="NS245">
        <v>1</v>
      </c>
      <c r="NT245">
        <v>1</v>
      </c>
      <c r="NU245">
        <v>1</v>
      </c>
      <c r="NV245">
        <v>1</v>
      </c>
      <c r="NW245">
        <v>1</v>
      </c>
      <c r="NX245">
        <v>1</v>
      </c>
      <c r="NY245">
        <v>1</v>
      </c>
      <c r="NZ245">
        <v>1</v>
      </c>
      <c r="OA245">
        <v>1</v>
      </c>
      <c r="OB245">
        <v>1</v>
      </c>
      <c r="OC245">
        <v>31.5</v>
      </c>
      <c r="OD245">
        <v>19389.599999999999</v>
      </c>
      <c r="OE245">
        <v>0.5</v>
      </c>
      <c r="OF245">
        <v>115.27</v>
      </c>
      <c r="OG245">
        <v>27.2</v>
      </c>
      <c r="OH245">
        <v>61.167000000000002</v>
      </c>
    </row>
    <row r="246" spans="1:398">
      <c r="A246">
        <v>23</v>
      </c>
      <c r="B246" t="s">
        <v>9</v>
      </c>
      <c r="C246" t="s">
        <v>8</v>
      </c>
      <c r="D246">
        <v>2012</v>
      </c>
      <c r="E246">
        <v>16.081</v>
      </c>
      <c r="F246">
        <v>1.0243</v>
      </c>
      <c r="G246">
        <v>527</v>
      </c>
      <c r="H246">
        <v>26.1</v>
      </c>
      <c r="I246">
        <v>86.6</v>
      </c>
      <c r="J246">
        <v>2</v>
      </c>
      <c r="K246">
        <v>19036.900000000001</v>
      </c>
      <c r="L246">
        <v>0.6</v>
      </c>
      <c r="M246">
        <v>1.5</v>
      </c>
      <c r="N246">
        <v>82546</v>
      </c>
      <c r="O246">
        <v>2.83</v>
      </c>
      <c r="P246">
        <v>0.67</v>
      </c>
      <c r="Q246">
        <v>5466.84</v>
      </c>
      <c r="R246">
        <v>25.4</v>
      </c>
      <c r="S246">
        <v>0.241725</v>
      </c>
      <c r="T246">
        <v>-0.26744319999999999</v>
      </c>
      <c r="U246">
        <v>-0.67347279999999998</v>
      </c>
      <c r="V246">
        <v>0.15964629999999999</v>
      </c>
      <c r="W246">
        <v>-0.54527309999999996</v>
      </c>
      <c r="X246">
        <v>0.49353720000000001</v>
      </c>
      <c r="Y246">
        <v>-1.0013300000000001</v>
      </c>
      <c r="Z246">
        <v>1.8610070000000001</v>
      </c>
      <c r="AA246">
        <v>-0.19478770000000001</v>
      </c>
      <c r="AB246">
        <v>-0.32115470000000002</v>
      </c>
      <c r="AC246">
        <v>-0.28115859999999998</v>
      </c>
      <c r="AD246">
        <v>-1.285493</v>
      </c>
      <c r="AE246">
        <v>-0.73287049999999998</v>
      </c>
      <c r="AF246">
        <v>-0.67342860000000004</v>
      </c>
      <c r="AG246">
        <v>-0.4864309</v>
      </c>
      <c r="AH246">
        <v>-1.101658</v>
      </c>
      <c r="AI246">
        <v>2.7776380000000001</v>
      </c>
      <c r="AJ246">
        <v>2.40094E-2</v>
      </c>
      <c r="AK246">
        <v>6.2671999999999999</v>
      </c>
      <c r="AL246">
        <v>4.4612999999999996</v>
      </c>
      <c r="AM246">
        <v>0.69314719999999996</v>
      </c>
      <c r="AN246">
        <v>9.8541349999999994</v>
      </c>
      <c r="AO246">
        <v>11.321109999999999</v>
      </c>
      <c r="AP246">
        <v>-0.40047749999999999</v>
      </c>
      <c r="AQ246">
        <v>8.6064559999999997</v>
      </c>
      <c r="AR246">
        <v>4.74322</v>
      </c>
      <c r="AS246">
        <v>3.23868</v>
      </c>
      <c r="AT246">
        <v>9.8352000000000004</v>
      </c>
      <c r="AU246">
        <v>61.762999999999998</v>
      </c>
      <c r="AV246">
        <v>75.941100000000006</v>
      </c>
      <c r="AW246">
        <v>9.8811800000000005</v>
      </c>
      <c r="AX246" s="17">
        <v>21000000000</v>
      </c>
      <c r="AY246">
        <v>3.5263599999999999</v>
      </c>
      <c r="AZ246">
        <v>0.65</v>
      </c>
      <c r="BA246">
        <v>1.0402769999999999</v>
      </c>
      <c r="BB246">
        <v>1.0402766000000001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-1.3093300000000001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2.8869999999999998E-3</v>
      </c>
      <c r="CG246">
        <v>0.43210730000000003</v>
      </c>
      <c r="CH246">
        <v>0.22419500000000001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-1.0704279999999999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0.18671670000000001</v>
      </c>
      <c r="DI246">
        <v>1.145815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0.2808697</v>
      </c>
      <c r="DW246">
        <v>-0.69577789999999995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13.9543</v>
      </c>
      <c r="EW246">
        <v>7.1407899999999996E-2</v>
      </c>
      <c r="EX246">
        <v>7.1510599999999994E-2</v>
      </c>
      <c r="EY246">
        <v>7.1379200000000004E-2</v>
      </c>
      <c r="EZ246">
        <v>7.145E-2</v>
      </c>
      <c r="FA246">
        <v>7.1356000000000003E-2</v>
      </c>
      <c r="FB246">
        <v>7.1620900000000001E-2</v>
      </c>
      <c r="FC246">
        <v>7.0830400000000002E-2</v>
      </c>
      <c r="FD246">
        <v>7.1420700000000004E-2</v>
      </c>
      <c r="FE246">
        <v>7.1437700000000007E-2</v>
      </c>
      <c r="FF246">
        <v>7.1492700000000006E-2</v>
      </c>
      <c r="FG246">
        <v>7.1545600000000001E-2</v>
      </c>
      <c r="FH246">
        <v>7.1553699999999998E-2</v>
      </c>
      <c r="FI246">
        <v>7.1499199999999999E-2</v>
      </c>
      <c r="FJ246">
        <v>7.1495400000000001E-2</v>
      </c>
      <c r="FK246">
        <v>0.24147179999999999</v>
      </c>
      <c r="FL246">
        <v>5.8308600000000002E-2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-0.26744319999999999</v>
      </c>
      <c r="FZ246">
        <v>-0.67347279999999998</v>
      </c>
      <c r="GA246">
        <v>0.15964629999999999</v>
      </c>
      <c r="GB246">
        <v>0.49353720000000001</v>
      </c>
      <c r="GC246">
        <v>1.8610070000000001</v>
      </c>
      <c r="GD246">
        <v>-0.28115859999999998</v>
      </c>
      <c r="GE246">
        <v>-0.4864309</v>
      </c>
      <c r="GF246">
        <v>-1.285493</v>
      </c>
      <c r="GG246">
        <v>-0.73287049999999998</v>
      </c>
      <c r="GH246">
        <v>-1.394995</v>
      </c>
      <c r="GI246">
        <v>1.94601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0.1569566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-0.90674639999999995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1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KZ246">
        <v>1</v>
      </c>
      <c r="LA246">
        <v>1</v>
      </c>
      <c r="LB246">
        <v>1</v>
      </c>
      <c r="LC246">
        <v>1</v>
      </c>
      <c r="LD246">
        <v>1</v>
      </c>
      <c r="LE246">
        <v>1</v>
      </c>
      <c r="LF246">
        <v>1</v>
      </c>
      <c r="LG246">
        <v>1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1</v>
      </c>
      <c r="LR246">
        <v>1</v>
      </c>
      <c r="LS246">
        <v>1</v>
      </c>
      <c r="LT246">
        <v>1</v>
      </c>
      <c r="LU246">
        <v>1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1</v>
      </c>
      <c r="MI246">
        <v>1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1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MZ246">
        <v>1</v>
      </c>
      <c r="NA246">
        <v>1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1</v>
      </c>
      <c r="NO246">
        <v>1</v>
      </c>
      <c r="NP246">
        <v>96.731120000000004</v>
      </c>
      <c r="NQ246">
        <v>1</v>
      </c>
      <c r="NR246">
        <v>1</v>
      </c>
      <c r="NS246">
        <v>1</v>
      </c>
      <c r="NT246">
        <v>1</v>
      </c>
      <c r="NU246">
        <v>1</v>
      </c>
      <c r="NV246">
        <v>1</v>
      </c>
      <c r="NW246">
        <v>1</v>
      </c>
      <c r="NX246">
        <v>1</v>
      </c>
      <c r="NY246">
        <v>1</v>
      </c>
      <c r="NZ246">
        <v>1</v>
      </c>
      <c r="OA246">
        <v>1</v>
      </c>
      <c r="OB246">
        <v>1</v>
      </c>
      <c r="OC246">
        <v>34</v>
      </c>
      <c r="OD246">
        <v>18679.8</v>
      </c>
      <c r="OE246">
        <v>0.27</v>
      </c>
      <c r="OF246">
        <v>114.803</v>
      </c>
      <c r="OG246">
        <v>25.5</v>
      </c>
      <c r="OH246">
        <v>61.762999999999998</v>
      </c>
    </row>
    <row r="247" spans="1:398">
      <c r="A247">
        <v>23</v>
      </c>
      <c r="B247" t="s">
        <v>9</v>
      </c>
      <c r="C247" t="s">
        <v>8</v>
      </c>
      <c r="D247">
        <v>2013</v>
      </c>
      <c r="E247">
        <v>13.871</v>
      </c>
      <c r="F247">
        <v>1.1931</v>
      </c>
      <c r="G247">
        <v>523</v>
      </c>
      <c r="H247">
        <v>25.8</v>
      </c>
      <c r="I247">
        <v>86.6</v>
      </c>
      <c r="J247">
        <v>2.5</v>
      </c>
      <c r="K247">
        <v>17528.8</v>
      </c>
      <c r="L247">
        <v>0.6</v>
      </c>
      <c r="M247">
        <v>1.4</v>
      </c>
      <c r="N247">
        <v>79255</v>
      </c>
      <c r="O247">
        <v>3</v>
      </c>
      <c r="P247">
        <v>0.67</v>
      </c>
      <c r="Q247">
        <v>5890.4</v>
      </c>
      <c r="R247">
        <v>28.8</v>
      </c>
      <c r="S247">
        <v>0.24332899999999999</v>
      </c>
      <c r="T247">
        <v>-0.53594569999999997</v>
      </c>
      <c r="U247">
        <v>-0.51146689999999995</v>
      </c>
      <c r="V247">
        <v>0.12927640000000001</v>
      </c>
      <c r="W247">
        <v>-0.564585</v>
      </c>
      <c r="X247">
        <v>0.49353720000000001</v>
      </c>
      <c r="Y247">
        <v>-0.92126509999999995</v>
      </c>
      <c r="Z247">
        <v>1.6642129999999999</v>
      </c>
      <c r="AA247">
        <v>-0.19478770000000001</v>
      </c>
      <c r="AB247">
        <v>-0.45308130000000002</v>
      </c>
      <c r="AC247">
        <v>-0.2986338</v>
      </c>
      <c r="AD247">
        <v>-1.285493</v>
      </c>
      <c r="AE247">
        <v>-0.59332459999999998</v>
      </c>
      <c r="AF247">
        <v>-0.49432300000000001</v>
      </c>
      <c r="AG247">
        <v>-0.47757670000000002</v>
      </c>
      <c r="AH247">
        <v>-0.9733735</v>
      </c>
      <c r="AI247">
        <v>2.6297999999999999</v>
      </c>
      <c r="AJ247">
        <v>0.17655489999999999</v>
      </c>
      <c r="AK247">
        <v>6.259582</v>
      </c>
      <c r="AL247">
        <v>4.4612999999999996</v>
      </c>
      <c r="AM247">
        <v>0.91629079999999996</v>
      </c>
      <c r="AN247">
        <v>9.7716010000000004</v>
      </c>
      <c r="AO247">
        <v>11.280430000000001</v>
      </c>
      <c r="AP247">
        <v>-0.40047749999999999</v>
      </c>
      <c r="AQ247">
        <v>8.6810790000000004</v>
      </c>
      <c r="AR247">
        <v>4.7375699999999998</v>
      </c>
      <c r="AS247">
        <v>3.4078400000000002</v>
      </c>
      <c r="AT247">
        <v>9.8307900000000004</v>
      </c>
      <c r="AU247">
        <v>62.351999999999997</v>
      </c>
      <c r="AV247">
        <v>78.030500000000004</v>
      </c>
      <c r="AW247">
        <v>6.9460899999999999</v>
      </c>
      <c r="AX247" s="17">
        <v>16000000000</v>
      </c>
      <c r="AY247">
        <v>3.5263599999999999</v>
      </c>
      <c r="AZ247">
        <v>0.68</v>
      </c>
      <c r="BA247">
        <v>1.0986119999999999</v>
      </c>
      <c r="BB247">
        <v>1.0986123000000001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-1.23787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2.8395E-3</v>
      </c>
      <c r="CG247">
        <v>0.43507489999999999</v>
      </c>
      <c r="CH247">
        <v>0.220912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-0.83464839999999996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0.18929009999999999</v>
      </c>
      <c r="DI247">
        <v>0.69663799999999998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0.29585090000000003</v>
      </c>
      <c r="DW247">
        <v>-0.56756090000000003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13.954610000000001</v>
      </c>
      <c r="EW247">
        <v>7.1436100000000002E-2</v>
      </c>
      <c r="EX247">
        <v>7.1480299999999997E-2</v>
      </c>
      <c r="EY247">
        <v>7.1381799999999995E-2</v>
      </c>
      <c r="EZ247">
        <v>7.1451299999999995E-2</v>
      </c>
      <c r="FA247">
        <v>7.1355500000000002E-2</v>
      </c>
      <c r="FB247">
        <v>7.1597599999999997E-2</v>
      </c>
      <c r="FC247">
        <v>7.0888099999999996E-2</v>
      </c>
      <c r="FD247">
        <v>7.1419800000000006E-2</v>
      </c>
      <c r="FE247">
        <v>7.1455299999999999E-2</v>
      </c>
      <c r="FF247">
        <v>7.1497099999999994E-2</v>
      </c>
      <c r="FG247">
        <v>7.1541199999999999E-2</v>
      </c>
      <c r="FH247">
        <v>7.1552199999999996E-2</v>
      </c>
      <c r="FI247">
        <v>7.1478E-2</v>
      </c>
      <c r="FJ247">
        <v>7.1465500000000001E-2</v>
      </c>
      <c r="FK247">
        <v>0.2431248</v>
      </c>
      <c r="FL247">
        <v>5.9109700000000001E-2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-0.53594569999999997</v>
      </c>
      <c r="FZ247">
        <v>-0.51146689999999995</v>
      </c>
      <c r="GA247">
        <v>0.12927640000000001</v>
      </c>
      <c r="GB247">
        <v>0.49353720000000001</v>
      </c>
      <c r="GC247">
        <v>1.6642129999999999</v>
      </c>
      <c r="GD247">
        <v>-0.2986338</v>
      </c>
      <c r="GE247">
        <v>-0.47757670000000002</v>
      </c>
      <c r="GF247">
        <v>-1.285493</v>
      </c>
      <c r="GG247">
        <v>-0.59332459999999998</v>
      </c>
      <c r="GH247">
        <v>-1.267727</v>
      </c>
      <c r="GI247">
        <v>1.607132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0.1653249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-0.86205449999999995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1</v>
      </c>
      <c r="IZ247">
        <v>1</v>
      </c>
      <c r="JA247">
        <v>1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1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KZ247">
        <v>1</v>
      </c>
      <c r="LA247">
        <v>1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1</v>
      </c>
      <c r="LS247">
        <v>1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  <c r="MX247">
        <v>1</v>
      </c>
      <c r="MY247">
        <v>1</v>
      </c>
      <c r="MZ247">
        <v>1</v>
      </c>
      <c r="NA247">
        <v>1</v>
      </c>
      <c r="NB247">
        <v>1</v>
      </c>
      <c r="NC247">
        <v>1</v>
      </c>
      <c r="ND247">
        <v>1</v>
      </c>
      <c r="NE247">
        <v>1</v>
      </c>
      <c r="NF247">
        <v>1</v>
      </c>
      <c r="NG247">
        <v>1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1</v>
      </c>
      <c r="NO247">
        <v>1</v>
      </c>
      <c r="NP247">
        <v>96.644499999999994</v>
      </c>
      <c r="NQ247">
        <v>1</v>
      </c>
      <c r="NR247">
        <v>1</v>
      </c>
      <c r="NS247">
        <v>1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1</v>
      </c>
      <c r="OA247">
        <v>1</v>
      </c>
      <c r="OB247">
        <v>1</v>
      </c>
      <c r="OC247">
        <v>34</v>
      </c>
      <c r="OD247">
        <v>18597.7</v>
      </c>
      <c r="OE247">
        <v>0.28999999999999998</v>
      </c>
      <c r="OF247">
        <v>114.15600000000001</v>
      </c>
      <c r="OG247">
        <v>30.2</v>
      </c>
      <c r="OH247">
        <v>62.351999999999997</v>
      </c>
    </row>
    <row r="248" spans="1:398">
      <c r="A248">
        <v>23</v>
      </c>
      <c r="B248" t="s">
        <v>9</v>
      </c>
      <c r="C248" t="s">
        <v>8</v>
      </c>
      <c r="D248">
        <v>2014</v>
      </c>
      <c r="E248">
        <v>15.398999999999999</v>
      </c>
      <c r="F248">
        <v>1.0931999999999999</v>
      </c>
      <c r="G248">
        <v>520</v>
      </c>
      <c r="H248">
        <v>30.4</v>
      </c>
      <c r="I248">
        <v>76.900000000000006</v>
      </c>
      <c r="J248">
        <v>2.4</v>
      </c>
      <c r="K248">
        <v>19966.2</v>
      </c>
      <c r="L248">
        <v>0.7</v>
      </c>
      <c r="M248">
        <v>1.4</v>
      </c>
      <c r="N248">
        <v>79264</v>
      </c>
      <c r="O248">
        <v>4</v>
      </c>
      <c r="P248">
        <v>0.69</v>
      </c>
      <c r="Q248">
        <v>5697.85</v>
      </c>
      <c r="R248">
        <v>28.5</v>
      </c>
      <c r="S248">
        <v>0.24706600000000001</v>
      </c>
      <c r="T248">
        <v>-0.35030220000000001</v>
      </c>
      <c r="U248">
        <v>-0.60734600000000005</v>
      </c>
      <c r="V248">
        <v>0.106499</v>
      </c>
      <c r="W248">
        <v>-0.26846969999999998</v>
      </c>
      <c r="X248">
        <v>-0.85378730000000003</v>
      </c>
      <c r="Y248">
        <v>-0.93727819999999995</v>
      </c>
      <c r="Z248">
        <v>1.982272</v>
      </c>
      <c r="AA248">
        <v>8.3346600000000007E-2</v>
      </c>
      <c r="AB248">
        <v>-0.45308130000000002</v>
      </c>
      <c r="AC248">
        <v>-0.29858600000000002</v>
      </c>
      <c r="AD248">
        <v>-1.1874849999999999</v>
      </c>
      <c r="AE248">
        <v>-0.65676369999999995</v>
      </c>
      <c r="AF248">
        <v>-0.51012639999999998</v>
      </c>
      <c r="AG248">
        <v>-0.42549340000000002</v>
      </c>
      <c r="AH248">
        <v>-0.60433289999999995</v>
      </c>
      <c r="AI248">
        <v>2.7343030000000002</v>
      </c>
      <c r="AJ248">
        <v>8.9109099999999997E-2</v>
      </c>
      <c r="AK248">
        <v>6.2538289999999996</v>
      </c>
      <c r="AL248">
        <v>4.3425060000000002</v>
      </c>
      <c r="AM248">
        <v>0.87546880000000005</v>
      </c>
      <c r="AN248">
        <v>9.9017959999999992</v>
      </c>
      <c r="AO248">
        <v>11.28054</v>
      </c>
      <c r="AP248">
        <v>-0.3710637</v>
      </c>
      <c r="AQ248">
        <v>8.6478429999999999</v>
      </c>
      <c r="AR248">
        <v>4.73217</v>
      </c>
      <c r="AS248">
        <v>3.4177300000000002</v>
      </c>
      <c r="AT248">
        <v>9.8435699999999997</v>
      </c>
      <c r="AU248">
        <v>62.936</v>
      </c>
      <c r="AV248">
        <v>80.220699999999994</v>
      </c>
      <c r="AW248">
        <v>5.2355200000000002</v>
      </c>
      <c r="AX248" s="17">
        <v>12000000000</v>
      </c>
      <c r="AY248">
        <v>3.5145300000000002</v>
      </c>
      <c r="AZ248">
        <v>0.74</v>
      </c>
      <c r="BA248">
        <v>1.3862939999999999</v>
      </c>
      <c r="BB248">
        <v>1.3862943999999999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-0.98592199999999997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3.4296000000000001E-3</v>
      </c>
      <c r="CG248">
        <v>0.43724489999999999</v>
      </c>
      <c r="CH248">
        <v>0.23810999999999999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-0.54424819999999996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0.19118309999999999</v>
      </c>
      <c r="DI248">
        <v>0.29620610000000003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0.32356119999999999</v>
      </c>
      <c r="DW248">
        <v>-0.40274369999999998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13.953430000000001</v>
      </c>
      <c r="EW248">
        <v>7.1422600000000003E-2</v>
      </c>
      <c r="EX248">
        <v>7.1503700000000003E-2</v>
      </c>
      <c r="EY248">
        <v>7.1391200000000002E-2</v>
      </c>
      <c r="EZ248">
        <v>7.1421999999999999E-2</v>
      </c>
      <c r="FA248">
        <v>7.1432300000000004E-2</v>
      </c>
      <c r="FB248">
        <v>7.1607900000000002E-2</v>
      </c>
      <c r="FC248">
        <v>7.0824200000000004E-2</v>
      </c>
      <c r="FD248">
        <v>7.1387800000000001E-2</v>
      </c>
      <c r="FE248">
        <v>7.1461800000000006E-2</v>
      </c>
      <c r="FF248">
        <v>7.1503499999999998E-2</v>
      </c>
      <c r="FG248">
        <v>7.1530800000000005E-2</v>
      </c>
      <c r="FH248">
        <v>7.1544399999999994E-2</v>
      </c>
      <c r="FI248">
        <v>7.1493399999999999E-2</v>
      </c>
      <c r="FJ248">
        <v>7.1474399999999993E-2</v>
      </c>
      <c r="FK248">
        <v>0.2468292</v>
      </c>
      <c r="FL248">
        <v>6.0924600000000002E-2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1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-0.35030220000000001</v>
      </c>
      <c r="FZ248">
        <v>-0.60734600000000005</v>
      </c>
      <c r="GA248">
        <v>0.106499</v>
      </c>
      <c r="GB248">
        <v>-0.85378730000000003</v>
      </c>
      <c r="GC248">
        <v>1.982272</v>
      </c>
      <c r="GD248">
        <v>-0.29858600000000002</v>
      </c>
      <c r="GE248">
        <v>-0.42549340000000002</v>
      </c>
      <c r="GF248">
        <v>-1.1874849999999999</v>
      </c>
      <c r="GG248">
        <v>-0.65676369999999995</v>
      </c>
      <c r="GH248">
        <v>-0.72171620000000003</v>
      </c>
      <c r="GI248">
        <v>0.52087419999999995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0.1826536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-0.53407000000000004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1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KZ248">
        <v>1</v>
      </c>
      <c r="LA248">
        <v>1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1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1</v>
      </c>
      <c r="MP248">
        <v>1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MZ248">
        <v>1</v>
      </c>
      <c r="NA248">
        <v>1</v>
      </c>
      <c r="NB248">
        <v>1</v>
      </c>
      <c r="NC248">
        <v>1</v>
      </c>
      <c r="ND248">
        <v>1</v>
      </c>
      <c r="NE248">
        <v>1</v>
      </c>
      <c r="NF248">
        <v>1</v>
      </c>
      <c r="NG248">
        <v>1</v>
      </c>
      <c r="NH248">
        <v>1</v>
      </c>
      <c r="NI248">
        <v>1</v>
      </c>
      <c r="NJ248">
        <v>1</v>
      </c>
      <c r="NK248">
        <v>1</v>
      </c>
      <c r="NL248">
        <v>1</v>
      </c>
      <c r="NM248">
        <v>1</v>
      </c>
      <c r="NN248">
        <v>1</v>
      </c>
      <c r="NO248">
        <v>1</v>
      </c>
      <c r="NP248">
        <v>96.895920000000004</v>
      </c>
      <c r="NQ248">
        <v>1</v>
      </c>
      <c r="NR248">
        <v>1</v>
      </c>
      <c r="NS248">
        <v>1</v>
      </c>
      <c r="NT248">
        <v>1</v>
      </c>
      <c r="NU248">
        <v>1</v>
      </c>
      <c r="NV248">
        <v>1</v>
      </c>
      <c r="NW248">
        <v>1</v>
      </c>
      <c r="NX248">
        <v>1</v>
      </c>
      <c r="NY248">
        <v>1</v>
      </c>
      <c r="NZ248">
        <v>1</v>
      </c>
      <c r="OA248">
        <v>1</v>
      </c>
      <c r="OB248">
        <v>1</v>
      </c>
      <c r="OC248">
        <v>33.6</v>
      </c>
      <c r="OD248">
        <v>18836.900000000001</v>
      </c>
      <c r="OE248">
        <v>0</v>
      </c>
      <c r="OF248">
        <v>113.542</v>
      </c>
      <c r="OG248">
        <v>30.5</v>
      </c>
      <c r="OH248">
        <v>62.936</v>
      </c>
    </row>
    <row r="249" spans="1:398">
      <c r="A249">
        <v>23</v>
      </c>
      <c r="B249" t="s">
        <v>9</v>
      </c>
      <c r="C249" t="s">
        <v>8</v>
      </c>
      <c r="D249">
        <v>2015</v>
      </c>
      <c r="E249">
        <v>16.192</v>
      </c>
      <c r="F249">
        <v>1.1097999999999999</v>
      </c>
      <c r="G249">
        <v>513</v>
      </c>
      <c r="H249">
        <v>29.8</v>
      </c>
      <c r="I249">
        <v>78</v>
      </c>
      <c r="J249">
        <v>2.1</v>
      </c>
      <c r="K249">
        <v>25832.6</v>
      </c>
      <c r="L249">
        <v>0.8</v>
      </c>
      <c r="M249">
        <v>1.5</v>
      </c>
      <c r="N249">
        <v>82202</v>
      </c>
      <c r="O249">
        <v>5</v>
      </c>
      <c r="P249">
        <v>0.7</v>
      </c>
      <c r="Q249">
        <v>6223.12</v>
      </c>
      <c r="R249">
        <v>30.3</v>
      </c>
      <c r="S249">
        <v>0.26811499999999999</v>
      </c>
      <c r="T249">
        <v>-0.2539573</v>
      </c>
      <c r="U249">
        <v>-0.59141410000000005</v>
      </c>
      <c r="V249">
        <v>5.3351799999999998E-2</v>
      </c>
      <c r="W249">
        <v>-0.30709340000000002</v>
      </c>
      <c r="X249">
        <v>-0.70099809999999996</v>
      </c>
      <c r="Y249">
        <v>-0.98531749999999996</v>
      </c>
      <c r="Z249">
        <v>2.7477849999999999</v>
      </c>
      <c r="AA249">
        <v>0.361481</v>
      </c>
      <c r="AB249">
        <v>-0.32115470000000002</v>
      </c>
      <c r="AC249">
        <v>-0.2829853</v>
      </c>
      <c r="AD249">
        <v>-1.1384810000000001</v>
      </c>
      <c r="AE249">
        <v>-0.48370750000000001</v>
      </c>
      <c r="AF249">
        <v>-0.4153058</v>
      </c>
      <c r="AG249">
        <v>-0.37341020000000003</v>
      </c>
      <c r="AH249">
        <v>-0.26877820000000002</v>
      </c>
      <c r="AI249">
        <v>2.7845170000000001</v>
      </c>
      <c r="AJ249">
        <v>0.1041798</v>
      </c>
      <c r="AK249">
        <v>6.2402759999999997</v>
      </c>
      <c r="AL249">
        <v>4.3567090000000004</v>
      </c>
      <c r="AM249">
        <v>0.74193730000000002</v>
      </c>
      <c r="AN249">
        <v>10.15939</v>
      </c>
      <c r="AO249">
        <v>11.316929999999999</v>
      </c>
      <c r="AP249">
        <v>-0.35667500000000002</v>
      </c>
      <c r="AQ249">
        <v>8.736027</v>
      </c>
      <c r="AR249">
        <v>4.7280300000000004</v>
      </c>
      <c r="AS249">
        <v>3.30322</v>
      </c>
      <c r="AT249">
        <v>9.8634900000000005</v>
      </c>
      <c r="AU249">
        <v>63.514000000000003</v>
      </c>
      <c r="AV249">
        <v>80.634699999999995</v>
      </c>
      <c r="AW249">
        <v>0.63807499999999995</v>
      </c>
      <c r="AX249" s="17">
        <v>1300000000</v>
      </c>
      <c r="AY249">
        <v>3.5467399999999998</v>
      </c>
      <c r="AZ249">
        <v>0.69</v>
      </c>
      <c r="BA249">
        <v>1.6094379999999999</v>
      </c>
      <c r="BB249">
        <v>1.6094379000000001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-0.73396899999999998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3.3402000000000002E-3</v>
      </c>
      <c r="CG249">
        <v>0.45189030000000002</v>
      </c>
      <c r="CH249">
        <v>0.27763500000000002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-0.39646100000000001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0.20420479999999999</v>
      </c>
      <c r="DI249">
        <v>0.1571813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0.31180429999999998</v>
      </c>
      <c r="DW249">
        <v>-0.27355810000000003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13.94955</v>
      </c>
      <c r="EW249">
        <v>7.1432899999999994E-2</v>
      </c>
      <c r="EX249">
        <v>7.1521000000000001E-2</v>
      </c>
      <c r="EY249">
        <v>7.1417800000000004E-2</v>
      </c>
      <c r="EZ249">
        <v>7.1447099999999999E-2</v>
      </c>
      <c r="FA249">
        <v>7.14447E-2</v>
      </c>
      <c r="FB249">
        <v>7.1640899999999993E-2</v>
      </c>
      <c r="FC249">
        <v>7.0680099999999996E-2</v>
      </c>
      <c r="FD249">
        <v>7.1371400000000002E-2</v>
      </c>
      <c r="FE249">
        <v>7.1463600000000002E-2</v>
      </c>
      <c r="FF249">
        <v>7.1518499999999999E-2</v>
      </c>
      <c r="FG249">
        <v>7.1534799999999996E-2</v>
      </c>
      <c r="FH249">
        <v>7.1557599999999999E-2</v>
      </c>
      <c r="FI249">
        <v>7.1489499999999997E-2</v>
      </c>
      <c r="FJ249">
        <v>7.1480000000000002E-2</v>
      </c>
      <c r="FK249">
        <v>0.26774029999999999</v>
      </c>
      <c r="FL249">
        <v>7.1684899999999996E-2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-0.2539573</v>
      </c>
      <c r="FZ249">
        <v>-0.59141410000000005</v>
      </c>
      <c r="GA249">
        <v>5.3351799999999998E-2</v>
      </c>
      <c r="GB249">
        <v>-0.70099809999999996</v>
      </c>
      <c r="GC249">
        <v>2.7477849999999999</v>
      </c>
      <c r="GD249">
        <v>-0.2829853</v>
      </c>
      <c r="GE249">
        <v>-0.37341020000000003</v>
      </c>
      <c r="GF249">
        <v>-1.1384810000000001</v>
      </c>
      <c r="GG249">
        <v>-0.48370750000000001</v>
      </c>
      <c r="GH249">
        <v>-0.25927329999999998</v>
      </c>
      <c r="GI249">
        <v>6.7222599999999993E-2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0.18474080000000001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-0.17889849999999999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1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KZ249">
        <v>1</v>
      </c>
      <c r="LA249">
        <v>1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1</v>
      </c>
      <c r="LT249">
        <v>1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1</v>
      </c>
      <c r="MH249">
        <v>1</v>
      </c>
      <c r="MI249">
        <v>1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1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1</v>
      </c>
      <c r="NI249">
        <v>1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97.288399999999996</v>
      </c>
      <c r="NQ249">
        <v>1</v>
      </c>
      <c r="NR249">
        <v>1</v>
      </c>
      <c r="NS249">
        <v>1</v>
      </c>
      <c r="NT249">
        <v>1</v>
      </c>
      <c r="NU249">
        <v>1</v>
      </c>
      <c r="NV249">
        <v>1</v>
      </c>
      <c r="NW249">
        <v>1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34.700000000000003</v>
      </c>
      <c r="OD249">
        <v>19215.8</v>
      </c>
      <c r="OE249">
        <v>0.48</v>
      </c>
      <c r="OF249">
        <v>113.07299999999999</v>
      </c>
      <c r="OG249">
        <v>27.2</v>
      </c>
      <c r="OH249">
        <v>63.514000000000003</v>
      </c>
    </row>
    <row r="250" spans="1:398">
      <c r="A250">
        <v>23</v>
      </c>
      <c r="B250" t="s">
        <v>9</v>
      </c>
      <c r="C250" t="s">
        <v>8</v>
      </c>
      <c r="D250">
        <v>2016</v>
      </c>
      <c r="E250">
        <v>15.394</v>
      </c>
      <c r="F250">
        <v>1.1846000000000001</v>
      </c>
      <c r="G250">
        <v>511</v>
      </c>
      <c r="H250">
        <v>30.9</v>
      </c>
      <c r="I250">
        <v>82.1</v>
      </c>
      <c r="J250">
        <v>2.1</v>
      </c>
      <c r="K250">
        <v>30961.7</v>
      </c>
      <c r="L250">
        <v>0.8</v>
      </c>
      <c r="M250">
        <v>1.5</v>
      </c>
      <c r="N250">
        <v>84026</v>
      </c>
      <c r="O250">
        <v>1</v>
      </c>
      <c r="P250">
        <v>0.75</v>
      </c>
      <c r="Q250">
        <v>5897.21</v>
      </c>
      <c r="R250">
        <v>32.1</v>
      </c>
      <c r="S250">
        <v>0.28376499999999999</v>
      </c>
      <c r="T250">
        <v>-0.35090969999999999</v>
      </c>
      <c r="U250">
        <v>-0.5196248</v>
      </c>
      <c r="V250">
        <v>3.8166800000000001E-2</v>
      </c>
      <c r="W250">
        <v>-0.2362832</v>
      </c>
      <c r="X250">
        <v>-0.1315104</v>
      </c>
      <c r="Y250">
        <v>-0.98531749999999996</v>
      </c>
      <c r="Z250">
        <v>3.417087</v>
      </c>
      <c r="AA250">
        <v>0.361481</v>
      </c>
      <c r="AB250">
        <v>-0.32115470000000002</v>
      </c>
      <c r="AC250">
        <v>-0.27329989999999998</v>
      </c>
      <c r="AD250">
        <v>-0.89345989999999997</v>
      </c>
      <c r="AE250">
        <v>-0.59108170000000004</v>
      </c>
      <c r="AF250">
        <v>-0.32048529999999997</v>
      </c>
      <c r="AG250">
        <v>-0.58174320000000002</v>
      </c>
      <c r="AH250">
        <v>-3.4116800000000003E-2</v>
      </c>
      <c r="AI250">
        <v>2.733978</v>
      </c>
      <c r="AJ250">
        <v>0.16940520000000001</v>
      </c>
      <c r="AK250">
        <v>6.23637</v>
      </c>
      <c r="AL250">
        <v>4.4079379999999997</v>
      </c>
      <c r="AM250">
        <v>0.74193730000000002</v>
      </c>
      <c r="AN250">
        <v>10.34051</v>
      </c>
      <c r="AO250">
        <v>11.33888</v>
      </c>
      <c r="AP250">
        <v>-0.2876821</v>
      </c>
      <c r="AQ250">
        <v>8.6822350000000004</v>
      </c>
      <c r="AR250">
        <v>4.7248700000000001</v>
      </c>
      <c r="AS250">
        <v>3.3673000000000002</v>
      </c>
      <c r="AT250">
        <v>9.8864800000000006</v>
      </c>
      <c r="AU250">
        <v>64.085999999999999</v>
      </c>
      <c r="AV250">
        <v>79.522300000000001</v>
      </c>
      <c r="AW250">
        <v>3.56501</v>
      </c>
      <c r="AX250" s="17">
        <v>7400000000</v>
      </c>
      <c r="AY250">
        <v>3.5175000000000001</v>
      </c>
      <c r="AZ250">
        <v>0.72</v>
      </c>
      <c r="BA250">
        <v>0</v>
      </c>
      <c r="BB250">
        <v>0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-2.3025899999999999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3.4711E-3</v>
      </c>
      <c r="CG250">
        <v>0.4573141</v>
      </c>
      <c r="CH250">
        <v>0.30605100000000002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-0.5178739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0.20913619999999999</v>
      </c>
      <c r="DI250">
        <v>0.26819340000000003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0.32926620000000001</v>
      </c>
      <c r="DW250">
        <v>-0.37286920000000001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13.94782</v>
      </c>
      <c r="EW250">
        <v>7.1452799999999997E-2</v>
      </c>
      <c r="EX250">
        <v>7.1517499999999998E-2</v>
      </c>
      <c r="EY250">
        <v>7.1429099999999995E-2</v>
      </c>
      <c r="EZ250">
        <v>7.1448300000000006E-2</v>
      </c>
      <c r="FA250">
        <v>7.1424600000000005E-2</v>
      </c>
      <c r="FB250">
        <v>7.16498E-2</v>
      </c>
      <c r="FC250">
        <v>7.0565500000000003E-2</v>
      </c>
      <c r="FD250">
        <v>7.1381399999999998E-2</v>
      </c>
      <c r="FE250">
        <v>7.1472999999999995E-2</v>
      </c>
      <c r="FF250">
        <v>7.1524500000000005E-2</v>
      </c>
      <c r="FG250">
        <v>7.1611400000000006E-2</v>
      </c>
      <c r="FH250">
        <v>7.15335E-2</v>
      </c>
      <c r="FI250">
        <v>7.1513599999999997E-2</v>
      </c>
      <c r="FJ250">
        <v>7.1474899999999994E-2</v>
      </c>
      <c r="FK250">
        <v>0.28322770000000003</v>
      </c>
      <c r="FL250">
        <v>8.0217999999999998E-2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-0.35090969999999999</v>
      </c>
      <c r="FZ250">
        <v>-0.5196248</v>
      </c>
      <c r="GA250">
        <v>3.8166800000000001E-2</v>
      </c>
      <c r="GB250">
        <v>-0.1315104</v>
      </c>
      <c r="GC250">
        <v>3.417087</v>
      </c>
      <c r="GD250">
        <v>-0.27329989999999998</v>
      </c>
      <c r="GE250">
        <v>-0.58174320000000002</v>
      </c>
      <c r="GF250">
        <v>-0.89345989999999997</v>
      </c>
      <c r="GG250">
        <v>-0.59108170000000004</v>
      </c>
      <c r="GH250">
        <v>5.1076099999999999E-2</v>
      </c>
      <c r="GI250">
        <v>2.6088000000000001E-3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0.20392399999999999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3.6774800000000003E-2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1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IZ250">
        <v>1</v>
      </c>
      <c r="JA250">
        <v>1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1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KZ250">
        <v>1</v>
      </c>
      <c r="LA250">
        <v>1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1</v>
      </c>
      <c r="LT250">
        <v>1</v>
      </c>
      <c r="LU250">
        <v>1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1</v>
      </c>
      <c r="MG250">
        <v>1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1</v>
      </c>
      <c r="MY250">
        <v>1</v>
      </c>
      <c r="MZ250">
        <v>1</v>
      </c>
      <c r="NA250">
        <v>1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1</v>
      </c>
      <c r="NJ250">
        <v>1</v>
      </c>
      <c r="NK250">
        <v>1</v>
      </c>
      <c r="NL250">
        <v>1</v>
      </c>
      <c r="NM250">
        <v>1</v>
      </c>
      <c r="NN250">
        <v>1</v>
      </c>
      <c r="NO250">
        <v>1</v>
      </c>
      <c r="NP250">
        <v>97.742570000000001</v>
      </c>
      <c r="NQ250">
        <v>1</v>
      </c>
      <c r="NR250">
        <v>1</v>
      </c>
      <c r="NS250">
        <v>1</v>
      </c>
      <c r="NT250">
        <v>1</v>
      </c>
      <c r="NU250">
        <v>1</v>
      </c>
      <c r="NV250">
        <v>1</v>
      </c>
      <c r="NW250">
        <v>1</v>
      </c>
      <c r="NX250">
        <v>1</v>
      </c>
      <c r="NY250">
        <v>1</v>
      </c>
      <c r="NZ250">
        <v>1</v>
      </c>
      <c r="OA250">
        <v>1</v>
      </c>
      <c r="OB250">
        <v>1</v>
      </c>
      <c r="OC250">
        <v>33.700000000000003</v>
      </c>
      <c r="OD250">
        <v>19662.8</v>
      </c>
      <c r="OE250">
        <v>0.1</v>
      </c>
      <c r="OF250">
        <v>112.71599999999999</v>
      </c>
      <c r="OG250">
        <v>29</v>
      </c>
      <c r="OH250">
        <v>64.085999999999999</v>
      </c>
    </row>
    <row r="251" spans="1:398">
      <c r="A251">
        <v>23</v>
      </c>
      <c r="B251" t="s">
        <v>9</v>
      </c>
      <c r="C251" t="s">
        <v>8</v>
      </c>
      <c r="D251">
        <v>2017</v>
      </c>
      <c r="E251">
        <v>17.213000000000001</v>
      </c>
      <c r="F251">
        <v>1.1186</v>
      </c>
      <c r="G251">
        <v>508</v>
      </c>
      <c r="H251">
        <v>29.1</v>
      </c>
      <c r="I251">
        <v>80.900000000000006</v>
      </c>
      <c r="J251">
        <v>2</v>
      </c>
      <c r="K251">
        <v>34223.5</v>
      </c>
      <c r="L251">
        <v>0.9</v>
      </c>
      <c r="M251">
        <v>1.5</v>
      </c>
      <c r="N251">
        <v>93140</v>
      </c>
      <c r="O251">
        <v>1</v>
      </c>
      <c r="P251">
        <v>0.76</v>
      </c>
      <c r="Q251">
        <v>5542.26</v>
      </c>
      <c r="R251">
        <v>31.2</v>
      </c>
      <c r="S251">
        <v>0.28947800000000001</v>
      </c>
      <c r="T251">
        <v>-0.12991150000000001</v>
      </c>
      <c r="U251">
        <v>-0.58296829999999999</v>
      </c>
      <c r="V251">
        <v>1.5389399999999999E-2</v>
      </c>
      <c r="W251">
        <v>-0.35215439999999998</v>
      </c>
      <c r="X251">
        <v>-0.29818939999999999</v>
      </c>
      <c r="Y251">
        <v>-1.0013300000000001</v>
      </c>
      <c r="Z251">
        <v>3.8427229999999999</v>
      </c>
      <c r="AA251">
        <v>0.6396153</v>
      </c>
      <c r="AB251">
        <v>-0.32115470000000002</v>
      </c>
      <c r="AC251">
        <v>-0.22490470000000001</v>
      </c>
      <c r="AD251">
        <v>-0.84445579999999998</v>
      </c>
      <c r="AE251">
        <v>-0.70802299999999996</v>
      </c>
      <c r="AF251">
        <v>-0.36789549999999999</v>
      </c>
      <c r="AG251">
        <v>-0.58174320000000002</v>
      </c>
      <c r="AH251">
        <v>8.4271100000000002E-2</v>
      </c>
      <c r="AI251">
        <v>2.8456649999999999</v>
      </c>
      <c r="AJ251">
        <v>0.11207789999999999</v>
      </c>
      <c r="AK251">
        <v>6.2304820000000003</v>
      </c>
      <c r="AL251">
        <v>4.3932140000000004</v>
      </c>
      <c r="AM251">
        <v>0.69314719999999996</v>
      </c>
      <c r="AN251">
        <v>10.440670000000001</v>
      </c>
      <c r="AO251">
        <v>11.44186</v>
      </c>
      <c r="AP251">
        <v>-0.27443689999999998</v>
      </c>
      <c r="AQ251">
        <v>8.6201570000000007</v>
      </c>
      <c r="AR251">
        <v>4.7224399999999997</v>
      </c>
      <c r="AS251">
        <v>3.1945800000000002</v>
      </c>
      <c r="AT251">
        <v>9.9215300000000006</v>
      </c>
      <c r="AU251">
        <v>64.652000000000001</v>
      </c>
      <c r="AV251">
        <v>84.8078</v>
      </c>
      <c r="AW251">
        <v>4.8373200000000001</v>
      </c>
      <c r="AX251" s="17">
        <v>11000000000</v>
      </c>
      <c r="AY251">
        <v>3.5438499999999999</v>
      </c>
      <c r="AZ251">
        <v>0.71</v>
      </c>
      <c r="BA251">
        <v>0</v>
      </c>
      <c r="BB251">
        <v>0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-2.3025899999999999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3.2274999999999999E-3</v>
      </c>
      <c r="CG251">
        <v>0.45929540000000002</v>
      </c>
      <c r="CH251">
        <v>0.32572499999999999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-0.54417590000000005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0.21095230000000001</v>
      </c>
      <c r="DI251">
        <v>0.29612739999999999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0.3260998</v>
      </c>
      <c r="DW251">
        <v>-0.38636480000000001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13.9468</v>
      </c>
      <c r="EW251">
        <v>7.1435399999999996E-2</v>
      </c>
      <c r="EX251">
        <v>7.1534200000000006E-2</v>
      </c>
      <c r="EY251">
        <v>7.1437600000000004E-2</v>
      </c>
      <c r="EZ251">
        <v>7.1467900000000001E-2</v>
      </c>
      <c r="FA251">
        <v>7.1439199999999994E-2</v>
      </c>
      <c r="FB251">
        <v>7.1659500000000001E-2</v>
      </c>
      <c r="FC251">
        <v>7.0508100000000004E-2</v>
      </c>
      <c r="FD251">
        <v>7.1352100000000002E-2</v>
      </c>
      <c r="FE251">
        <v>7.1478799999999995E-2</v>
      </c>
      <c r="FF251">
        <v>7.1514400000000006E-2</v>
      </c>
      <c r="FG251">
        <v>7.1616600000000002E-2</v>
      </c>
      <c r="FH251">
        <v>7.1532600000000002E-2</v>
      </c>
      <c r="FI251">
        <v>7.1535699999999994E-2</v>
      </c>
      <c r="FJ251">
        <v>7.1487800000000004E-2</v>
      </c>
      <c r="FK251">
        <v>0.28883249999999999</v>
      </c>
      <c r="FL251">
        <v>8.3424200000000004E-2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-0.12991150000000001</v>
      </c>
      <c r="FZ251">
        <v>-0.58296829999999999</v>
      </c>
      <c r="GA251">
        <v>1.5389399999999999E-2</v>
      </c>
      <c r="GB251">
        <v>-0.29818939999999999</v>
      </c>
      <c r="GC251">
        <v>3.8427229999999999</v>
      </c>
      <c r="GD251">
        <v>-0.22490470000000001</v>
      </c>
      <c r="GE251">
        <v>-0.58174320000000002</v>
      </c>
      <c r="GF251">
        <v>-0.84445579999999998</v>
      </c>
      <c r="GG251">
        <v>-0.70802299999999996</v>
      </c>
      <c r="GH251">
        <v>0.23963519999999999</v>
      </c>
      <c r="GI251">
        <v>5.7424999999999997E-2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0.20507110000000001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0.17014099999999999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IZ251">
        <v>1</v>
      </c>
      <c r="JA251">
        <v>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1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KZ251">
        <v>1</v>
      </c>
      <c r="LA251">
        <v>1</v>
      </c>
      <c r="LB251">
        <v>1</v>
      </c>
      <c r="LC251">
        <v>1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1</v>
      </c>
      <c r="LO251">
        <v>1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1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1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1</v>
      </c>
      <c r="MY251">
        <v>1</v>
      </c>
      <c r="MZ251">
        <v>1</v>
      </c>
      <c r="NA251">
        <v>1</v>
      </c>
      <c r="NB251">
        <v>1</v>
      </c>
      <c r="NC251">
        <v>1</v>
      </c>
      <c r="ND251">
        <v>1</v>
      </c>
      <c r="NE251">
        <v>1</v>
      </c>
      <c r="NF251">
        <v>1</v>
      </c>
      <c r="NG251">
        <v>1</v>
      </c>
      <c r="NH251">
        <v>1</v>
      </c>
      <c r="NI251">
        <v>1</v>
      </c>
      <c r="NJ251">
        <v>1</v>
      </c>
      <c r="NK251">
        <v>1</v>
      </c>
      <c r="NL251">
        <v>1</v>
      </c>
      <c r="NM251">
        <v>1</v>
      </c>
      <c r="NN251">
        <v>1</v>
      </c>
      <c r="NO251">
        <v>1</v>
      </c>
      <c r="NP251">
        <v>98.43683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1</v>
      </c>
      <c r="NW251">
        <v>1</v>
      </c>
      <c r="NX251">
        <v>1</v>
      </c>
      <c r="NY251">
        <v>1</v>
      </c>
      <c r="NZ251">
        <v>1</v>
      </c>
      <c r="OA251">
        <v>1</v>
      </c>
      <c r="OB251">
        <v>1</v>
      </c>
      <c r="OC251">
        <v>34.6</v>
      </c>
      <c r="OD251">
        <v>20364.2</v>
      </c>
      <c r="OE251">
        <v>0.1</v>
      </c>
      <c r="OF251">
        <v>112.44199999999999</v>
      </c>
      <c r="OG251">
        <v>24.4</v>
      </c>
      <c r="OH251">
        <v>64.652000000000001</v>
      </c>
    </row>
    <row r="252" spans="1:398">
      <c r="A252">
        <v>23</v>
      </c>
      <c r="B252" t="s">
        <v>9</v>
      </c>
      <c r="C252" t="s">
        <v>8</v>
      </c>
      <c r="D252">
        <v>2018</v>
      </c>
      <c r="E252">
        <v>17.062999999999999</v>
      </c>
      <c r="F252">
        <v>1.1556</v>
      </c>
      <c r="G252">
        <v>533</v>
      </c>
      <c r="H252">
        <v>29.1</v>
      </c>
      <c r="I252">
        <v>73</v>
      </c>
      <c r="J252">
        <v>2.2000000000000002</v>
      </c>
      <c r="K252">
        <v>33186.1</v>
      </c>
      <c r="L252">
        <v>1</v>
      </c>
      <c r="M252">
        <v>1.6</v>
      </c>
      <c r="N252">
        <v>98264</v>
      </c>
      <c r="O252">
        <v>2</v>
      </c>
      <c r="P252">
        <v>0.78</v>
      </c>
      <c r="Q252">
        <v>4808.88</v>
      </c>
      <c r="R252">
        <v>31.4</v>
      </c>
      <c r="S252">
        <v>0.28767500000000001</v>
      </c>
      <c r="T252">
        <v>-0.14813560000000001</v>
      </c>
      <c r="U252">
        <v>-0.54745759999999999</v>
      </c>
      <c r="V252">
        <v>0.2052011</v>
      </c>
      <c r="W252">
        <v>-0.35215439999999998</v>
      </c>
      <c r="X252">
        <v>-1.3954960000000001</v>
      </c>
      <c r="Y252">
        <v>-0.96930430000000001</v>
      </c>
      <c r="Z252">
        <v>3.7073520000000002</v>
      </c>
      <c r="AA252">
        <v>0.91774979999999995</v>
      </c>
      <c r="AB252">
        <v>-0.18922800000000001</v>
      </c>
      <c r="AC252">
        <v>-0.19769639999999999</v>
      </c>
      <c r="AD252">
        <v>-0.74644759999999999</v>
      </c>
      <c r="AE252">
        <v>-0.9496407</v>
      </c>
      <c r="AF252">
        <v>-0.35735990000000001</v>
      </c>
      <c r="AG252">
        <v>-0.52965989999999996</v>
      </c>
      <c r="AH252">
        <v>0.29173870000000002</v>
      </c>
      <c r="AI252">
        <v>2.8369119999999999</v>
      </c>
      <c r="AJ252">
        <v>0.14461959999999999</v>
      </c>
      <c r="AK252">
        <v>6.2785219999999997</v>
      </c>
      <c r="AL252">
        <v>4.2904600000000004</v>
      </c>
      <c r="AM252">
        <v>0.78845739999999997</v>
      </c>
      <c r="AN252">
        <v>10.409890000000001</v>
      </c>
      <c r="AO252">
        <v>11.49541</v>
      </c>
      <c r="AP252">
        <v>-0.2484614</v>
      </c>
      <c r="AQ252">
        <v>8.4782200000000003</v>
      </c>
      <c r="AR252">
        <v>4.7208399999999999</v>
      </c>
      <c r="AS252">
        <v>3.31419</v>
      </c>
      <c r="AT252">
        <v>9.9521700000000006</v>
      </c>
      <c r="AU252">
        <v>65.210999999999999</v>
      </c>
      <c r="AV252">
        <v>86.735699999999994</v>
      </c>
      <c r="AW252">
        <v>3.2409400000000002</v>
      </c>
      <c r="AX252" s="17">
        <v>7800000000</v>
      </c>
      <c r="AY252">
        <v>3.54962</v>
      </c>
      <c r="AZ252">
        <v>0.69</v>
      </c>
      <c r="BA252">
        <v>0.69314719999999996</v>
      </c>
      <c r="BB252">
        <v>0.69314717999999997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-1.66073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3.2171000000000001E-3</v>
      </c>
      <c r="CG252">
        <v>0.45893220000000001</v>
      </c>
      <c r="CH252">
        <v>0.32591999999999999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-0.20377729999999999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0.21061879999999999</v>
      </c>
      <c r="DI252">
        <v>4.1525199999999998E-2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0.31666319999999998</v>
      </c>
      <c r="DW252">
        <v>-0.14060629999999999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13.947100000000001</v>
      </c>
      <c r="EW252">
        <v>7.1436600000000003E-2</v>
      </c>
      <c r="EX252">
        <v>7.1526699999999999E-2</v>
      </c>
      <c r="EY252">
        <v>7.1416499999999994E-2</v>
      </c>
      <c r="EZ252">
        <v>7.1467000000000003E-2</v>
      </c>
      <c r="FA252">
        <v>7.1496799999999999E-2</v>
      </c>
      <c r="FB252">
        <v>7.1649099999999993E-2</v>
      </c>
      <c r="FC252">
        <v>7.0554000000000006E-2</v>
      </c>
      <c r="FD252">
        <v>7.1317699999999998E-2</v>
      </c>
      <c r="FE252">
        <v>7.1459700000000001E-2</v>
      </c>
      <c r="FF252">
        <v>7.1504700000000004E-2</v>
      </c>
      <c r="FG252">
        <v>7.1597499999999994E-2</v>
      </c>
      <c r="FH252">
        <v>7.1518700000000004E-2</v>
      </c>
      <c r="FI252">
        <v>7.15697E-2</v>
      </c>
      <c r="FJ252">
        <v>7.1485199999999999E-2</v>
      </c>
      <c r="FK252">
        <v>0.2870721</v>
      </c>
      <c r="FL252">
        <v>8.2410399999999995E-2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1</v>
      </c>
      <c r="FX252">
        <v>1</v>
      </c>
      <c r="FY252">
        <v>-0.14813560000000001</v>
      </c>
      <c r="FZ252">
        <v>-0.54745759999999999</v>
      </c>
      <c r="GA252">
        <v>0.2052011</v>
      </c>
      <c r="GB252">
        <v>-1.3954960000000001</v>
      </c>
      <c r="GC252">
        <v>3.7073520000000002</v>
      </c>
      <c r="GD252">
        <v>-0.19769639999999999</v>
      </c>
      <c r="GE252">
        <v>-0.52965989999999996</v>
      </c>
      <c r="GF252">
        <v>-0.74644759999999999</v>
      </c>
      <c r="GG252">
        <v>-0.9496407</v>
      </c>
      <c r="GH252">
        <v>0.54539780000000004</v>
      </c>
      <c r="GI252">
        <v>0.29745870000000002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0.1980798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0.3763244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IZ252">
        <v>1</v>
      </c>
      <c r="JA252">
        <v>1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1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KZ252">
        <v>1</v>
      </c>
      <c r="LA252">
        <v>1</v>
      </c>
      <c r="LB252">
        <v>1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1</v>
      </c>
      <c r="LT252">
        <v>1</v>
      </c>
      <c r="LU252">
        <v>1</v>
      </c>
      <c r="LV252">
        <v>1</v>
      </c>
      <c r="LW252">
        <v>1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G252">
        <v>1</v>
      </c>
      <c r="MH252">
        <v>1</v>
      </c>
      <c r="MI252">
        <v>1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MZ252">
        <v>1</v>
      </c>
      <c r="NA252">
        <v>1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99.045749999999998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1</v>
      </c>
      <c r="NW252">
        <v>1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34.799999999999997</v>
      </c>
      <c r="OD252">
        <v>20997.8</v>
      </c>
      <c r="OE252">
        <v>0.19</v>
      </c>
      <c r="OF252">
        <v>112.262</v>
      </c>
      <c r="OG252">
        <v>27.5</v>
      </c>
      <c r="OH252">
        <v>65.210999999999999</v>
      </c>
    </row>
    <row r="253" spans="1:398">
      <c r="A253">
        <v>23</v>
      </c>
      <c r="B253" t="s">
        <v>9</v>
      </c>
      <c r="C253" t="s">
        <v>8</v>
      </c>
      <c r="D253">
        <v>2019</v>
      </c>
      <c r="E253">
        <v>17.274000000000001</v>
      </c>
      <c r="F253">
        <v>1.1740999999999999</v>
      </c>
      <c r="G253">
        <v>515</v>
      </c>
      <c r="H253">
        <v>28.9</v>
      </c>
      <c r="I253">
        <v>78.5</v>
      </c>
      <c r="J253">
        <v>2.2999999999999998</v>
      </c>
      <c r="K253">
        <v>26752.7</v>
      </c>
      <c r="L253">
        <v>1</v>
      </c>
      <c r="M253">
        <v>1.5</v>
      </c>
      <c r="N253">
        <v>90728</v>
      </c>
      <c r="O253">
        <v>3</v>
      </c>
      <c r="P253">
        <v>0.78</v>
      </c>
      <c r="Q253">
        <v>4075.51</v>
      </c>
      <c r="R253">
        <v>30.7</v>
      </c>
      <c r="S253">
        <v>0.274843</v>
      </c>
      <c r="T253">
        <v>-0.12250030000000001</v>
      </c>
      <c r="U253">
        <v>-0.52970209999999995</v>
      </c>
      <c r="V253">
        <v>6.8536700000000006E-2</v>
      </c>
      <c r="W253">
        <v>-0.36502899999999999</v>
      </c>
      <c r="X253">
        <v>-0.63154829999999995</v>
      </c>
      <c r="Y253">
        <v>-0.95329120000000001</v>
      </c>
      <c r="Z253">
        <v>2.8678499999999998</v>
      </c>
      <c r="AA253">
        <v>0.91774979999999995</v>
      </c>
      <c r="AB253">
        <v>-0.32115470000000002</v>
      </c>
      <c r="AC253">
        <v>-0.23771239999999999</v>
      </c>
      <c r="AD253">
        <v>-0.74644759999999999</v>
      </c>
      <c r="AE253">
        <v>-1.1912579999999999</v>
      </c>
      <c r="AF253">
        <v>-0.39423449999999999</v>
      </c>
      <c r="AG253">
        <v>-0.47757670000000002</v>
      </c>
      <c r="AH253">
        <v>-9.6426700000000004E-2</v>
      </c>
      <c r="AI253">
        <v>2.849202</v>
      </c>
      <c r="AJ253">
        <v>0.1605019</v>
      </c>
      <c r="AK253">
        <v>6.244167</v>
      </c>
      <c r="AL253">
        <v>4.3630990000000001</v>
      </c>
      <c r="AM253">
        <v>0.83290909999999996</v>
      </c>
      <c r="AN253">
        <v>10.19439</v>
      </c>
      <c r="AO253">
        <v>11.415620000000001</v>
      </c>
      <c r="AP253">
        <v>-0.2484614</v>
      </c>
      <c r="AQ253">
        <v>8.3127510000000004</v>
      </c>
      <c r="AR253">
        <v>4.7210799999999997</v>
      </c>
      <c r="AS253">
        <v>3.3393199999999998</v>
      </c>
      <c r="AT253">
        <v>9.9790200000000002</v>
      </c>
      <c r="AU253">
        <v>65.763999999999996</v>
      </c>
      <c r="AV253">
        <v>86.771000000000001</v>
      </c>
      <c r="AW253">
        <v>4.2979399999999996</v>
      </c>
      <c r="AX253" s="17">
        <v>10000000000</v>
      </c>
      <c r="AY253">
        <v>3.5695299999999999</v>
      </c>
      <c r="AZ253">
        <v>0.66</v>
      </c>
      <c r="BA253">
        <v>1.0986119999999999</v>
      </c>
      <c r="BB253">
        <v>1.0986123000000001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-1.23787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3.1811999999999999E-3</v>
      </c>
      <c r="CG253">
        <v>0.45471820000000002</v>
      </c>
      <c r="CH253">
        <v>0.28633500000000001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-0.28952699999999998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0.2067687</v>
      </c>
      <c r="DI253">
        <v>8.3825899999999995E-2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0.30011399999999999</v>
      </c>
      <c r="DW253">
        <v>-0.1910878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13.950049999999999</v>
      </c>
      <c r="EW253">
        <v>7.1419700000000003E-2</v>
      </c>
      <c r="EX253">
        <v>7.1508799999999997E-2</v>
      </c>
      <c r="EY253">
        <v>7.1416900000000005E-2</v>
      </c>
      <c r="EZ253">
        <v>7.1454000000000004E-2</v>
      </c>
      <c r="FA253">
        <v>7.1441199999999996E-2</v>
      </c>
      <c r="FB253">
        <v>7.1629700000000004E-2</v>
      </c>
      <c r="FC253">
        <v>7.0721599999999996E-2</v>
      </c>
      <c r="FD253">
        <v>7.1304400000000004E-2</v>
      </c>
      <c r="FE253">
        <v>7.1463299999999993E-2</v>
      </c>
      <c r="FF253">
        <v>7.1502599999999999E-2</v>
      </c>
      <c r="FG253">
        <v>7.1565400000000001E-2</v>
      </c>
      <c r="FH253">
        <v>7.1503999999999998E-2</v>
      </c>
      <c r="FI253">
        <v>7.1592299999999998E-2</v>
      </c>
      <c r="FJ253">
        <v>7.1476200000000004E-2</v>
      </c>
      <c r="FK253">
        <v>0.27443499999999998</v>
      </c>
      <c r="FL253">
        <v>7.5314599999999995E-2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-0.12250030000000001</v>
      </c>
      <c r="FZ253">
        <v>-0.52970209999999995</v>
      </c>
      <c r="GA253">
        <v>6.8536700000000006E-2</v>
      </c>
      <c r="GB253">
        <v>-0.63154829999999995</v>
      </c>
      <c r="GC253">
        <v>2.8678499999999998</v>
      </c>
      <c r="GD253">
        <v>-0.23771239999999999</v>
      </c>
      <c r="GE253">
        <v>-0.47757670000000002</v>
      </c>
      <c r="GF253">
        <v>-0.74644759999999999</v>
      </c>
      <c r="GG253">
        <v>-1.1912579999999999</v>
      </c>
      <c r="GH253">
        <v>-1.73951E-2</v>
      </c>
      <c r="GI253">
        <v>3.0259999999999998E-4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0.18112710000000001</v>
      </c>
      <c r="GW253">
        <v>1</v>
      </c>
      <c r="GX253">
        <v>1</v>
      </c>
      <c r="GY253">
        <v>1</v>
      </c>
      <c r="GZ253">
        <v>1</v>
      </c>
      <c r="HA253">
        <v>1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-1.1480799999999999E-2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IZ253">
        <v>1</v>
      </c>
      <c r="JA253">
        <v>1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1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KZ253">
        <v>1</v>
      </c>
      <c r="LA253">
        <v>1</v>
      </c>
      <c r="LB253">
        <v>1</v>
      </c>
      <c r="LC253">
        <v>1</v>
      </c>
      <c r="LD253">
        <v>1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1</v>
      </c>
      <c r="LT253">
        <v>1</v>
      </c>
      <c r="LU253">
        <v>1</v>
      </c>
      <c r="LV253">
        <v>1</v>
      </c>
      <c r="LW253">
        <v>1</v>
      </c>
      <c r="LX253">
        <v>1</v>
      </c>
      <c r="LY253">
        <v>1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MZ253">
        <v>1</v>
      </c>
      <c r="NA253">
        <v>1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1</v>
      </c>
      <c r="NL253">
        <v>1</v>
      </c>
      <c r="NM253">
        <v>1</v>
      </c>
      <c r="NN253">
        <v>1</v>
      </c>
      <c r="NO253">
        <v>1</v>
      </c>
      <c r="NP253">
        <v>99.580879999999993</v>
      </c>
      <c r="NQ253">
        <v>1</v>
      </c>
      <c r="NR253">
        <v>1</v>
      </c>
      <c r="NS253">
        <v>1</v>
      </c>
      <c r="NT253">
        <v>1</v>
      </c>
      <c r="NU253">
        <v>1</v>
      </c>
      <c r="NV253">
        <v>1</v>
      </c>
      <c r="NW253">
        <v>1</v>
      </c>
      <c r="NX253">
        <v>1</v>
      </c>
      <c r="NY253">
        <v>1</v>
      </c>
      <c r="NZ253">
        <v>1</v>
      </c>
      <c r="OA253">
        <v>1</v>
      </c>
      <c r="OB253">
        <v>1</v>
      </c>
      <c r="OC253">
        <v>35.5</v>
      </c>
      <c r="OD253">
        <v>21569.200000000001</v>
      </c>
      <c r="OE253">
        <v>0.28999999999999998</v>
      </c>
      <c r="OF253">
        <v>112.289</v>
      </c>
      <c r="OG253">
        <v>28.2</v>
      </c>
      <c r="OH253">
        <v>65.763999999999996</v>
      </c>
    </row>
    <row r="254" spans="1:398">
      <c r="A254">
        <v>23</v>
      </c>
      <c r="B254" t="s">
        <v>9</v>
      </c>
      <c r="C254" t="s">
        <v>8</v>
      </c>
      <c r="D254">
        <v>2020</v>
      </c>
      <c r="E254">
        <v>15.542</v>
      </c>
      <c r="F254">
        <v>1.1983999999999999</v>
      </c>
      <c r="G254">
        <v>473</v>
      </c>
      <c r="H254">
        <v>26.8</v>
      </c>
      <c r="I254">
        <v>62.9</v>
      </c>
      <c r="J254">
        <v>2.5</v>
      </c>
      <c r="K254">
        <v>12289.4</v>
      </c>
      <c r="L254">
        <v>0.9</v>
      </c>
      <c r="M254">
        <v>1.5</v>
      </c>
      <c r="N254">
        <v>85587</v>
      </c>
      <c r="O254">
        <v>5.42</v>
      </c>
      <c r="P254">
        <v>0.79</v>
      </c>
      <c r="Q254">
        <v>3342.13</v>
      </c>
      <c r="R254">
        <v>30.4</v>
      </c>
      <c r="S254">
        <v>0.22005</v>
      </c>
      <c r="T254">
        <v>-0.33292860000000002</v>
      </c>
      <c r="U254">
        <v>-0.50638030000000001</v>
      </c>
      <c r="V254">
        <v>-0.25034679999999998</v>
      </c>
      <c r="W254">
        <v>-0.50021210000000005</v>
      </c>
      <c r="X254">
        <v>-2.7983799999999999</v>
      </c>
      <c r="Y254">
        <v>-0.92126509999999995</v>
      </c>
      <c r="Z254">
        <v>0.98051759999999999</v>
      </c>
      <c r="AA254">
        <v>0.6396153</v>
      </c>
      <c r="AB254">
        <v>-0.32115470000000002</v>
      </c>
      <c r="AC254">
        <v>-0.265011</v>
      </c>
      <c r="AD254">
        <v>-0.69744309999999998</v>
      </c>
      <c r="AE254">
        <v>-1.432876</v>
      </c>
      <c r="AF254">
        <v>-0.41003800000000001</v>
      </c>
      <c r="AG254">
        <v>-0.3515353</v>
      </c>
      <c r="AH254">
        <v>-0.58036699999999997</v>
      </c>
      <c r="AI254">
        <v>2.7435459999999998</v>
      </c>
      <c r="AJ254">
        <v>0.18098739999999999</v>
      </c>
      <c r="AK254">
        <v>6.1590949999999998</v>
      </c>
      <c r="AL254">
        <v>4.1415459999999999</v>
      </c>
      <c r="AM254">
        <v>0.91629079999999996</v>
      </c>
      <c r="AN254">
        <v>9.4164919999999999</v>
      </c>
      <c r="AO254">
        <v>11.357290000000001</v>
      </c>
      <c r="AP254">
        <v>-0.2357223</v>
      </c>
      <c r="AQ254">
        <v>8.1143649999999994</v>
      </c>
      <c r="AR254">
        <v>4.7221299999999999</v>
      </c>
      <c r="AS254">
        <v>3.4436200000000001</v>
      </c>
      <c r="AT254">
        <v>9.89236</v>
      </c>
      <c r="AU254">
        <v>66.31</v>
      </c>
      <c r="AV254">
        <v>76.508600000000001</v>
      </c>
      <c r="AW254">
        <v>1.73847</v>
      </c>
      <c r="AX254" s="17">
        <v>4000000000</v>
      </c>
      <c r="AY254">
        <v>3.58074</v>
      </c>
      <c r="AZ254">
        <v>0.65</v>
      </c>
      <c r="BA254">
        <v>1.690096</v>
      </c>
      <c r="BB254">
        <v>1.6900957999999999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-0.63487800000000005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2.9034E-3</v>
      </c>
      <c r="CG254">
        <v>0.41303780000000001</v>
      </c>
      <c r="CH254">
        <v>0.19831299999999999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-0.195549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0.17060030000000001</v>
      </c>
      <c r="DI254">
        <v>3.82394E-2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0.26847460000000001</v>
      </c>
      <c r="DW254">
        <v>-0.12710689999999999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13.95936</v>
      </c>
      <c r="EW254">
        <v>7.1394700000000005E-2</v>
      </c>
      <c r="EX254">
        <v>7.1457400000000004E-2</v>
      </c>
      <c r="EY254">
        <v>7.1404899999999993E-2</v>
      </c>
      <c r="EZ254">
        <v>7.1423100000000003E-2</v>
      </c>
      <c r="FA254">
        <v>7.1516099999999999E-2</v>
      </c>
      <c r="FB254">
        <v>7.1573499999999998E-2</v>
      </c>
      <c r="FC254">
        <v>7.1111099999999997E-2</v>
      </c>
      <c r="FD254">
        <v>7.1292700000000001E-2</v>
      </c>
      <c r="FE254">
        <v>7.1416199999999999E-2</v>
      </c>
      <c r="FF254">
        <v>7.1464100000000003E-2</v>
      </c>
      <c r="FG254">
        <v>7.1478700000000006E-2</v>
      </c>
      <c r="FH254">
        <v>7.1450399999999997E-2</v>
      </c>
      <c r="FI254">
        <v>7.1585700000000002E-2</v>
      </c>
      <c r="FJ254">
        <v>7.1431400000000006E-2</v>
      </c>
      <c r="FK254">
        <v>0.21992980000000001</v>
      </c>
      <c r="FL254">
        <v>4.8369099999999998E-2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-0.33292860000000002</v>
      </c>
      <c r="FZ254">
        <v>-0.50638030000000001</v>
      </c>
      <c r="GA254">
        <v>-0.25034679999999998</v>
      </c>
      <c r="GB254">
        <v>-2.7983799999999999</v>
      </c>
      <c r="GC254">
        <v>0.98051759999999999</v>
      </c>
      <c r="GD254">
        <v>-0.265011</v>
      </c>
      <c r="GE254">
        <v>-0.3515353</v>
      </c>
      <c r="GF254">
        <v>-0.69744309999999998</v>
      </c>
      <c r="GG254">
        <v>-1.432876</v>
      </c>
      <c r="GH254">
        <v>-0.72289510000000001</v>
      </c>
      <c r="GI254">
        <v>0.52257739999999997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0.14295440000000001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-0.46988180000000002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1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KZ254">
        <v>1</v>
      </c>
      <c r="LA254">
        <v>1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1</v>
      </c>
      <c r="LV254">
        <v>1</v>
      </c>
      <c r="LW254">
        <v>1</v>
      </c>
      <c r="LX254">
        <v>1</v>
      </c>
      <c r="LY254">
        <v>1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1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  <c r="MX254">
        <v>1</v>
      </c>
      <c r="MY254">
        <v>1</v>
      </c>
      <c r="MZ254">
        <v>1</v>
      </c>
      <c r="NA254">
        <v>1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>
        <v>97.858800000000002</v>
      </c>
      <c r="NQ254">
        <v>1</v>
      </c>
      <c r="NR254">
        <v>1</v>
      </c>
      <c r="NS254">
        <v>1</v>
      </c>
      <c r="NT254">
        <v>1</v>
      </c>
      <c r="NU254">
        <v>1</v>
      </c>
      <c r="NV254">
        <v>1</v>
      </c>
      <c r="NW254">
        <v>1</v>
      </c>
      <c r="NX254">
        <v>1</v>
      </c>
      <c r="NY254">
        <v>1</v>
      </c>
      <c r="NZ254">
        <v>1</v>
      </c>
      <c r="OA254">
        <v>1</v>
      </c>
      <c r="OB254">
        <v>1</v>
      </c>
      <c r="OC254">
        <v>35.9</v>
      </c>
      <c r="OD254">
        <v>19778.7</v>
      </c>
      <c r="OE254">
        <v>0.53</v>
      </c>
      <c r="OF254">
        <v>112.407</v>
      </c>
      <c r="OG254">
        <v>31.3</v>
      </c>
      <c r="OH254">
        <v>66.31</v>
      </c>
    </row>
    <row r="255" spans="1:398">
      <c r="A255">
        <v>24</v>
      </c>
      <c r="B255" t="s">
        <v>7</v>
      </c>
      <c r="C255" t="s">
        <v>6</v>
      </c>
      <c r="D255">
        <v>2010</v>
      </c>
      <c r="E255">
        <v>13.743</v>
      </c>
      <c r="F255">
        <v>0.50819999999999999</v>
      </c>
      <c r="G255">
        <v>316</v>
      </c>
      <c r="H255">
        <v>12.8</v>
      </c>
      <c r="I255">
        <v>84.7</v>
      </c>
      <c r="J255">
        <v>3.5</v>
      </c>
      <c r="K255">
        <v>67.7</v>
      </c>
      <c r="L255">
        <v>0.7</v>
      </c>
      <c r="M255">
        <v>1.4</v>
      </c>
      <c r="N255">
        <v>77071</v>
      </c>
      <c r="O255">
        <v>4.97</v>
      </c>
      <c r="P255">
        <v>0.87</v>
      </c>
      <c r="Q255">
        <v>5669.89</v>
      </c>
      <c r="R255">
        <v>12.1</v>
      </c>
      <c r="S255">
        <v>0.168568</v>
      </c>
      <c r="T255">
        <v>-0.55149700000000001</v>
      </c>
      <c r="U255">
        <v>-1.1688000000000001</v>
      </c>
      <c r="V255">
        <v>-1.442364</v>
      </c>
      <c r="W255">
        <v>-1.4014329999999999</v>
      </c>
      <c r="X255">
        <v>0.229628</v>
      </c>
      <c r="Y255">
        <v>-0.76113410000000004</v>
      </c>
      <c r="Z255">
        <v>-0.61430589999999996</v>
      </c>
      <c r="AA255">
        <v>8.3346600000000007E-2</v>
      </c>
      <c r="AB255">
        <v>-0.45308110000000001</v>
      </c>
      <c r="AC255">
        <v>-0.31023070000000003</v>
      </c>
      <c r="AD255">
        <v>-0.30540980000000001</v>
      </c>
      <c r="AE255">
        <v>-0.66597439999999997</v>
      </c>
      <c r="AF255">
        <v>-1.3740479999999999</v>
      </c>
      <c r="AG255">
        <v>-0.37497269999999999</v>
      </c>
      <c r="AH255">
        <v>-2.365332</v>
      </c>
      <c r="AI255">
        <v>2.62053</v>
      </c>
      <c r="AJ255">
        <v>-0.67688020000000004</v>
      </c>
      <c r="AK255">
        <v>5.7557419999999997</v>
      </c>
      <c r="AL255">
        <v>4.4391160000000003</v>
      </c>
      <c r="AM255">
        <v>1.2527630000000001</v>
      </c>
      <c r="AN255">
        <v>4.2150860000000003</v>
      </c>
      <c r="AO255">
        <v>11.25248</v>
      </c>
      <c r="AP255">
        <v>-0.1392621</v>
      </c>
      <c r="AQ255">
        <v>8.6429240000000007</v>
      </c>
      <c r="AR255">
        <v>4.4774599999999998</v>
      </c>
      <c r="AS255">
        <v>3.18221</v>
      </c>
      <c r="AT255">
        <v>8.9438600000000008</v>
      </c>
      <c r="AU255">
        <v>53.829000000000001</v>
      </c>
      <c r="AV255">
        <v>69.954899999999995</v>
      </c>
      <c r="AW255">
        <v>1.8897200000000001</v>
      </c>
      <c r="AX255" s="17">
        <v>3200000000</v>
      </c>
      <c r="AY255">
        <v>3.5695299999999999</v>
      </c>
      <c r="AZ255">
        <v>0.28999999999999998</v>
      </c>
      <c r="BA255">
        <v>1.6034200000000001</v>
      </c>
      <c r="BB255">
        <v>1.6034198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-1.38629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1.1115000000000001E-3</v>
      </c>
      <c r="CG255">
        <v>0.3472845</v>
      </c>
      <c r="CH255">
        <v>9.9038000000000001E-2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-2.2779289999999999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0.12060650000000001</v>
      </c>
      <c r="DI255">
        <v>5.1889599999999998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0.1007125</v>
      </c>
      <c r="DW255">
        <v>-0.66059939999999995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13.971159999999999</v>
      </c>
      <c r="EW255">
        <v>7.13583E-2</v>
      </c>
      <c r="EX255">
        <v>7.1524500000000005E-2</v>
      </c>
      <c r="EY255">
        <v>7.1490899999999996E-2</v>
      </c>
      <c r="EZ255">
        <v>7.1481000000000003E-2</v>
      </c>
      <c r="FA255">
        <v>7.1290500000000007E-2</v>
      </c>
      <c r="FB255">
        <v>7.1473400000000006E-2</v>
      </c>
      <c r="FC255">
        <v>7.1569999999999995E-2</v>
      </c>
      <c r="FD255">
        <v>7.1305199999999999E-2</v>
      </c>
      <c r="FE255">
        <v>7.1374800000000002E-2</v>
      </c>
      <c r="FF255">
        <v>7.1418800000000005E-2</v>
      </c>
      <c r="FG255">
        <v>7.1425699999999995E-2</v>
      </c>
      <c r="FH255">
        <v>7.1342600000000006E-2</v>
      </c>
      <c r="FI255">
        <v>7.1405800000000005E-2</v>
      </c>
      <c r="FJ255">
        <v>7.1538599999999994E-2</v>
      </c>
      <c r="FK255">
        <v>0.16842789999999999</v>
      </c>
      <c r="FL255">
        <v>2.8368000000000001E-2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-0.55149700000000001</v>
      </c>
      <c r="FZ255">
        <v>-1.1688000000000001</v>
      </c>
      <c r="GA255">
        <v>-1.442364</v>
      </c>
      <c r="GB255">
        <v>0.229628</v>
      </c>
      <c r="GC255">
        <v>-0.61430589999999996</v>
      </c>
      <c r="GD255">
        <v>-0.31023070000000003</v>
      </c>
      <c r="GE255">
        <v>-0.37497269999999999</v>
      </c>
      <c r="GF255">
        <v>-0.30540980000000001</v>
      </c>
      <c r="GG255">
        <v>-0.66597439999999997</v>
      </c>
      <c r="GH255">
        <v>-3.0884580000000001</v>
      </c>
      <c r="GI255">
        <v>9.5385709999999992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4.8844100000000001E-2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-0.89565280000000003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KZ255">
        <v>1</v>
      </c>
      <c r="LA255">
        <v>1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1</v>
      </c>
      <c r="LX255">
        <v>1</v>
      </c>
      <c r="LY255">
        <v>1</v>
      </c>
      <c r="LZ255">
        <v>1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1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MZ255">
        <v>1</v>
      </c>
      <c r="NA255">
        <v>1</v>
      </c>
      <c r="NB255">
        <v>1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79.992630000000005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1</v>
      </c>
      <c r="OA255">
        <v>1</v>
      </c>
      <c r="OB255">
        <v>1</v>
      </c>
      <c r="OC255">
        <v>35.5</v>
      </c>
      <c r="OD255">
        <v>7660.71</v>
      </c>
      <c r="OE255">
        <v>0.25</v>
      </c>
      <c r="OF255">
        <v>88.0107</v>
      </c>
      <c r="OG255">
        <v>24.1</v>
      </c>
      <c r="OH255">
        <v>53.829000000000001</v>
      </c>
    </row>
    <row r="256" spans="1:398">
      <c r="A256">
        <v>24</v>
      </c>
      <c r="B256" t="s">
        <v>7</v>
      </c>
      <c r="C256" t="s">
        <v>6</v>
      </c>
      <c r="D256">
        <v>2011</v>
      </c>
      <c r="E256">
        <v>19.274000000000001</v>
      </c>
      <c r="F256">
        <v>0.38300000000000001</v>
      </c>
      <c r="G256">
        <v>319</v>
      </c>
      <c r="H256">
        <v>11.7</v>
      </c>
      <c r="I256">
        <v>85.1</v>
      </c>
      <c r="J256">
        <v>2.5</v>
      </c>
      <c r="K256">
        <v>137.6</v>
      </c>
      <c r="L256">
        <v>0.6</v>
      </c>
      <c r="M256">
        <v>1.3</v>
      </c>
      <c r="N256">
        <v>81120</v>
      </c>
      <c r="O256">
        <v>5</v>
      </c>
      <c r="P256">
        <v>0.84</v>
      </c>
      <c r="Q256">
        <v>5157.26</v>
      </c>
      <c r="R256">
        <v>9.1999999999999993</v>
      </c>
      <c r="S256">
        <v>0.15875400000000001</v>
      </c>
      <c r="T256">
        <v>0.1204885</v>
      </c>
      <c r="U256">
        <v>-1.2889600000000001</v>
      </c>
      <c r="V256">
        <v>-1.4195869999999999</v>
      </c>
      <c r="W256">
        <v>-1.472243</v>
      </c>
      <c r="X256">
        <v>0.285188</v>
      </c>
      <c r="Y256">
        <v>-0.92126509999999995</v>
      </c>
      <c r="Z256">
        <v>-0.60518459999999996</v>
      </c>
      <c r="AA256">
        <v>-0.19478780000000001</v>
      </c>
      <c r="AB256">
        <v>-0.58500779999999997</v>
      </c>
      <c r="AC256">
        <v>-0.28873070000000001</v>
      </c>
      <c r="AD256">
        <v>-0.45242250000000001</v>
      </c>
      <c r="AE256">
        <v>-0.83486550000000004</v>
      </c>
      <c r="AF256">
        <v>-1.5268139999999999</v>
      </c>
      <c r="AG256">
        <v>-0.37341020000000003</v>
      </c>
      <c r="AH256">
        <v>-2.740748</v>
      </c>
      <c r="AI256">
        <v>2.9587569999999999</v>
      </c>
      <c r="AJ256">
        <v>-0.95972029999999997</v>
      </c>
      <c r="AK256">
        <v>5.7651909999999997</v>
      </c>
      <c r="AL256">
        <v>4.4438269999999997</v>
      </c>
      <c r="AM256">
        <v>0.91629079999999996</v>
      </c>
      <c r="AN256">
        <v>4.9243509999999997</v>
      </c>
      <c r="AO256">
        <v>11.30369</v>
      </c>
      <c r="AP256">
        <v>-0.17435339999999999</v>
      </c>
      <c r="AQ256">
        <v>8.5481610000000003</v>
      </c>
      <c r="AR256">
        <v>4.4720199999999997</v>
      </c>
      <c r="AS256">
        <v>3.0492699999999999</v>
      </c>
      <c r="AT256">
        <v>8.9927499999999991</v>
      </c>
      <c r="AU256">
        <v>53.96</v>
      </c>
      <c r="AV256">
        <v>76.2714</v>
      </c>
      <c r="AW256">
        <v>1.2304299999999999</v>
      </c>
      <c r="AX256" s="17">
        <v>2400000000</v>
      </c>
      <c r="AY256">
        <v>3.6109200000000001</v>
      </c>
      <c r="AZ256">
        <v>0.31</v>
      </c>
      <c r="BA256">
        <v>1.6094379999999999</v>
      </c>
      <c r="BB256">
        <v>1.6094379000000001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-1.38629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9.7000000000000005E-4</v>
      </c>
      <c r="CG256">
        <v>0.340366</v>
      </c>
      <c r="CH256">
        <v>8.9496000000000006E-2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-2.7372809999999999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0.11584899999999999</v>
      </c>
      <c r="DI256">
        <v>7.4927060000000001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0.1055135</v>
      </c>
      <c r="DW256">
        <v>-0.84855709999999995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13.97297</v>
      </c>
      <c r="EW256">
        <v>7.1280200000000002E-2</v>
      </c>
      <c r="EX256">
        <v>7.1543599999999999E-2</v>
      </c>
      <c r="EY256">
        <v>7.14785E-2</v>
      </c>
      <c r="EZ256">
        <v>7.1482100000000007E-2</v>
      </c>
      <c r="FA256">
        <v>7.1279499999999996E-2</v>
      </c>
      <c r="FB256">
        <v>7.1503800000000006E-2</v>
      </c>
      <c r="FC256">
        <v>7.1555300000000002E-2</v>
      </c>
      <c r="FD256">
        <v>7.1334300000000003E-2</v>
      </c>
      <c r="FE256">
        <v>7.1384699999999995E-2</v>
      </c>
      <c r="FF256">
        <v>7.14027E-2</v>
      </c>
      <c r="FG256">
        <v>7.1416199999999999E-2</v>
      </c>
      <c r="FH256">
        <v>7.1351499999999998E-2</v>
      </c>
      <c r="FI256">
        <v>7.1420899999999995E-2</v>
      </c>
      <c r="FJ256">
        <v>7.1566699999999997E-2</v>
      </c>
      <c r="FK256">
        <v>0.1585888</v>
      </c>
      <c r="FL256">
        <v>2.51504E-2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0.1204885</v>
      </c>
      <c r="FZ256">
        <v>-1.2889600000000001</v>
      </c>
      <c r="GA256">
        <v>-1.4195869999999999</v>
      </c>
      <c r="GB256">
        <v>0.285188</v>
      </c>
      <c r="GC256">
        <v>-0.60518459999999996</v>
      </c>
      <c r="GD256">
        <v>-0.28873070000000001</v>
      </c>
      <c r="GE256">
        <v>-0.37341020000000003</v>
      </c>
      <c r="GF256">
        <v>-0.45242250000000001</v>
      </c>
      <c r="GG256">
        <v>-0.83486550000000004</v>
      </c>
      <c r="GH256">
        <v>-3.581073</v>
      </c>
      <c r="GI256">
        <v>12.82408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4.9162499999999998E-2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-1.110133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IZ256">
        <v>1</v>
      </c>
      <c r="JA256">
        <v>1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1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KZ256">
        <v>1</v>
      </c>
      <c r="LA256">
        <v>1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80.869609999999994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37</v>
      </c>
      <c r="OD256">
        <v>8044.57</v>
      </c>
      <c r="OE256">
        <v>0.25</v>
      </c>
      <c r="OF256">
        <v>87.533199999999994</v>
      </c>
      <c r="OG256">
        <v>21.1</v>
      </c>
      <c r="OH256">
        <v>53.96</v>
      </c>
    </row>
    <row r="257" spans="1:398">
      <c r="A257">
        <v>24</v>
      </c>
      <c r="B257" t="s">
        <v>7</v>
      </c>
      <c r="C257" t="s">
        <v>6</v>
      </c>
      <c r="D257">
        <v>2012</v>
      </c>
      <c r="E257">
        <v>17.934000000000001</v>
      </c>
      <c r="F257">
        <v>0.4143</v>
      </c>
      <c r="G257">
        <v>317</v>
      </c>
      <c r="H257">
        <v>14.8</v>
      </c>
      <c r="I257">
        <v>84.3</v>
      </c>
      <c r="J257">
        <v>2.6</v>
      </c>
      <c r="K257">
        <v>674.4</v>
      </c>
      <c r="L257">
        <v>0.5</v>
      </c>
      <c r="M257">
        <v>1.2</v>
      </c>
      <c r="N257">
        <v>84408</v>
      </c>
      <c r="O257">
        <v>4.99</v>
      </c>
      <c r="P257">
        <v>0.82</v>
      </c>
      <c r="Q257">
        <v>5183.47</v>
      </c>
      <c r="R257">
        <v>9.8000000000000007</v>
      </c>
      <c r="S257">
        <v>0.15556</v>
      </c>
      <c r="T257">
        <v>-4.2313999999999997E-2</v>
      </c>
      <c r="U257">
        <v>-1.25892</v>
      </c>
      <c r="V257">
        <v>-1.434771</v>
      </c>
      <c r="W257">
        <v>-1.2726869999999999</v>
      </c>
      <c r="X257">
        <v>0.1740691</v>
      </c>
      <c r="Y257">
        <v>-0.90525199999999995</v>
      </c>
      <c r="Z257">
        <v>-0.53513690000000003</v>
      </c>
      <c r="AA257">
        <v>-0.47292210000000001</v>
      </c>
      <c r="AB257">
        <v>-0.71693439999999997</v>
      </c>
      <c r="AC257">
        <v>-0.2712714</v>
      </c>
      <c r="AD257">
        <v>-0.55043070000000005</v>
      </c>
      <c r="AE257">
        <v>-0.82622879999999999</v>
      </c>
      <c r="AF257">
        <v>-1.495207</v>
      </c>
      <c r="AG257">
        <v>-0.37393110000000002</v>
      </c>
      <c r="AH257">
        <v>-2.6690749999999999</v>
      </c>
      <c r="AI257">
        <v>2.886698</v>
      </c>
      <c r="AJ257">
        <v>-0.88116499999999998</v>
      </c>
      <c r="AK257">
        <v>5.758902</v>
      </c>
      <c r="AL257">
        <v>4.4343820000000003</v>
      </c>
      <c r="AM257">
        <v>0.95551140000000001</v>
      </c>
      <c r="AN257">
        <v>6.5138239999999996</v>
      </c>
      <c r="AO257">
        <v>11.34342</v>
      </c>
      <c r="AP257">
        <v>-0.19845099999999999</v>
      </c>
      <c r="AQ257">
        <v>8.5532299999999992</v>
      </c>
      <c r="AR257">
        <v>4.4682199999999996</v>
      </c>
      <c r="AS257">
        <v>3.0680499999999999</v>
      </c>
      <c r="AT257">
        <v>9.0160599999999995</v>
      </c>
      <c r="AU257">
        <v>53.973999999999997</v>
      </c>
      <c r="AV257">
        <v>76.594300000000004</v>
      </c>
      <c r="AW257">
        <v>1.7014400000000001</v>
      </c>
      <c r="AX257" s="17">
        <v>3000000000</v>
      </c>
      <c r="AY257">
        <v>3.6762999999999999</v>
      </c>
      <c r="AZ257">
        <v>0.3</v>
      </c>
      <c r="BA257">
        <v>1.6074360000000001</v>
      </c>
      <c r="BB257">
        <v>1.6074358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-1.38629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1.3638000000000001E-3</v>
      </c>
      <c r="CG257">
        <v>0.34561449999999999</v>
      </c>
      <c r="CH257">
        <v>9.1592000000000007E-2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-2.4579580000000001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0.1194494</v>
      </c>
      <c r="DI257">
        <v>6.0415559999999999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0.10368429999999999</v>
      </c>
      <c r="DW257">
        <v>-0.73738740000000003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13.97307</v>
      </c>
      <c r="EW257">
        <v>7.1296899999999996E-2</v>
      </c>
      <c r="EX257">
        <v>7.1535600000000005E-2</v>
      </c>
      <c r="EY257">
        <v>7.1480100000000005E-2</v>
      </c>
      <c r="EZ257">
        <v>7.1453100000000005E-2</v>
      </c>
      <c r="FA257">
        <v>7.1285399999999999E-2</v>
      </c>
      <c r="FB257">
        <v>7.1499199999999999E-2</v>
      </c>
      <c r="FC257">
        <v>7.1519799999999994E-2</v>
      </c>
      <c r="FD257">
        <v>7.1373400000000004E-2</v>
      </c>
      <c r="FE257">
        <v>7.1403700000000001E-2</v>
      </c>
      <c r="FF257">
        <v>7.1396899999999999E-2</v>
      </c>
      <c r="FG257">
        <v>7.1416099999999996E-2</v>
      </c>
      <c r="FH257">
        <v>7.1363399999999994E-2</v>
      </c>
      <c r="FI257">
        <v>7.1419399999999994E-2</v>
      </c>
      <c r="FJ257">
        <v>7.1556900000000007E-2</v>
      </c>
      <c r="FK257">
        <v>0.15542880000000001</v>
      </c>
      <c r="FL257">
        <v>2.4158099999999998E-2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-4.2313999999999997E-2</v>
      </c>
      <c r="FZ257">
        <v>-1.25892</v>
      </c>
      <c r="GA257">
        <v>-1.434771</v>
      </c>
      <c r="GB257">
        <v>0.1740691</v>
      </c>
      <c r="GC257">
        <v>-0.53513690000000003</v>
      </c>
      <c r="GD257">
        <v>-0.2712714</v>
      </c>
      <c r="GE257">
        <v>-0.37393110000000002</v>
      </c>
      <c r="GF257">
        <v>-0.55043070000000005</v>
      </c>
      <c r="GG257">
        <v>-0.82622879999999999</v>
      </c>
      <c r="GH257">
        <v>-3.4813239999999999</v>
      </c>
      <c r="GI257">
        <v>12.119619999999999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4.6628599999999999E-2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-1.044397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1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KZ257">
        <v>1</v>
      </c>
      <c r="LA257">
        <v>1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MZ257">
        <v>1</v>
      </c>
      <c r="NA257">
        <v>1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1</v>
      </c>
      <c r="NJ257">
        <v>1</v>
      </c>
      <c r="NK257">
        <v>1</v>
      </c>
      <c r="NL257">
        <v>1</v>
      </c>
      <c r="NM257">
        <v>1</v>
      </c>
      <c r="NN257">
        <v>1</v>
      </c>
      <c r="NO257">
        <v>1</v>
      </c>
      <c r="NP257">
        <v>81.289389999999997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1</v>
      </c>
      <c r="NW257">
        <v>1</v>
      </c>
      <c r="NX257">
        <v>1</v>
      </c>
      <c r="NY257">
        <v>1</v>
      </c>
      <c r="NZ257">
        <v>1</v>
      </c>
      <c r="OA257">
        <v>1</v>
      </c>
      <c r="OB257">
        <v>1</v>
      </c>
      <c r="OC257">
        <v>39.5</v>
      </c>
      <c r="OD257">
        <v>8234.2900000000009</v>
      </c>
      <c r="OE257">
        <v>0.25</v>
      </c>
      <c r="OF257">
        <v>87.201300000000003</v>
      </c>
      <c r="OG257">
        <v>21.5</v>
      </c>
      <c r="OH257">
        <v>53.973999999999997</v>
      </c>
    </row>
    <row r="258" spans="1:398">
      <c r="A258">
        <v>24</v>
      </c>
      <c r="B258" t="s">
        <v>7</v>
      </c>
      <c r="C258" t="s">
        <v>6</v>
      </c>
      <c r="D258">
        <v>2013</v>
      </c>
      <c r="E258">
        <v>17.716999999999999</v>
      </c>
      <c r="F258">
        <v>0.41710000000000003</v>
      </c>
      <c r="G258">
        <v>297</v>
      </c>
      <c r="H258">
        <v>13.2</v>
      </c>
      <c r="I258">
        <v>86.7</v>
      </c>
      <c r="J258">
        <v>2.5</v>
      </c>
      <c r="K258">
        <v>598.29999999999995</v>
      </c>
      <c r="L258">
        <v>0.4</v>
      </c>
      <c r="M258">
        <v>1.1000000000000001</v>
      </c>
      <c r="N258">
        <v>84826</v>
      </c>
      <c r="O258">
        <v>2.33</v>
      </c>
      <c r="P258">
        <v>0.83</v>
      </c>
      <c r="Q258">
        <v>5139.7</v>
      </c>
      <c r="R258">
        <v>9.1999999999999993</v>
      </c>
      <c r="S258">
        <v>0.14682999999999999</v>
      </c>
      <c r="T258">
        <v>-6.8678400000000001E-2</v>
      </c>
      <c r="U258">
        <v>-1.2562329999999999</v>
      </c>
      <c r="V258">
        <v>-1.5866210000000001</v>
      </c>
      <c r="W258">
        <v>-1.375683</v>
      </c>
      <c r="X258">
        <v>0.50742699999999996</v>
      </c>
      <c r="Y258">
        <v>-0.92126509999999995</v>
      </c>
      <c r="Z258">
        <v>-0.54506739999999998</v>
      </c>
      <c r="AA258">
        <v>-0.75105639999999996</v>
      </c>
      <c r="AB258">
        <v>-0.84886099999999998</v>
      </c>
      <c r="AC258">
        <v>-0.26905190000000001</v>
      </c>
      <c r="AD258">
        <v>-0.50142659999999994</v>
      </c>
      <c r="AE258">
        <v>-0.84065020000000001</v>
      </c>
      <c r="AF258">
        <v>-1.5268139999999999</v>
      </c>
      <c r="AG258">
        <v>-0.5124725</v>
      </c>
      <c r="AH258">
        <v>-2.8717109999999999</v>
      </c>
      <c r="AI258">
        <v>2.8745250000000002</v>
      </c>
      <c r="AJ258">
        <v>-0.87442920000000002</v>
      </c>
      <c r="AK258">
        <v>5.6937319999999998</v>
      </c>
      <c r="AL258">
        <v>4.4624540000000001</v>
      </c>
      <c r="AM258">
        <v>0.91629079999999996</v>
      </c>
      <c r="AN258">
        <v>6.3940919999999997</v>
      </c>
      <c r="AO258">
        <v>11.34836</v>
      </c>
      <c r="AP258">
        <v>-0.18632960000000001</v>
      </c>
      <c r="AQ258">
        <v>8.5447500000000005</v>
      </c>
      <c r="AR258">
        <v>4.4644599999999999</v>
      </c>
      <c r="AS258">
        <v>3.1398299999999999</v>
      </c>
      <c r="AT258">
        <v>9.0225600000000004</v>
      </c>
      <c r="AU258">
        <v>53.936999999999998</v>
      </c>
      <c r="AV258">
        <v>81.397599999999997</v>
      </c>
      <c r="AW258">
        <v>2.0310100000000002</v>
      </c>
      <c r="AX258" s="17">
        <v>3900000000</v>
      </c>
      <c r="AY258">
        <v>3.6762999999999999</v>
      </c>
      <c r="AZ258">
        <v>0.3</v>
      </c>
      <c r="BA258">
        <v>0.84586819999999996</v>
      </c>
      <c r="BB258">
        <v>0.84586823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-2.12026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1.1586000000000001E-3</v>
      </c>
      <c r="CG258">
        <v>0.3339181</v>
      </c>
      <c r="CH258">
        <v>8.3085999999999993E-2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-2.7535229999999999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0.1115013</v>
      </c>
      <c r="DI258">
        <v>7.581887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0.1001754</v>
      </c>
      <c r="DW258">
        <v>-0.82605680000000004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13.97508</v>
      </c>
      <c r="EW258">
        <v>7.1290199999999998E-2</v>
      </c>
      <c r="EX258">
        <v>7.1524699999999997E-2</v>
      </c>
      <c r="EY258">
        <v>7.1491499999999999E-2</v>
      </c>
      <c r="EZ258">
        <v>7.1457499999999993E-2</v>
      </c>
      <c r="FA258">
        <v>7.1259799999999998E-2</v>
      </c>
      <c r="FB258">
        <v>7.1493100000000004E-2</v>
      </c>
      <c r="FC258">
        <v>7.1514099999999997E-2</v>
      </c>
      <c r="FD258">
        <v>7.1404700000000002E-2</v>
      </c>
      <c r="FE258">
        <v>7.1413400000000002E-2</v>
      </c>
      <c r="FF258">
        <v>7.1386199999999997E-2</v>
      </c>
      <c r="FG258">
        <v>7.1449499999999999E-2</v>
      </c>
      <c r="FH258">
        <v>7.13477E-2</v>
      </c>
      <c r="FI258">
        <v>7.1411500000000003E-2</v>
      </c>
      <c r="FJ258">
        <v>7.1555999999999995E-2</v>
      </c>
      <c r="FK258">
        <v>0.14667859999999999</v>
      </c>
      <c r="FL258">
        <v>2.1514599999999998E-2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-6.8678400000000001E-2</v>
      </c>
      <c r="FZ258">
        <v>-1.2562329999999999</v>
      </c>
      <c r="GA258">
        <v>-1.5866210000000001</v>
      </c>
      <c r="GB258">
        <v>0.50742699999999996</v>
      </c>
      <c r="GC258">
        <v>-0.54506739999999998</v>
      </c>
      <c r="GD258">
        <v>-0.26905190000000001</v>
      </c>
      <c r="GE258">
        <v>-0.5124725</v>
      </c>
      <c r="GF258">
        <v>-0.50142659999999994</v>
      </c>
      <c r="GG258">
        <v>-0.84065020000000001</v>
      </c>
      <c r="GH258">
        <v>-3.7730860000000002</v>
      </c>
      <c r="GI258">
        <v>14.236179999999999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4.4003599999999997E-2</v>
      </c>
      <c r="GW258">
        <v>1</v>
      </c>
      <c r="GX258">
        <v>1</v>
      </c>
      <c r="GY258">
        <v>1</v>
      </c>
      <c r="GZ258">
        <v>1</v>
      </c>
      <c r="HA258">
        <v>1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-1.131926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1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1</v>
      </c>
      <c r="KZ258">
        <v>1</v>
      </c>
      <c r="LA258">
        <v>1</v>
      </c>
      <c r="LB258">
        <v>1</v>
      </c>
      <c r="LC258">
        <v>1</v>
      </c>
      <c r="LD258">
        <v>1</v>
      </c>
      <c r="LE258">
        <v>1</v>
      </c>
      <c r="LF258">
        <v>1</v>
      </c>
      <c r="LG258">
        <v>1</v>
      </c>
      <c r="LH258">
        <v>1</v>
      </c>
      <c r="LI258">
        <v>1</v>
      </c>
      <c r="LJ258">
        <v>1</v>
      </c>
      <c r="LK258">
        <v>1</v>
      </c>
      <c r="LL258">
        <v>1</v>
      </c>
      <c r="LM258">
        <v>1</v>
      </c>
      <c r="LN258">
        <v>1</v>
      </c>
      <c r="LO258">
        <v>1</v>
      </c>
      <c r="LP258">
        <v>1</v>
      </c>
      <c r="LQ258">
        <v>1</v>
      </c>
      <c r="LR258">
        <v>1</v>
      </c>
      <c r="LS258">
        <v>1</v>
      </c>
      <c r="LT258">
        <v>1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1</v>
      </c>
      <c r="MB258">
        <v>1</v>
      </c>
      <c r="MC258">
        <v>1</v>
      </c>
      <c r="MD258">
        <v>1</v>
      </c>
      <c r="ME258">
        <v>1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MZ258">
        <v>1</v>
      </c>
      <c r="NA258">
        <v>1</v>
      </c>
      <c r="NB258">
        <v>1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1</v>
      </c>
      <c r="NJ258">
        <v>1</v>
      </c>
      <c r="NK258">
        <v>1</v>
      </c>
      <c r="NL258">
        <v>1</v>
      </c>
      <c r="NM258">
        <v>1</v>
      </c>
      <c r="NN258">
        <v>1</v>
      </c>
      <c r="NO258">
        <v>1</v>
      </c>
      <c r="NP258">
        <v>81.406570000000002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39.5</v>
      </c>
      <c r="OD258">
        <v>8287.9599999999991</v>
      </c>
      <c r="OE258">
        <v>0.12</v>
      </c>
      <c r="OF258">
        <v>86.874300000000005</v>
      </c>
      <c r="OG258">
        <v>23.1</v>
      </c>
      <c r="OH258">
        <v>53.936999999999998</v>
      </c>
    </row>
    <row r="259" spans="1:398">
      <c r="A259">
        <v>24</v>
      </c>
      <c r="B259" t="s">
        <v>7</v>
      </c>
      <c r="C259" t="s">
        <v>6</v>
      </c>
      <c r="D259">
        <v>2014</v>
      </c>
      <c r="E259">
        <v>18.603999999999999</v>
      </c>
      <c r="F259">
        <v>0.41770000000000002</v>
      </c>
      <c r="G259">
        <v>272</v>
      </c>
      <c r="H259">
        <v>13.1</v>
      </c>
      <c r="I259">
        <v>87.3</v>
      </c>
      <c r="J259">
        <v>2.1</v>
      </c>
      <c r="K259">
        <v>186.1</v>
      </c>
      <c r="L259">
        <v>0.9</v>
      </c>
      <c r="M259">
        <v>1</v>
      </c>
      <c r="N259">
        <v>82744</v>
      </c>
      <c r="O259">
        <v>5</v>
      </c>
      <c r="P259">
        <v>0.86</v>
      </c>
      <c r="Q259">
        <v>5050.1499999999996</v>
      </c>
      <c r="R259">
        <v>9.4</v>
      </c>
      <c r="S259">
        <v>0.164017</v>
      </c>
      <c r="T259">
        <v>3.9087299999999998E-2</v>
      </c>
      <c r="U259">
        <v>-1.255657</v>
      </c>
      <c r="V259">
        <v>-1.776432</v>
      </c>
      <c r="W259">
        <v>-1.3821209999999999</v>
      </c>
      <c r="X259">
        <v>0.5907675</v>
      </c>
      <c r="Y259">
        <v>-0.98531749999999996</v>
      </c>
      <c r="Z259">
        <v>-0.59885580000000005</v>
      </c>
      <c r="AA259">
        <v>0.6396153</v>
      </c>
      <c r="AB259">
        <v>-0.98078770000000004</v>
      </c>
      <c r="AC259">
        <v>-0.2801073</v>
      </c>
      <c r="AD259">
        <v>-0.35441400000000001</v>
      </c>
      <c r="AE259">
        <v>-0.87015399999999998</v>
      </c>
      <c r="AF259">
        <v>-1.5162789999999999</v>
      </c>
      <c r="AG259">
        <v>-0.37341020000000003</v>
      </c>
      <c r="AH259">
        <v>-2.550964</v>
      </c>
      <c r="AI259">
        <v>2.9233769999999999</v>
      </c>
      <c r="AJ259">
        <v>-0.87299179999999998</v>
      </c>
      <c r="AK259">
        <v>5.6058019999999997</v>
      </c>
      <c r="AL259">
        <v>4.4693500000000004</v>
      </c>
      <c r="AM259">
        <v>0.74193730000000002</v>
      </c>
      <c r="AN259">
        <v>5.2262839999999997</v>
      </c>
      <c r="AO259">
        <v>11.323510000000001</v>
      </c>
      <c r="AP259">
        <v>-0.15082290000000001</v>
      </c>
      <c r="AQ259">
        <v>8.5271729999999994</v>
      </c>
      <c r="AR259">
        <v>4.4604999999999997</v>
      </c>
      <c r="AS259">
        <v>3.19048</v>
      </c>
      <c r="AT259">
        <v>9.0666399999999996</v>
      </c>
      <c r="AU259">
        <v>53.9</v>
      </c>
      <c r="AV259">
        <v>83.375100000000003</v>
      </c>
      <c r="AW259">
        <v>1.93729</v>
      </c>
      <c r="AX259" s="17">
        <v>3900000000</v>
      </c>
      <c r="AY259">
        <v>3.69387</v>
      </c>
      <c r="AZ259">
        <v>0.26</v>
      </c>
      <c r="BA259">
        <v>1.6094379999999999</v>
      </c>
      <c r="BB259">
        <v>1.6094379000000001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-1.38629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1.1444999999999999E-3</v>
      </c>
      <c r="CG259">
        <v>0.34460170000000001</v>
      </c>
      <c r="CH259">
        <v>9.3422000000000005E-2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-2.4476100000000001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0.1187503</v>
      </c>
      <c r="DI259">
        <v>5.990793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8.9596400000000007E-2</v>
      </c>
      <c r="DW259">
        <v>-0.63637849999999996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13.97282</v>
      </c>
      <c r="EW259">
        <v>7.1291800000000002E-2</v>
      </c>
      <c r="EX259">
        <v>7.1536199999999994E-2</v>
      </c>
      <c r="EY259">
        <v>7.1532200000000004E-2</v>
      </c>
      <c r="EZ259">
        <v>7.1470099999999995E-2</v>
      </c>
      <c r="FA259">
        <v>7.1268300000000007E-2</v>
      </c>
      <c r="FB259">
        <v>7.1521799999999996E-2</v>
      </c>
      <c r="FC259">
        <v>7.1552599999999994E-2</v>
      </c>
      <c r="FD259">
        <v>7.1228700000000006E-2</v>
      </c>
      <c r="FE259">
        <v>7.1445400000000006E-2</v>
      </c>
      <c r="FF259">
        <v>7.1401599999999996E-2</v>
      </c>
      <c r="FG259">
        <v>7.1417599999999998E-2</v>
      </c>
      <c r="FH259">
        <v>7.1342100000000006E-2</v>
      </c>
      <c r="FI259">
        <v>7.1427500000000005E-2</v>
      </c>
      <c r="FJ259">
        <v>7.1564100000000005E-2</v>
      </c>
      <c r="FK259">
        <v>0.1637921</v>
      </c>
      <c r="FL259">
        <v>2.6827899999999998E-2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3.9087299999999998E-2</v>
      </c>
      <c r="FZ259">
        <v>-1.255657</v>
      </c>
      <c r="GA259">
        <v>-1.776432</v>
      </c>
      <c r="GB259">
        <v>0.5907675</v>
      </c>
      <c r="GC259">
        <v>-0.59885580000000005</v>
      </c>
      <c r="GD259">
        <v>-0.2801073</v>
      </c>
      <c r="GE259">
        <v>-0.37341020000000003</v>
      </c>
      <c r="GF259">
        <v>-0.35441400000000001</v>
      </c>
      <c r="GG259">
        <v>-0.87015399999999998</v>
      </c>
      <c r="GH259">
        <v>-3.3331840000000001</v>
      </c>
      <c r="GI259">
        <v>11.110110000000001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4.2585999999999999E-2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-0.8666277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82.203959999999995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40.200000000000003</v>
      </c>
      <c r="OD259">
        <v>8661.4699999999993</v>
      </c>
      <c r="OE259">
        <v>0.25</v>
      </c>
      <c r="OF259">
        <v>86.530699999999996</v>
      </c>
      <c r="OG259">
        <v>24.3</v>
      </c>
      <c r="OH259">
        <v>53.9</v>
      </c>
    </row>
    <row r="260" spans="1:398">
      <c r="A260">
        <v>24</v>
      </c>
      <c r="B260" t="s">
        <v>7</v>
      </c>
      <c r="C260" t="s">
        <v>6</v>
      </c>
      <c r="D260">
        <v>2015</v>
      </c>
      <c r="E260">
        <v>22.422000000000001</v>
      </c>
      <c r="F260">
        <v>0.36099999999999999</v>
      </c>
      <c r="G260">
        <v>286</v>
      </c>
      <c r="H260">
        <v>13.3</v>
      </c>
      <c r="I260">
        <v>66</v>
      </c>
      <c r="J260">
        <v>1.7</v>
      </c>
      <c r="K260">
        <v>131.1</v>
      </c>
      <c r="L260">
        <v>0.6</v>
      </c>
      <c r="M260">
        <v>1</v>
      </c>
      <c r="N260">
        <v>84244</v>
      </c>
      <c r="O260">
        <v>4.5</v>
      </c>
      <c r="P260">
        <v>0.87</v>
      </c>
      <c r="Q260">
        <v>5183.3500000000004</v>
      </c>
      <c r="R260">
        <v>9.3000000000000007</v>
      </c>
      <c r="S260">
        <v>0.13813700000000001</v>
      </c>
      <c r="T260">
        <v>0.50295290000000004</v>
      </c>
      <c r="U260">
        <v>-1.3100750000000001</v>
      </c>
      <c r="V260">
        <v>-1.6701379999999999</v>
      </c>
      <c r="W260">
        <v>-1.369246</v>
      </c>
      <c r="X260">
        <v>-2.3677920000000001</v>
      </c>
      <c r="Y260">
        <v>-1.0493699999999999</v>
      </c>
      <c r="Z260">
        <v>-0.60603280000000004</v>
      </c>
      <c r="AA260">
        <v>-0.19478770000000001</v>
      </c>
      <c r="AB260">
        <v>-0.98078770000000004</v>
      </c>
      <c r="AC260">
        <v>-0.2721423</v>
      </c>
      <c r="AD260">
        <v>-0.30540980000000001</v>
      </c>
      <c r="AE260">
        <v>-0.82627079999999997</v>
      </c>
      <c r="AF260">
        <v>-1.5215460000000001</v>
      </c>
      <c r="AG260">
        <v>-0.39945180000000002</v>
      </c>
      <c r="AH260">
        <v>-2.5358550000000002</v>
      </c>
      <c r="AI260">
        <v>3.1100430000000001</v>
      </c>
      <c r="AJ260">
        <v>-1.018877</v>
      </c>
      <c r="AK260">
        <v>5.6559920000000004</v>
      </c>
      <c r="AL260">
        <v>4.1896550000000001</v>
      </c>
      <c r="AM260">
        <v>0.53062830000000005</v>
      </c>
      <c r="AN260">
        <v>4.8759600000000001</v>
      </c>
      <c r="AO260">
        <v>11.341469999999999</v>
      </c>
      <c r="AP260">
        <v>-0.1392621</v>
      </c>
      <c r="AQ260">
        <v>8.5532059999999994</v>
      </c>
      <c r="AR260">
        <v>4.4558</v>
      </c>
      <c r="AS260">
        <v>3.16547</v>
      </c>
      <c r="AT260">
        <v>9.1024200000000004</v>
      </c>
      <c r="AU260">
        <v>53.887</v>
      </c>
      <c r="AV260">
        <v>83.520600000000002</v>
      </c>
      <c r="AW260">
        <v>2.42726</v>
      </c>
      <c r="AX260" s="17">
        <v>4300000000</v>
      </c>
      <c r="AY260">
        <v>3.7184400000000002</v>
      </c>
      <c r="AZ260">
        <v>0.28999999999999998</v>
      </c>
      <c r="BA260">
        <v>1.5040770000000001</v>
      </c>
      <c r="BB260">
        <v>1.5040773999999999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-1.4696800000000001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1.1686000000000001E-3</v>
      </c>
      <c r="CG260">
        <v>0.31602599999999997</v>
      </c>
      <c r="CH260">
        <v>8.4615999999999997E-2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-2.5923189999999998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9.98724E-2</v>
      </c>
      <c r="DI260">
        <v>6.7201190000000004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9.1647500000000007E-2</v>
      </c>
      <c r="DW260">
        <v>-0.75177260000000001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13.976089999999999</v>
      </c>
      <c r="EW260">
        <v>7.1231000000000003E-2</v>
      </c>
      <c r="EX260">
        <v>7.1533100000000002E-2</v>
      </c>
      <c r="EY260">
        <v>7.1498800000000001E-2</v>
      </c>
      <c r="EZ260">
        <v>7.1451600000000004E-2</v>
      </c>
      <c r="FA260">
        <v>7.1407300000000007E-2</v>
      </c>
      <c r="FB260">
        <v>7.1523500000000004E-2</v>
      </c>
      <c r="FC260">
        <v>7.1539800000000001E-2</v>
      </c>
      <c r="FD260">
        <v>7.1320800000000004E-2</v>
      </c>
      <c r="FE260">
        <v>7.1428800000000001E-2</v>
      </c>
      <c r="FF260">
        <v>7.1382699999999993E-2</v>
      </c>
      <c r="FG260">
        <v>7.1409E-2</v>
      </c>
      <c r="FH260">
        <v>7.13202E-2</v>
      </c>
      <c r="FI260">
        <v>7.1404599999999999E-2</v>
      </c>
      <c r="FJ260">
        <v>7.1548899999999999E-2</v>
      </c>
      <c r="FK260">
        <v>0.1379852</v>
      </c>
      <c r="FL260">
        <v>1.9039899999999998E-2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0.50295290000000004</v>
      </c>
      <c r="FZ260">
        <v>-1.3100750000000001</v>
      </c>
      <c r="GA260">
        <v>-1.6701379999999999</v>
      </c>
      <c r="GB260">
        <v>-2.3677920000000001</v>
      </c>
      <c r="GC260">
        <v>-0.60603280000000004</v>
      </c>
      <c r="GD260">
        <v>-0.2721423</v>
      </c>
      <c r="GE260">
        <v>-0.39945180000000002</v>
      </c>
      <c r="GF260">
        <v>-0.30540980000000001</v>
      </c>
      <c r="GG260">
        <v>-0.82627079999999997</v>
      </c>
      <c r="GH260">
        <v>-3.288154</v>
      </c>
      <c r="GI260">
        <v>10.811959999999999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4.0015700000000001E-2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-0.95356479999999999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KZ260">
        <v>1</v>
      </c>
      <c r="LA260">
        <v>1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1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MZ260">
        <v>1</v>
      </c>
      <c r="NA260">
        <v>1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1</v>
      </c>
      <c r="NO260">
        <v>1</v>
      </c>
      <c r="NP260">
        <v>82.854119999999995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1</v>
      </c>
      <c r="NW260">
        <v>1</v>
      </c>
      <c r="NX260">
        <v>1</v>
      </c>
      <c r="NY260">
        <v>1</v>
      </c>
      <c r="NZ260">
        <v>1</v>
      </c>
      <c r="OA260">
        <v>1</v>
      </c>
      <c r="OB260">
        <v>1</v>
      </c>
      <c r="OC260">
        <v>41.2</v>
      </c>
      <c r="OD260">
        <v>8977.02</v>
      </c>
      <c r="OE260">
        <v>0.23</v>
      </c>
      <c r="OF260">
        <v>86.124899999999997</v>
      </c>
      <c r="OG260">
        <v>23.7</v>
      </c>
      <c r="OH260">
        <v>53.887</v>
      </c>
    </row>
    <row r="261" spans="1:398">
      <c r="A261">
        <v>24</v>
      </c>
      <c r="B261" t="s">
        <v>7</v>
      </c>
      <c r="C261" t="s">
        <v>6</v>
      </c>
      <c r="D261">
        <v>2016</v>
      </c>
      <c r="E261">
        <v>23.004000000000001</v>
      </c>
      <c r="F261">
        <v>0.36680000000000001</v>
      </c>
      <c r="G261">
        <v>307</v>
      </c>
      <c r="H261">
        <v>13.4</v>
      </c>
      <c r="I261">
        <v>74</v>
      </c>
      <c r="J261">
        <v>1.7</v>
      </c>
      <c r="K261">
        <v>149.30000000000001</v>
      </c>
      <c r="L261">
        <v>0.5</v>
      </c>
      <c r="M261">
        <v>1.1000000000000001</v>
      </c>
      <c r="N261">
        <v>85799</v>
      </c>
      <c r="O261">
        <v>5.71</v>
      </c>
      <c r="P261">
        <v>0.91</v>
      </c>
      <c r="Q261">
        <v>5216.13</v>
      </c>
      <c r="R261">
        <v>10</v>
      </c>
      <c r="S261">
        <v>0.152198</v>
      </c>
      <c r="T261">
        <v>0.57366249999999996</v>
      </c>
      <c r="U261">
        <v>-1.304508</v>
      </c>
      <c r="V261">
        <v>-1.510696</v>
      </c>
      <c r="W261">
        <v>-1.3628089999999999</v>
      </c>
      <c r="X261">
        <v>-1.256596</v>
      </c>
      <c r="Y261">
        <v>-1.0493699999999999</v>
      </c>
      <c r="Z261">
        <v>-0.60365780000000002</v>
      </c>
      <c r="AA261">
        <v>-0.47292210000000001</v>
      </c>
      <c r="AB261">
        <v>-0.84886099999999998</v>
      </c>
      <c r="AC261">
        <v>-0.26388529999999999</v>
      </c>
      <c r="AD261">
        <v>-0.109393</v>
      </c>
      <c r="AE261">
        <v>-0.815469</v>
      </c>
      <c r="AF261">
        <v>-1.484672</v>
      </c>
      <c r="AG261">
        <v>-0.33643109999999998</v>
      </c>
      <c r="AH261">
        <v>-2.6318250000000001</v>
      </c>
      <c r="AI261">
        <v>3.1356679999999999</v>
      </c>
      <c r="AJ261">
        <v>-1.002939</v>
      </c>
      <c r="AK261">
        <v>5.7268480000000004</v>
      </c>
      <c r="AL261">
        <v>4.3040649999999996</v>
      </c>
      <c r="AM261">
        <v>0.53062830000000005</v>
      </c>
      <c r="AN261">
        <v>5.0059579999999997</v>
      </c>
      <c r="AO261">
        <v>11.35976</v>
      </c>
      <c r="AP261">
        <v>-9.4310599999999994E-2</v>
      </c>
      <c r="AQ261">
        <v>8.5595110000000005</v>
      </c>
      <c r="AR261">
        <v>4.4500599999999997</v>
      </c>
      <c r="AS261">
        <v>3.1945800000000002</v>
      </c>
      <c r="AT261">
        <v>9.1363599999999998</v>
      </c>
      <c r="AU261">
        <v>53.9</v>
      </c>
      <c r="AV261">
        <v>85.892499999999998</v>
      </c>
      <c r="AW261">
        <v>3.37418</v>
      </c>
      <c r="AX261" s="17">
        <v>6300000000</v>
      </c>
      <c r="AY261">
        <v>3.69387</v>
      </c>
      <c r="AZ261">
        <v>0.28000000000000003</v>
      </c>
      <c r="BA261">
        <v>1.742219</v>
      </c>
      <c r="BB261">
        <v>1.742219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-1.23787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1.1799E-3</v>
      </c>
      <c r="CG261">
        <v>0.33448040000000001</v>
      </c>
      <c r="CH261">
        <v>8.9162000000000005E-2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-2.6400589999999999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0.1118772</v>
      </c>
      <c r="DI261">
        <v>6.9699090000000004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9.3654500000000002E-2</v>
      </c>
      <c r="DW261">
        <v>-0.7392164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13.97429</v>
      </c>
      <c r="EW261">
        <v>7.1234699999999998E-2</v>
      </c>
      <c r="EX261">
        <v>7.1540900000000004E-2</v>
      </c>
      <c r="EY261">
        <v>7.1484699999999998E-2</v>
      </c>
      <c r="EZ261">
        <v>7.1459999999999996E-2</v>
      </c>
      <c r="FA261">
        <v>7.1355299999999997E-2</v>
      </c>
      <c r="FB261">
        <v>7.1532700000000005E-2</v>
      </c>
      <c r="FC261">
        <v>7.1547700000000006E-2</v>
      </c>
      <c r="FD261">
        <v>7.1369199999999994E-2</v>
      </c>
      <c r="FE261">
        <v>7.1417999999999995E-2</v>
      </c>
      <c r="FF261">
        <v>7.1389499999999995E-2</v>
      </c>
      <c r="FG261">
        <v>7.1399500000000005E-2</v>
      </c>
      <c r="FH261">
        <v>7.1307300000000004E-2</v>
      </c>
      <c r="FI261">
        <v>7.1412500000000004E-2</v>
      </c>
      <c r="FJ261">
        <v>7.1548E-2</v>
      </c>
      <c r="FK261">
        <v>0.15203449999999999</v>
      </c>
      <c r="FL261">
        <v>2.31145E-2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0.57366249999999996</v>
      </c>
      <c r="FZ261">
        <v>-1.304508</v>
      </c>
      <c r="GA261">
        <v>-1.510696</v>
      </c>
      <c r="GB261">
        <v>-1.256596</v>
      </c>
      <c r="GC261">
        <v>-0.60365780000000002</v>
      </c>
      <c r="GD261">
        <v>-0.26388529999999999</v>
      </c>
      <c r="GE261">
        <v>-0.33643109999999998</v>
      </c>
      <c r="GF261">
        <v>-0.109393</v>
      </c>
      <c r="GG261">
        <v>-0.815469</v>
      </c>
      <c r="GH261">
        <v>-3.4279660000000001</v>
      </c>
      <c r="GI261">
        <v>11.75095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4.2569700000000002E-2</v>
      </c>
      <c r="GW261">
        <v>1</v>
      </c>
      <c r="GX261">
        <v>1</v>
      </c>
      <c r="GY261">
        <v>1</v>
      </c>
      <c r="GZ261">
        <v>1</v>
      </c>
      <c r="HA261">
        <v>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-0.95983059999999998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1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KZ261">
        <v>1</v>
      </c>
      <c r="LA261">
        <v>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1</v>
      </c>
      <c r="MG261">
        <v>1</v>
      </c>
      <c r="MH261">
        <v>1</v>
      </c>
      <c r="MI261">
        <v>1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MZ261">
        <v>1</v>
      </c>
      <c r="NA261">
        <v>1</v>
      </c>
      <c r="NB261">
        <v>1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1</v>
      </c>
      <c r="NN261">
        <v>1</v>
      </c>
      <c r="NO261">
        <v>1</v>
      </c>
      <c r="NP261">
        <v>83.473050000000001</v>
      </c>
      <c r="NQ261">
        <v>1</v>
      </c>
      <c r="NR261">
        <v>1</v>
      </c>
      <c r="NS261">
        <v>1</v>
      </c>
      <c r="NT261">
        <v>1</v>
      </c>
      <c r="NU261">
        <v>1</v>
      </c>
      <c r="NV261">
        <v>1</v>
      </c>
      <c r="NW261">
        <v>1</v>
      </c>
      <c r="NX261">
        <v>1</v>
      </c>
      <c r="NY261">
        <v>1</v>
      </c>
      <c r="NZ261">
        <v>1</v>
      </c>
      <c r="OA261">
        <v>1</v>
      </c>
      <c r="OB261">
        <v>1</v>
      </c>
      <c r="OC261">
        <v>40.200000000000003</v>
      </c>
      <c r="OD261">
        <v>9286.8799999999992</v>
      </c>
      <c r="OE261">
        <v>0.28999999999999998</v>
      </c>
      <c r="OF261">
        <v>85.632199999999997</v>
      </c>
      <c r="OG261">
        <v>24.4</v>
      </c>
      <c r="OH261">
        <v>53.9</v>
      </c>
    </row>
    <row r="262" spans="1:398">
      <c r="A262">
        <v>24</v>
      </c>
      <c r="B262" t="s">
        <v>7</v>
      </c>
      <c r="C262" t="s">
        <v>6</v>
      </c>
      <c r="D262">
        <v>2017</v>
      </c>
      <c r="E262">
        <v>21.59</v>
      </c>
      <c r="F262">
        <v>0.42920000000000003</v>
      </c>
      <c r="G262">
        <v>315</v>
      </c>
      <c r="H262">
        <v>14</v>
      </c>
      <c r="I262">
        <v>83.4</v>
      </c>
      <c r="J262">
        <v>1.8</v>
      </c>
      <c r="K262">
        <v>75.400000000000006</v>
      </c>
      <c r="L262">
        <v>0.6</v>
      </c>
      <c r="M262">
        <v>1.1000000000000001</v>
      </c>
      <c r="N262">
        <v>86361</v>
      </c>
      <c r="O262">
        <v>8.49</v>
      </c>
      <c r="P262">
        <v>0.96</v>
      </c>
      <c r="Q262">
        <v>5067.7700000000004</v>
      </c>
      <c r="R262">
        <v>10.8</v>
      </c>
      <c r="S262">
        <v>0.17186199999999999</v>
      </c>
      <c r="T262">
        <v>0.40186949999999999</v>
      </c>
      <c r="U262">
        <v>-1.2446200000000001</v>
      </c>
      <c r="V262">
        <v>-1.449956</v>
      </c>
      <c r="W262">
        <v>-1.3241849999999999</v>
      </c>
      <c r="X262">
        <v>4.90593E-2</v>
      </c>
      <c r="Y262">
        <v>-1.0333570000000001</v>
      </c>
      <c r="Z262">
        <v>-0.61330119999999999</v>
      </c>
      <c r="AA262">
        <v>-0.19478770000000001</v>
      </c>
      <c r="AB262">
        <v>-0.84886099999999998</v>
      </c>
      <c r="AC262">
        <v>-0.2609011</v>
      </c>
      <c r="AD262">
        <v>0.13562759999999999</v>
      </c>
      <c r="AE262">
        <v>-0.86434670000000002</v>
      </c>
      <c r="AF262">
        <v>-1.442529</v>
      </c>
      <c r="AG262">
        <v>-0.1916397</v>
      </c>
      <c r="AH262">
        <v>-2.527965</v>
      </c>
      <c r="AI262">
        <v>3.0722299999999998</v>
      </c>
      <c r="AJ262">
        <v>-0.84583229999999998</v>
      </c>
      <c r="AK262">
        <v>5.7525729999999999</v>
      </c>
      <c r="AL262">
        <v>4.423648</v>
      </c>
      <c r="AM262">
        <v>0.58778660000000005</v>
      </c>
      <c r="AN262">
        <v>4.3228070000000001</v>
      </c>
      <c r="AO262">
        <v>11.366289999999999</v>
      </c>
      <c r="AP262">
        <v>-4.0821999999999997E-2</v>
      </c>
      <c r="AQ262">
        <v>8.5306569999999997</v>
      </c>
      <c r="AR262">
        <v>4.44428</v>
      </c>
      <c r="AS262">
        <v>3.1527400000000001</v>
      </c>
      <c r="AT262">
        <v>9.2209000000000003</v>
      </c>
      <c r="AU262">
        <v>53.936</v>
      </c>
      <c r="AV262">
        <v>87.156099999999995</v>
      </c>
      <c r="AW262">
        <v>2.8327300000000002</v>
      </c>
      <c r="AX262" s="17">
        <v>6000000000</v>
      </c>
      <c r="AY262">
        <v>3.7160099999999998</v>
      </c>
      <c r="AZ262">
        <v>0.28000000000000003</v>
      </c>
      <c r="BA262">
        <v>2.1388889999999998</v>
      </c>
      <c r="BB262">
        <v>2.1388891000000001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-0.84397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1.2543999999999999E-3</v>
      </c>
      <c r="CG262">
        <v>0.35314420000000002</v>
      </c>
      <c r="CH262">
        <v>9.8965999999999998E-2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-2.4969139999999999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0.1247108</v>
      </c>
      <c r="DI262">
        <v>6.2345800000000002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9.8880399999999993E-2</v>
      </c>
      <c r="DW262">
        <v>-0.69913599999999998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13.971690000000001</v>
      </c>
      <c r="EW262">
        <v>7.1265499999999996E-2</v>
      </c>
      <c r="EX262">
        <v>7.15393E-2</v>
      </c>
      <c r="EY262">
        <v>7.14896E-2</v>
      </c>
      <c r="EZ262">
        <v>7.1467900000000001E-2</v>
      </c>
      <c r="FA262">
        <v>7.1302500000000005E-2</v>
      </c>
      <c r="FB262">
        <v>7.1541199999999999E-2</v>
      </c>
      <c r="FC262">
        <v>7.1566599999999994E-2</v>
      </c>
      <c r="FD262">
        <v>7.1344299999999999E-2</v>
      </c>
      <c r="FE262">
        <v>7.1431499999999995E-2</v>
      </c>
      <c r="FF262">
        <v>7.1402199999999999E-2</v>
      </c>
      <c r="FG262">
        <v>7.1371500000000004E-2</v>
      </c>
      <c r="FH262">
        <v>7.1293800000000004E-2</v>
      </c>
      <c r="FI262">
        <v>7.1433099999999999E-2</v>
      </c>
      <c r="FJ262">
        <v>7.1551000000000003E-2</v>
      </c>
      <c r="FK262">
        <v>0.17166899999999999</v>
      </c>
      <c r="FL262">
        <v>2.9470199999999998E-2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0.40186949999999999</v>
      </c>
      <c r="FZ262">
        <v>-1.2446200000000001</v>
      </c>
      <c r="GA262">
        <v>-1.449956</v>
      </c>
      <c r="GB262">
        <v>4.90593E-2</v>
      </c>
      <c r="GC262">
        <v>-0.61330119999999999</v>
      </c>
      <c r="GD262">
        <v>-0.2609011</v>
      </c>
      <c r="GE262">
        <v>-0.1916397</v>
      </c>
      <c r="GF262">
        <v>0.13562759999999999</v>
      </c>
      <c r="GG262">
        <v>-0.86434670000000002</v>
      </c>
      <c r="GH262">
        <v>-3.2892489999999999</v>
      </c>
      <c r="GI262">
        <v>10.81916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4.80673E-2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-0.92098970000000002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1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KZ262">
        <v>1</v>
      </c>
      <c r="LA262">
        <v>1</v>
      </c>
      <c r="LB262">
        <v>1</v>
      </c>
      <c r="LC262">
        <v>1</v>
      </c>
      <c r="LD262">
        <v>1</v>
      </c>
      <c r="LE262">
        <v>1</v>
      </c>
      <c r="LF262">
        <v>1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1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1</v>
      </c>
      <c r="ME262">
        <v>1</v>
      </c>
      <c r="MF262">
        <v>1</v>
      </c>
      <c r="MG262">
        <v>1</v>
      </c>
      <c r="MH262">
        <v>1</v>
      </c>
      <c r="MI262">
        <v>1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1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1</v>
      </c>
      <c r="MX262">
        <v>1</v>
      </c>
      <c r="MY262">
        <v>1</v>
      </c>
      <c r="MZ262">
        <v>1</v>
      </c>
      <c r="NA262">
        <v>1</v>
      </c>
      <c r="NB262">
        <v>1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1</v>
      </c>
      <c r="NK262">
        <v>1</v>
      </c>
      <c r="NL262">
        <v>1</v>
      </c>
      <c r="NM262">
        <v>1</v>
      </c>
      <c r="NN262">
        <v>1</v>
      </c>
      <c r="NO262">
        <v>1</v>
      </c>
      <c r="NP262">
        <v>85.025080000000003</v>
      </c>
      <c r="NQ262">
        <v>1</v>
      </c>
      <c r="NR262">
        <v>1</v>
      </c>
      <c r="NS262">
        <v>1</v>
      </c>
      <c r="NT262">
        <v>1</v>
      </c>
      <c r="NU262">
        <v>1</v>
      </c>
      <c r="NV262">
        <v>1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41.1</v>
      </c>
      <c r="OD262">
        <v>10106.200000000001</v>
      </c>
      <c r="OE262">
        <v>0.43</v>
      </c>
      <c r="OF262">
        <v>85.1387</v>
      </c>
      <c r="OG262">
        <v>23.4</v>
      </c>
      <c r="OH262">
        <v>53.936</v>
      </c>
    </row>
    <row r="263" spans="1:398">
      <c r="A263">
        <v>24</v>
      </c>
      <c r="B263" t="s">
        <v>7</v>
      </c>
      <c r="C263" t="s">
        <v>6</v>
      </c>
      <c r="D263">
        <v>2018</v>
      </c>
      <c r="E263">
        <v>23.417000000000002</v>
      </c>
      <c r="F263">
        <v>0.4224</v>
      </c>
      <c r="G263">
        <v>329</v>
      </c>
      <c r="H263">
        <v>11.1</v>
      </c>
      <c r="I263">
        <v>83.1</v>
      </c>
      <c r="J263">
        <v>1.6</v>
      </c>
      <c r="K263">
        <v>155.1</v>
      </c>
      <c r="L263">
        <v>0.4</v>
      </c>
      <c r="M263">
        <v>1.1000000000000001</v>
      </c>
      <c r="N263">
        <v>86347</v>
      </c>
      <c r="O263">
        <v>9.5</v>
      </c>
      <c r="P263">
        <v>1</v>
      </c>
      <c r="Q263">
        <v>4851.91</v>
      </c>
      <c r="R263">
        <v>10.7</v>
      </c>
      <c r="S263">
        <v>0.16753199999999999</v>
      </c>
      <c r="T263">
        <v>0.6238397</v>
      </c>
      <c r="U263">
        <v>-1.2511460000000001</v>
      </c>
      <c r="V263">
        <v>-1.3436619999999999</v>
      </c>
      <c r="W263">
        <v>-1.510866</v>
      </c>
      <c r="X263">
        <v>7.3891E-3</v>
      </c>
      <c r="Y263">
        <v>-1.065383</v>
      </c>
      <c r="Z263">
        <v>-0.60290100000000002</v>
      </c>
      <c r="AA263">
        <v>-0.75105639999999996</v>
      </c>
      <c r="AB263">
        <v>-0.84886099999999998</v>
      </c>
      <c r="AC263">
        <v>-0.26097540000000002</v>
      </c>
      <c r="AD263">
        <v>0.33164440000000001</v>
      </c>
      <c r="AE263">
        <v>-0.93546620000000003</v>
      </c>
      <c r="AF263">
        <v>-1.447797</v>
      </c>
      <c r="AG263">
        <v>-0.13903560000000001</v>
      </c>
      <c r="AH263">
        <v>-2.7076159999999998</v>
      </c>
      <c r="AI263">
        <v>3.1534620000000002</v>
      </c>
      <c r="AJ263">
        <v>-0.86180259999999997</v>
      </c>
      <c r="AK263">
        <v>5.7960580000000004</v>
      </c>
      <c r="AL263">
        <v>4.420045</v>
      </c>
      <c r="AM263">
        <v>0.47000360000000002</v>
      </c>
      <c r="AN263">
        <v>5.0440699999999996</v>
      </c>
      <c r="AO263">
        <v>11.36613</v>
      </c>
      <c r="AP263">
        <v>0</v>
      </c>
      <c r="AQ263">
        <v>8.4871269999999992</v>
      </c>
      <c r="AR263">
        <v>4.4384100000000002</v>
      </c>
      <c r="AS263">
        <v>3.1354899999999999</v>
      </c>
      <c r="AT263">
        <v>9.2861899999999995</v>
      </c>
      <c r="AU263">
        <v>53.997999999999998</v>
      </c>
      <c r="AV263">
        <v>86.491200000000006</v>
      </c>
      <c r="AW263">
        <v>3.0162200000000001</v>
      </c>
      <c r="AX263" s="17">
        <v>7300000000</v>
      </c>
      <c r="AY263">
        <v>3.7208600000000001</v>
      </c>
      <c r="AZ263">
        <v>0.28000000000000003</v>
      </c>
      <c r="BA263">
        <v>2.2512919999999998</v>
      </c>
      <c r="BB263">
        <v>2.2512918000000002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-0.71335000000000004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8.8619999999999997E-4</v>
      </c>
      <c r="CG263">
        <v>0.35272219999999999</v>
      </c>
      <c r="CH263">
        <v>9.5932000000000003E-2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-2.6114600000000001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0.12441290000000001</v>
      </c>
      <c r="DI263">
        <v>6.8197229999999998</v>
      </c>
      <c r="DJ263">
        <v>1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9.8762199999999994E-2</v>
      </c>
      <c r="DW263">
        <v>-0.73120879999999999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13.97251</v>
      </c>
      <c r="EW263">
        <v>7.1241600000000002E-2</v>
      </c>
      <c r="EX263">
        <v>7.1536699999999995E-2</v>
      </c>
      <c r="EY263">
        <v>7.1471000000000007E-2</v>
      </c>
      <c r="EZ263">
        <v>7.1490799999999993E-2</v>
      </c>
      <c r="FA263">
        <v>7.1301299999999998E-2</v>
      </c>
      <c r="FB263">
        <v>7.1546700000000005E-2</v>
      </c>
      <c r="FC263">
        <v>7.1556400000000006E-2</v>
      </c>
      <c r="FD263">
        <v>7.1419800000000006E-2</v>
      </c>
      <c r="FE263">
        <v>7.1427500000000005E-2</v>
      </c>
      <c r="FF263">
        <v>7.1398299999999998E-2</v>
      </c>
      <c r="FG263">
        <v>7.1353299999999995E-2</v>
      </c>
      <c r="FH263">
        <v>7.1269200000000005E-2</v>
      </c>
      <c r="FI263">
        <v>7.1439500000000003E-2</v>
      </c>
      <c r="FJ263">
        <v>7.1548100000000003E-2</v>
      </c>
      <c r="FK263">
        <v>0.16732060000000001</v>
      </c>
      <c r="FL263">
        <v>2.7996199999999999E-2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0.6238397</v>
      </c>
      <c r="FZ263">
        <v>-1.2511460000000001</v>
      </c>
      <c r="GA263">
        <v>-1.3436619999999999</v>
      </c>
      <c r="GB263">
        <v>7.3891E-3</v>
      </c>
      <c r="GC263">
        <v>-0.60290100000000002</v>
      </c>
      <c r="GD263">
        <v>-0.26097540000000002</v>
      </c>
      <c r="GE263">
        <v>-0.13903560000000001</v>
      </c>
      <c r="GF263">
        <v>0.33164440000000001</v>
      </c>
      <c r="GG263">
        <v>-0.93546620000000003</v>
      </c>
      <c r="GH263">
        <v>-3.5341670000000001</v>
      </c>
      <c r="GI263">
        <v>12.49033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4.6849799999999997E-2</v>
      </c>
      <c r="GW263">
        <v>1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-0.98956659999999996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1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MZ263">
        <v>1</v>
      </c>
      <c r="NA263">
        <v>1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1</v>
      </c>
      <c r="NN263">
        <v>1</v>
      </c>
      <c r="NO263">
        <v>1</v>
      </c>
      <c r="NP263">
        <v>86.233320000000006</v>
      </c>
      <c r="NQ263">
        <v>1</v>
      </c>
      <c r="NR263">
        <v>1</v>
      </c>
      <c r="NS263">
        <v>1</v>
      </c>
      <c r="NT263">
        <v>1</v>
      </c>
      <c r="NU263">
        <v>1</v>
      </c>
      <c r="NV263">
        <v>1</v>
      </c>
      <c r="NW263">
        <v>1</v>
      </c>
      <c r="NX263">
        <v>1</v>
      </c>
      <c r="NY263">
        <v>1</v>
      </c>
      <c r="NZ263">
        <v>1</v>
      </c>
      <c r="OA263">
        <v>1</v>
      </c>
      <c r="OB263">
        <v>1</v>
      </c>
      <c r="OC263">
        <v>41.3</v>
      </c>
      <c r="OD263">
        <v>10788</v>
      </c>
      <c r="OE263">
        <v>0.49</v>
      </c>
      <c r="OF263">
        <v>84.64</v>
      </c>
      <c r="OG263">
        <v>23</v>
      </c>
      <c r="OH263">
        <v>53.997999999999998</v>
      </c>
    </row>
    <row r="264" spans="1:398">
      <c r="A264">
        <v>24</v>
      </c>
      <c r="B264" t="s">
        <v>7</v>
      </c>
      <c r="C264" t="s">
        <v>6</v>
      </c>
      <c r="D264">
        <v>2019</v>
      </c>
      <c r="E264">
        <v>27.96</v>
      </c>
      <c r="F264">
        <v>0.36840000000000001</v>
      </c>
      <c r="G264">
        <v>336</v>
      </c>
      <c r="H264">
        <v>11.5</v>
      </c>
      <c r="I264">
        <v>81.5</v>
      </c>
      <c r="J264">
        <v>1.4</v>
      </c>
      <c r="K264">
        <v>428.6</v>
      </c>
      <c r="L264">
        <v>0.5</v>
      </c>
      <c r="M264">
        <v>1.1000000000000001</v>
      </c>
      <c r="N264">
        <v>90179</v>
      </c>
      <c r="O264">
        <v>7.9</v>
      </c>
      <c r="P264">
        <v>1.03</v>
      </c>
      <c r="Q264">
        <v>4636.04</v>
      </c>
      <c r="R264">
        <v>9.5</v>
      </c>
      <c r="S264">
        <v>0.175369</v>
      </c>
      <c r="T264">
        <v>1.175789</v>
      </c>
      <c r="U264">
        <v>-1.3029729999999999</v>
      </c>
      <c r="V264">
        <v>-1.2905150000000001</v>
      </c>
      <c r="W264">
        <v>-1.485117</v>
      </c>
      <c r="X264">
        <v>-0.21484990000000001</v>
      </c>
      <c r="Y264">
        <v>-1.0974090000000001</v>
      </c>
      <c r="Z264">
        <v>-0.56721169999999999</v>
      </c>
      <c r="AA264">
        <v>-0.47292210000000001</v>
      </c>
      <c r="AB264">
        <v>-0.84886099999999998</v>
      </c>
      <c r="AC264">
        <v>-0.2406276</v>
      </c>
      <c r="AD264">
        <v>0.47865679999999999</v>
      </c>
      <c r="AE264">
        <v>-1.006586</v>
      </c>
      <c r="AF264">
        <v>-1.5110110000000001</v>
      </c>
      <c r="AG264">
        <v>-0.22236880000000001</v>
      </c>
      <c r="AH264">
        <v>-2.7081360000000001</v>
      </c>
      <c r="AI264">
        <v>3.330775</v>
      </c>
      <c r="AJ264">
        <v>-0.99858590000000003</v>
      </c>
      <c r="AK264">
        <v>5.8171109999999997</v>
      </c>
      <c r="AL264">
        <v>4.4006030000000003</v>
      </c>
      <c r="AM264">
        <v>0.3364722</v>
      </c>
      <c r="AN264">
        <v>6.060524</v>
      </c>
      <c r="AO264">
        <v>11.409549999999999</v>
      </c>
      <c r="AP264">
        <v>2.95588E-2</v>
      </c>
      <c r="AQ264">
        <v>8.4416159999999998</v>
      </c>
      <c r="AR264">
        <v>4.4331399999999999</v>
      </c>
      <c r="AS264">
        <v>3.157</v>
      </c>
      <c r="AT264">
        <v>9.3299400000000006</v>
      </c>
      <c r="AU264">
        <v>54.084000000000003</v>
      </c>
      <c r="AV264">
        <v>84.367699999999999</v>
      </c>
      <c r="AW264">
        <v>2.9265400000000001</v>
      </c>
      <c r="AX264" s="17">
        <v>7400000000</v>
      </c>
      <c r="AY264">
        <v>3.7400500000000001</v>
      </c>
      <c r="AZ264">
        <v>0.26</v>
      </c>
      <c r="BA264">
        <v>2.0668630000000001</v>
      </c>
      <c r="BB264">
        <v>2.0668628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-0.891598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9.3599999999999998E-4</v>
      </c>
      <c r="CG264">
        <v>0.36361860000000001</v>
      </c>
      <c r="CH264">
        <v>9.9546999999999997E-2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-2.5583680000000002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0.13221849999999999</v>
      </c>
      <c r="DI264">
        <v>6.5452459999999997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9.4540799999999994E-2</v>
      </c>
      <c r="DW264">
        <v>-0.66517559999999998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13.97176</v>
      </c>
      <c r="EW264">
        <v>7.1196599999999999E-2</v>
      </c>
      <c r="EX264">
        <v>7.1553400000000003E-2</v>
      </c>
      <c r="EY264">
        <v>7.1467799999999998E-2</v>
      </c>
      <c r="EZ264">
        <v>7.1490899999999996E-2</v>
      </c>
      <c r="FA264">
        <v>7.1316900000000003E-2</v>
      </c>
      <c r="FB264">
        <v>7.1560799999999994E-2</v>
      </c>
      <c r="FC264">
        <v>7.15417E-2</v>
      </c>
      <c r="FD264">
        <v>7.13834E-2</v>
      </c>
      <c r="FE264">
        <v>7.1431499999999995E-2</v>
      </c>
      <c r="FF264">
        <v>7.1396100000000004E-2</v>
      </c>
      <c r="FG264">
        <v>7.1380700000000005E-2</v>
      </c>
      <c r="FH264">
        <v>7.1258299999999997E-2</v>
      </c>
      <c r="FI264">
        <v>7.1454000000000004E-2</v>
      </c>
      <c r="FJ264">
        <v>7.1567900000000004E-2</v>
      </c>
      <c r="FK264">
        <v>0.17511289999999999</v>
      </c>
      <c r="FL264">
        <v>3.0664500000000001E-2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1.175789</v>
      </c>
      <c r="FZ264">
        <v>-1.3029729999999999</v>
      </c>
      <c r="GA264">
        <v>-1.2905150000000001</v>
      </c>
      <c r="GB264">
        <v>-0.21484990000000001</v>
      </c>
      <c r="GC264">
        <v>-0.56721169999999999</v>
      </c>
      <c r="GD264">
        <v>-0.2406276</v>
      </c>
      <c r="GE264">
        <v>-0.22236880000000001</v>
      </c>
      <c r="GF264">
        <v>0.47865679999999999</v>
      </c>
      <c r="GG264">
        <v>-1.006586</v>
      </c>
      <c r="GH264">
        <v>-3.5209299999999999</v>
      </c>
      <c r="GI264">
        <v>12.39695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4.5529300000000002E-2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-0.91544190000000003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KZ264">
        <v>1</v>
      </c>
      <c r="LA264">
        <v>1</v>
      </c>
      <c r="LB264">
        <v>1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1</v>
      </c>
      <c r="LV264">
        <v>1</v>
      </c>
      <c r="LW264">
        <v>1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G264">
        <v>1</v>
      </c>
      <c r="MH264">
        <v>1</v>
      </c>
      <c r="MI264">
        <v>1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1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1</v>
      </c>
      <c r="MX264">
        <v>1</v>
      </c>
      <c r="MY264">
        <v>1</v>
      </c>
      <c r="MZ264">
        <v>1</v>
      </c>
      <c r="NA264">
        <v>1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1</v>
      </c>
      <c r="NJ264">
        <v>1</v>
      </c>
      <c r="NK264">
        <v>1</v>
      </c>
      <c r="NL264">
        <v>1</v>
      </c>
      <c r="NM264">
        <v>1</v>
      </c>
      <c r="NN264">
        <v>1</v>
      </c>
      <c r="NO264">
        <v>1</v>
      </c>
      <c r="NP264">
        <v>87.047849999999997</v>
      </c>
      <c r="NQ264">
        <v>1</v>
      </c>
      <c r="NR264">
        <v>1</v>
      </c>
      <c r="NS264">
        <v>1</v>
      </c>
      <c r="NT264">
        <v>1</v>
      </c>
      <c r="NU264">
        <v>1</v>
      </c>
      <c r="NV264">
        <v>1</v>
      </c>
      <c r="NW264">
        <v>1</v>
      </c>
      <c r="NX264">
        <v>1</v>
      </c>
      <c r="NY264">
        <v>1</v>
      </c>
      <c r="NZ264">
        <v>1</v>
      </c>
      <c r="OA264">
        <v>1</v>
      </c>
      <c r="OB264">
        <v>1</v>
      </c>
      <c r="OC264">
        <v>42.1</v>
      </c>
      <c r="OD264">
        <v>11270.5</v>
      </c>
      <c r="OE264">
        <v>0.41</v>
      </c>
      <c r="OF264">
        <v>84.195300000000003</v>
      </c>
      <c r="OG264">
        <v>23.5</v>
      </c>
      <c r="OH264">
        <v>54.084000000000003</v>
      </c>
    </row>
    <row r="265" spans="1:398">
      <c r="A265">
        <v>24</v>
      </c>
      <c r="B265" t="s">
        <v>7</v>
      </c>
      <c r="C265" t="s">
        <v>6</v>
      </c>
      <c r="D265">
        <v>2020</v>
      </c>
      <c r="E265">
        <v>29.370999999999999</v>
      </c>
      <c r="F265">
        <v>0.3448</v>
      </c>
      <c r="G265">
        <v>346</v>
      </c>
      <c r="H265">
        <v>11.9</v>
      </c>
      <c r="I265">
        <v>76</v>
      </c>
      <c r="J265">
        <v>1.5</v>
      </c>
      <c r="K265">
        <v>557.29999999999995</v>
      </c>
      <c r="L265">
        <v>0.5</v>
      </c>
      <c r="M265">
        <v>1</v>
      </c>
      <c r="N265">
        <v>88583</v>
      </c>
      <c r="O265">
        <v>5</v>
      </c>
      <c r="P265">
        <v>0.95</v>
      </c>
      <c r="Q265">
        <v>4420.17</v>
      </c>
      <c r="R265">
        <v>9.3000000000000007</v>
      </c>
      <c r="S265">
        <v>0.162443</v>
      </c>
      <c r="T265">
        <v>1.3472170000000001</v>
      </c>
      <c r="U265">
        <v>-1.325623</v>
      </c>
      <c r="V265">
        <v>-1.2145900000000001</v>
      </c>
      <c r="W265">
        <v>-1.459368</v>
      </c>
      <c r="X265">
        <v>-0.97879700000000003</v>
      </c>
      <c r="Y265">
        <v>-1.081396</v>
      </c>
      <c r="Z265">
        <v>-0.5504175</v>
      </c>
      <c r="AA265">
        <v>-0.47292210000000001</v>
      </c>
      <c r="AB265">
        <v>-0.98078770000000004</v>
      </c>
      <c r="AC265">
        <v>-0.2491023</v>
      </c>
      <c r="AD265">
        <v>8.6623500000000006E-2</v>
      </c>
      <c r="AE265">
        <v>-1.0777049999999999</v>
      </c>
      <c r="AF265">
        <v>-1.5215460000000001</v>
      </c>
      <c r="AG265">
        <v>-0.37341020000000003</v>
      </c>
      <c r="AH265">
        <v>-2.7633169999999998</v>
      </c>
      <c r="AI265">
        <v>3.3800080000000001</v>
      </c>
      <c r="AJ265">
        <v>-1.064791</v>
      </c>
      <c r="AK265">
        <v>5.8464390000000002</v>
      </c>
      <c r="AL265">
        <v>4.3307330000000004</v>
      </c>
      <c r="AM265">
        <v>0.40546510000000002</v>
      </c>
      <c r="AN265">
        <v>6.3231039999999998</v>
      </c>
      <c r="AO265">
        <v>11.3917</v>
      </c>
      <c r="AP265">
        <v>-5.12933E-2</v>
      </c>
      <c r="AQ265">
        <v>8.3939339999999998</v>
      </c>
      <c r="AR265">
        <v>4.4276299999999997</v>
      </c>
      <c r="AS265">
        <v>3.18221</v>
      </c>
      <c r="AT265">
        <v>9.2980099999999997</v>
      </c>
      <c r="AU265">
        <v>54.194000000000003</v>
      </c>
      <c r="AV265">
        <v>77.923599999999993</v>
      </c>
      <c r="AW265">
        <v>1.4293400000000001</v>
      </c>
      <c r="AX265" s="17">
        <v>3600000000</v>
      </c>
      <c r="AY265">
        <v>3.7542</v>
      </c>
      <c r="AZ265">
        <v>0.27</v>
      </c>
      <c r="BA265">
        <v>1.6094379999999999</v>
      </c>
      <c r="BB265">
        <v>1.6094379000000001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-1.34707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9.856000000000001E-4</v>
      </c>
      <c r="CG265">
        <v>0.35089559999999997</v>
      </c>
      <c r="CH265">
        <v>9.2687000000000005E-2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-2.6592750000000001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0.1231278</v>
      </c>
      <c r="DI265">
        <v>7.0717429999999997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9.4741800000000001E-2</v>
      </c>
      <c r="DW265">
        <v>-0.71800419999999998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13.97359</v>
      </c>
      <c r="EW265">
        <v>7.1174100000000004E-2</v>
      </c>
      <c r="EX265">
        <v>7.1550199999999994E-2</v>
      </c>
      <c r="EY265">
        <v>7.1448700000000004E-2</v>
      </c>
      <c r="EZ265">
        <v>7.1477799999999994E-2</v>
      </c>
      <c r="FA265">
        <v>7.1346800000000002E-2</v>
      </c>
      <c r="FB265">
        <v>7.1546200000000004E-2</v>
      </c>
      <c r="FC265">
        <v>7.1524299999999999E-2</v>
      </c>
      <c r="FD265">
        <v>7.1374400000000005E-2</v>
      </c>
      <c r="FE265">
        <v>7.1442500000000006E-2</v>
      </c>
      <c r="FF265">
        <v>7.13897E-2</v>
      </c>
      <c r="FG265">
        <v>7.1415400000000004E-2</v>
      </c>
      <c r="FH265">
        <v>7.1292499999999995E-2</v>
      </c>
      <c r="FI265">
        <v>7.1455599999999994E-2</v>
      </c>
      <c r="FJ265">
        <v>7.1561700000000006E-2</v>
      </c>
      <c r="FK265">
        <v>0.16221669999999999</v>
      </c>
      <c r="FL265">
        <v>2.6314299999999999E-2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1.3472170000000001</v>
      </c>
      <c r="FZ265">
        <v>-1.325623</v>
      </c>
      <c r="GA265">
        <v>-1.2145900000000001</v>
      </c>
      <c r="GB265">
        <v>-0.97879700000000003</v>
      </c>
      <c r="GC265">
        <v>-0.5504175</v>
      </c>
      <c r="GD265">
        <v>-0.2491023</v>
      </c>
      <c r="GE265">
        <v>-0.37341020000000003</v>
      </c>
      <c r="GF265">
        <v>8.6623500000000006E-2</v>
      </c>
      <c r="GG265">
        <v>-1.0777049999999999</v>
      </c>
      <c r="GH265">
        <v>-3.600762</v>
      </c>
      <c r="GI265">
        <v>12.965490000000001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4.3798499999999997E-2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-0.97220589999999996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86.453040000000001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42.7</v>
      </c>
      <c r="OD265">
        <v>10916.3</v>
      </c>
      <c r="OE265">
        <v>0.26</v>
      </c>
      <c r="OF265">
        <v>83.732799999999997</v>
      </c>
      <c r="OG265">
        <v>24.1</v>
      </c>
      <c r="OH265">
        <v>54.194000000000003</v>
      </c>
    </row>
    <row r="266" spans="1:398">
      <c r="A266">
        <v>25</v>
      </c>
      <c r="B266" t="s">
        <v>114</v>
      </c>
      <c r="C266" t="s">
        <v>115</v>
      </c>
      <c r="D266">
        <v>2010</v>
      </c>
      <c r="E266">
        <v>22.777999999999999</v>
      </c>
      <c r="F266">
        <v>1.9827999999999999</v>
      </c>
      <c r="G266">
        <v>518</v>
      </c>
      <c r="H266">
        <v>47.8</v>
      </c>
      <c r="I266">
        <v>83.9</v>
      </c>
      <c r="J266">
        <v>7.2</v>
      </c>
      <c r="K266">
        <v>82.3</v>
      </c>
      <c r="L266">
        <v>0.4</v>
      </c>
      <c r="M266">
        <v>1.3</v>
      </c>
      <c r="N266">
        <v>69105</v>
      </c>
      <c r="O266">
        <v>4.01</v>
      </c>
      <c r="P266">
        <v>0.56000000000000005</v>
      </c>
      <c r="Q266">
        <v>5194.05</v>
      </c>
      <c r="R266">
        <v>27.6</v>
      </c>
      <c r="S266">
        <v>0.248752</v>
      </c>
      <c r="T266">
        <v>0.54620480000000005</v>
      </c>
      <c r="U266">
        <v>0.24644769999999999</v>
      </c>
      <c r="V266">
        <v>9.1314099999999995E-2</v>
      </c>
      <c r="W266">
        <v>0.8516186</v>
      </c>
      <c r="X266">
        <v>0.11850910000000001</v>
      </c>
      <c r="Y266">
        <v>-0.16864970000000001</v>
      </c>
      <c r="Z266">
        <v>-0.61240079999999997</v>
      </c>
      <c r="AA266">
        <v>-0.75105639999999996</v>
      </c>
      <c r="AB266">
        <v>-0.58500799999999997</v>
      </c>
      <c r="AC266">
        <v>-0.35253000000000001</v>
      </c>
      <c r="AD266">
        <v>-1.8245389999999999</v>
      </c>
      <c r="AE266">
        <v>-0.82274559999999997</v>
      </c>
      <c r="AF266">
        <v>-0.5575367</v>
      </c>
      <c r="AG266">
        <v>-0.42497259999999998</v>
      </c>
      <c r="AH266">
        <v>-0.94745679999999999</v>
      </c>
      <c r="AI266">
        <v>3.1257950000000001</v>
      </c>
      <c r="AJ266">
        <v>0.68450999999999995</v>
      </c>
      <c r="AK266">
        <v>6.2499750000000001</v>
      </c>
      <c r="AL266">
        <v>4.4296259999999998</v>
      </c>
      <c r="AM266">
        <v>1.974081</v>
      </c>
      <c r="AN266">
        <v>4.4103709999999996</v>
      </c>
      <c r="AO266">
        <v>11.143380000000001</v>
      </c>
      <c r="AP266">
        <v>-0.57981850000000001</v>
      </c>
      <c r="AQ266">
        <v>8.5552679999999999</v>
      </c>
      <c r="AR266">
        <v>3.1364899999999998</v>
      </c>
      <c r="AS266">
        <v>3.7999700000000001</v>
      </c>
      <c r="AT266">
        <v>10.783200000000001</v>
      </c>
      <c r="AU266">
        <v>85.055999999999997</v>
      </c>
      <c r="AV266">
        <v>85.090999999999994</v>
      </c>
      <c r="AW266">
        <v>0.126859</v>
      </c>
      <c r="AX266" s="17">
        <v>630000000</v>
      </c>
      <c r="AY266">
        <v>2.7725900000000001</v>
      </c>
      <c r="AZ266">
        <v>0.81</v>
      </c>
      <c r="BA266">
        <v>1.3887910000000001</v>
      </c>
      <c r="BB266">
        <v>1.3887913000000001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-0.84397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5.4913999999999996E-3</v>
      </c>
      <c r="CG266">
        <v>0.44174799999999997</v>
      </c>
      <c r="CH266">
        <v>0.15163099999999999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-0.79440279999999996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0.19514129999999999</v>
      </c>
      <c r="DI266">
        <v>0.63107579999999996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0.35781590000000002</v>
      </c>
      <c r="DW266">
        <v>-0.64346619999999999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13.96236</v>
      </c>
      <c r="EW266">
        <v>7.1304900000000004E-2</v>
      </c>
      <c r="EX266">
        <v>7.1322399999999994E-2</v>
      </c>
      <c r="EY266">
        <v>7.1355299999999997E-2</v>
      </c>
      <c r="EZ266">
        <v>7.1261599999999994E-2</v>
      </c>
      <c r="FA266">
        <v>7.1349999999999997E-2</v>
      </c>
      <c r="FB266">
        <v>7.1392800000000006E-2</v>
      </c>
      <c r="FC266">
        <v>7.1613899999999994E-2</v>
      </c>
      <c r="FD266">
        <v>7.1472599999999997E-2</v>
      </c>
      <c r="FE266">
        <v>7.1441599999999994E-2</v>
      </c>
      <c r="FF266">
        <v>7.1480699999999994E-2</v>
      </c>
      <c r="FG266">
        <v>7.1488700000000002E-2</v>
      </c>
      <c r="FH266">
        <v>7.1600700000000003E-2</v>
      </c>
      <c r="FI266">
        <v>7.1475499999999997E-2</v>
      </c>
      <c r="FJ266">
        <v>7.14394E-2</v>
      </c>
      <c r="FK266">
        <v>0.2485029</v>
      </c>
      <c r="FL266">
        <v>6.1753700000000002E-2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0.54620480000000005</v>
      </c>
      <c r="FZ266">
        <v>0.24644769999999999</v>
      </c>
      <c r="GA266">
        <v>9.1314099999999995E-2</v>
      </c>
      <c r="GB266">
        <v>0.11850910000000001</v>
      </c>
      <c r="GC266">
        <v>-0.61240079999999997</v>
      </c>
      <c r="GD266">
        <v>-0.35253000000000001</v>
      </c>
      <c r="GE266">
        <v>-0.42497259999999998</v>
      </c>
      <c r="GF266">
        <v>-1.8245389999999999</v>
      </c>
      <c r="GG266">
        <v>-0.82274559999999997</v>
      </c>
      <c r="GH266">
        <v>-1.2449509999999999</v>
      </c>
      <c r="GI266">
        <v>1.549903</v>
      </c>
      <c r="GJ266">
        <v>1</v>
      </c>
      <c r="GK266">
        <v>1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0.2012873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-1.00841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KZ266">
        <v>1</v>
      </c>
      <c r="LA266">
        <v>1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1</v>
      </c>
      <c r="ML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MZ266">
        <v>1</v>
      </c>
      <c r="NA266">
        <v>1</v>
      </c>
      <c r="NB266">
        <v>1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1</v>
      </c>
      <c r="NJ266">
        <v>1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116.27760000000001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1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16</v>
      </c>
      <c r="OD266">
        <v>48204.7</v>
      </c>
      <c r="OE266">
        <v>0.43</v>
      </c>
      <c r="OF266">
        <v>23.0229</v>
      </c>
      <c r="OG266">
        <v>44.7</v>
      </c>
      <c r="OH266">
        <v>85.055999999999997</v>
      </c>
    </row>
    <row r="267" spans="1:398">
      <c r="A267">
        <v>25</v>
      </c>
      <c r="B267" t="s">
        <v>114</v>
      </c>
      <c r="C267" t="s">
        <v>115</v>
      </c>
      <c r="D267">
        <v>2011</v>
      </c>
      <c r="E267">
        <v>24.24</v>
      </c>
      <c r="F267">
        <v>1.9406000000000001</v>
      </c>
      <c r="G267">
        <v>520</v>
      </c>
      <c r="H267">
        <v>47</v>
      </c>
      <c r="I267">
        <v>83.6</v>
      </c>
      <c r="J267">
        <v>7.6</v>
      </c>
      <c r="K267">
        <v>122.8</v>
      </c>
      <c r="L267">
        <v>0.4</v>
      </c>
      <c r="M267">
        <v>1.4</v>
      </c>
      <c r="N267">
        <v>74573</v>
      </c>
      <c r="O267">
        <v>7.33</v>
      </c>
      <c r="P267">
        <v>0.56999999999999995</v>
      </c>
      <c r="Q267">
        <v>5013.17</v>
      </c>
      <c r="R267">
        <v>26.9</v>
      </c>
      <c r="S267">
        <v>0.25321700000000003</v>
      </c>
      <c r="T267">
        <v>0.72382959999999996</v>
      </c>
      <c r="U267">
        <v>0.2059462</v>
      </c>
      <c r="V267">
        <v>0.106499</v>
      </c>
      <c r="W267">
        <v>0.80012039999999995</v>
      </c>
      <c r="X267">
        <v>7.6838799999999999E-2</v>
      </c>
      <c r="Y267">
        <v>-0.1045973</v>
      </c>
      <c r="Z267">
        <v>-0.60711590000000004</v>
      </c>
      <c r="AA267">
        <v>-0.75105639999999996</v>
      </c>
      <c r="AB267">
        <v>-0.45308130000000002</v>
      </c>
      <c r="AC267">
        <v>-0.32349509999999998</v>
      </c>
      <c r="AD267">
        <v>-1.7755350000000001</v>
      </c>
      <c r="AE267">
        <v>-0.88233790000000001</v>
      </c>
      <c r="AF267">
        <v>-0.59441140000000003</v>
      </c>
      <c r="AG267">
        <v>-0.25205630000000001</v>
      </c>
      <c r="AH267">
        <v>-0.91652100000000003</v>
      </c>
      <c r="AI267">
        <v>3.1880039999999998</v>
      </c>
      <c r="AJ267">
        <v>0.66299719999999995</v>
      </c>
      <c r="AK267">
        <v>6.2538289999999996</v>
      </c>
      <c r="AL267">
        <v>4.4260440000000001</v>
      </c>
      <c r="AM267">
        <v>2.0281479999999998</v>
      </c>
      <c r="AN267">
        <v>4.8105570000000002</v>
      </c>
      <c r="AO267">
        <v>11.219530000000001</v>
      </c>
      <c r="AP267">
        <v>-0.56211889999999998</v>
      </c>
      <c r="AQ267">
        <v>8.5198230000000006</v>
      </c>
      <c r="AR267">
        <v>3.1440399999999999</v>
      </c>
      <c r="AS267">
        <v>3.8155100000000002</v>
      </c>
      <c r="AT267">
        <v>10.806800000000001</v>
      </c>
      <c r="AU267">
        <v>85.296999999999997</v>
      </c>
      <c r="AV267">
        <v>86.390299999999996</v>
      </c>
      <c r="AW267">
        <v>1.22329</v>
      </c>
      <c r="AX267" s="17">
        <v>7000000000</v>
      </c>
      <c r="AY267">
        <v>2.8033600000000001</v>
      </c>
      <c r="AZ267">
        <v>0.81</v>
      </c>
      <c r="BA267">
        <v>1.991976</v>
      </c>
      <c r="BB267">
        <v>1.9919754999999999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-0.24846099999999999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5.3619999999999996E-3</v>
      </c>
      <c r="CG267">
        <v>0.4492565</v>
      </c>
      <c r="CH267">
        <v>0.15782099999999999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-0.65918589999999999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0.20183139999999999</v>
      </c>
      <c r="DI267">
        <v>0.43452610000000003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0.36389779999999999</v>
      </c>
      <c r="DW267">
        <v>-0.53394059999999999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13.961169999999999</v>
      </c>
      <c r="EW267">
        <v>7.1295999999999998E-2</v>
      </c>
      <c r="EX267">
        <v>7.1335599999999999E-2</v>
      </c>
      <c r="EY267">
        <v>7.1360599999999996E-2</v>
      </c>
      <c r="EZ267">
        <v>7.1274599999999994E-2</v>
      </c>
      <c r="FA267">
        <v>7.1358900000000003E-2</v>
      </c>
      <c r="FB267">
        <v>7.1387099999999995E-2</v>
      </c>
      <c r="FC267">
        <v>7.1616899999999997E-2</v>
      </c>
      <c r="FD267">
        <v>7.1478899999999998E-2</v>
      </c>
      <c r="FE267">
        <v>7.1429599999999996E-2</v>
      </c>
      <c r="FF267">
        <v>7.1477499999999999E-2</v>
      </c>
      <c r="FG267">
        <v>7.1444199999999999E-2</v>
      </c>
      <c r="FH267">
        <v>7.1597999999999995E-2</v>
      </c>
      <c r="FI267">
        <v>7.1490399999999996E-2</v>
      </c>
      <c r="FJ267">
        <v>7.1451600000000004E-2</v>
      </c>
      <c r="FK267">
        <v>0.25298540000000003</v>
      </c>
      <c r="FL267">
        <v>6.4001600000000006E-2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0.72382959999999996</v>
      </c>
      <c r="FZ267">
        <v>0.2059462</v>
      </c>
      <c r="GA267">
        <v>0.106499</v>
      </c>
      <c r="GB267">
        <v>7.6838799999999999E-2</v>
      </c>
      <c r="GC267">
        <v>-0.60711590000000004</v>
      </c>
      <c r="GD267">
        <v>-0.32349509999999998</v>
      </c>
      <c r="GE267">
        <v>-0.25205630000000001</v>
      </c>
      <c r="GF267">
        <v>-1.7755350000000001</v>
      </c>
      <c r="GG267">
        <v>-0.88233790000000001</v>
      </c>
      <c r="GH267">
        <v>-1.179065</v>
      </c>
      <c r="GI267">
        <v>1.3901950000000001</v>
      </c>
      <c r="GJ267">
        <v>1</v>
      </c>
      <c r="GK267">
        <v>1</v>
      </c>
      <c r="GL267">
        <v>1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0.20491819999999999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-0.95504299999999998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1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1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MZ267">
        <v>1</v>
      </c>
      <c r="NA267">
        <v>1</v>
      </c>
      <c r="NB267">
        <v>1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1</v>
      </c>
      <c r="NJ267">
        <v>1</v>
      </c>
      <c r="NK267">
        <v>1</v>
      </c>
      <c r="NL267">
        <v>1</v>
      </c>
      <c r="NM267">
        <v>1</v>
      </c>
      <c r="NN267">
        <v>1</v>
      </c>
      <c r="NO267">
        <v>1</v>
      </c>
      <c r="NP267">
        <v>116.7871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1</v>
      </c>
      <c r="OA267">
        <v>1</v>
      </c>
      <c r="OB267">
        <v>1</v>
      </c>
      <c r="OC267">
        <v>16.5</v>
      </c>
      <c r="OD267">
        <v>49355.7</v>
      </c>
      <c r="OE267">
        <v>0.78</v>
      </c>
      <c r="OF267">
        <v>23.197399999999998</v>
      </c>
      <c r="OG267">
        <v>45.4</v>
      </c>
      <c r="OH267">
        <v>85.296999999999997</v>
      </c>
    </row>
    <row r="268" spans="1:398">
      <c r="A268">
        <v>25</v>
      </c>
      <c r="B268" t="s">
        <v>114</v>
      </c>
      <c r="C268" t="s">
        <v>115</v>
      </c>
      <c r="D268">
        <v>2012</v>
      </c>
      <c r="E268">
        <v>23.094999999999999</v>
      </c>
      <c r="F268">
        <v>1.9404999999999999</v>
      </c>
      <c r="G268">
        <v>516</v>
      </c>
      <c r="H268">
        <v>46.9</v>
      </c>
      <c r="I268">
        <v>84.3</v>
      </c>
      <c r="J268">
        <v>8.1999999999999993</v>
      </c>
      <c r="K268">
        <v>71.2</v>
      </c>
      <c r="L268">
        <v>0.4</v>
      </c>
      <c r="M268">
        <v>1.5</v>
      </c>
      <c r="N268">
        <v>74598</v>
      </c>
      <c r="O268">
        <v>4.59</v>
      </c>
      <c r="P268">
        <v>0.56999999999999995</v>
      </c>
      <c r="Q268">
        <v>4817.79</v>
      </c>
      <c r="R268">
        <v>26.3</v>
      </c>
      <c r="S268">
        <v>0.25125500000000001</v>
      </c>
      <c r="T268">
        <v>0.58471850000000003</v>
      </c>
      <c r="U268">
        <v>0.20585020000000001</v>
      </c>
      <c r="V268">
        <v>7.6129199999999994E-2</v>
      </c>
      <c r="W268">
        <v>0.79368320000000003</v>
      </c>
      <c r="X268">
        <v>0.1740691</v>
      </c>
      <c r="Y268">
        <v>-8.5188E-3</v>
      </c>
      <c r="Z268">
        <v>-0.61384919999999998</v>
      </c>
      <c r="AA268">
        <v>-0.75105639999999996</v>
      </c>
      <c r="AB268">
        <v>-0.32115470000000002</v>
      </c>
      <c r="AC268">
        <v>-0.32336229999999999</v>
      </c>
      <c r="AD268">
        <v>-1.7755350000000001</v>
      </c>
      <c r="AE268">
        <v>-0.94670529999999997</v>
      </c>
      <c r="AF268">
        <v>-0.62601830000000003</v>
      </c>
      <c r="AG268">
        <v>-0.39476430000000001</v>
      </c>
      <c r="AH268">
        <v>-0.93750440000000002</v>
      </c>
      <c r="AI268">
        <v>3.1396160000000002</v>
      </c>
      <c r="AJ268">
        <v>0.66294569999999997</v>
      </c>
      <c r="AK268">
        <v>6.2461070000000003</v>
      </c>
      <c r="AL268">
        <v>4.4343820000000003</v>
      </c>
      <c r="AM268">
        <v>2.1041340000000002</v>
      </c>
      <c r="AN268">
        <v>4.2654930000000002</v>
      </c>
      <c r="AO268">
        <v>11.21987</v>
      </c>
      <c r="AP268">
        <v>-0.56211889999999998</v>
      </c>
      <c r="AQ268">
        <v>8.4800710000000006</v>
      </c>
      <c r="AR268">
        <v>3.15144</v>
      </c>
      <c r="AS268">
        <v>3.8774299999999999</v>
      </c>
      <c r="AT268">
        <v>10.795299999999999</v>
      </c>
      <c r="AU268">
        <v>85.62</v>
      </c>
      <c r="AV268">
        <v>85.297700000000006</v>
      </c>
      <c r="AW268">
        <v>0.77737000000000001</v>
      </c>
      <c r="AX268" s="17">
        <v>4300000000</v>
      </c>
      <c r="AY268">
        <v>2.8903699999999999</v>
      </c>
      <c r="AZ268">
        <v>0.81</v>
      </c>
      <c r="BA268">
        <v>1.5238799999999999</v>
      </c>
      <c r="BB268">
        <v>1.5238799999999999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-0.73396899999999998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5.3210000000000002E-3</v>
      </c>
      <c r="CG268">
        <v>0.44373820000000003</v>
      </c>
      <c r="CH268">
        <v>0.15540100000000001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-0.78010579999999996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0.19690360000000001</v>
      </c>
      <c r="DI268">
        <v>0.60856509999999997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0.35942800000000003</v>
      </c>
      <c r="DW268">
        <v>-0.63188569999999999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13.961779999999999</v>
      </c>
      <c r="EW268">
        <v>7.1306900000000006E-2</v>
      </c>
      <c r="EX268">
        <v>7.1333499999999994E-2</v>
      </c>
      <c r="EY268">
        <v>7.1361499999999994E-2</v>
      </c>
      <c r="EZ268">
        <v>7.1273600000000006E-2</v>
      </c>
      <c r="FA268">
        <v>7.1351999999999999E-2</v>
      </c>
      <c r="FB268">
        <v>7.1366399999999997E-2</v>
      </c>
      <c r="FC268">
        <v>7.1617799999999995E-2</v>
      </c>
      <c r="FD268">
        <v>7.1475999999999998E-2</v>
      </c>
      <c r="FE268">
        <v>7.1409E-2</v>
      </c>
      <c r="FF268">
        <v>7.1474599999999999E-2</v>
      </c>
      <c r="FG268">
        <v>7.1483000000000005E-2</v>
      </c>
      <c r="FH268">
        <v>7.1594900000000003E-2</v>
      </c>
      <c r="FI268">
        <v>7.1496900000000002E-2</v>
      </c>
      <c r="FJ268">
        <v>7.1453799999999998E-2</v>
      </c>
      <c r="FK268">
        <v>0.25101830000000003</v>
      </c>
      <c r="FL268">
        <v>6.3010200000000002E-2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0.58471850000000003</v>
      </c>
      <c r="FZ268">
        <v>0.20585020000000001</v>
      </c>
      <c r="GA268">
        <v>7.6129199999999994E-2</v>
      </c>
      <c r="GB268">
        <v>0.1740691</v>
      </c>
      <c r="GC268">
        <v>-0.61384919999999998</v>
      </c>
      <c r="GD268">
        <v>-0.32336229999999999</v>
      </c>
      <c r="GE268">
        <v>-0.39476430000000001</v>
      </c>
      <c r="GF268">
        <v>-1.7755350000000001</v>
      </c>
      <c r="GG268">
        <v>-0.94670529999999997</v>
      </c>
      <c r="GH268">
        <v>-1.206264</v>
      </c>
      <c r="GI268">
        <v>1.4550730000000001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0.2033249</v>
      </c>
      <c r="GW268">
        <v>1</v>
      </c>
      <c r="GX268">
        <v>1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-0.97707379999999999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1</v>
      </c>
      <c r="ML268">
        <v>1</v>
      </c>
      <c r="MM268">
        <v>1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1</v>
      </c>
      <c r="NI268">
        <v>1</v>
      </c>
      <c r="NJ268">
        <v>1</v>
      </c>
      <c r="NK268">
        <v>1</v>
      </c>
      <c r="NL268">
        <v>1</v>
      </c>
      <c r="NM268">
        <v>1</v>
      </c>
      <c r="NN268">
        <v>1</v>
      </c>
      <c r="NO268">
        <v>1</v>
      </c>
      <c r="NP268">
        <v>116.5377</v>
      </c>
      <c r="NQ268">
        <v>1</v>
      </c>
      <c r="NR268">
        <v>1</v>
      </c>
      <c r="NS268">
        <v>1</v>
      </c>
      <c r="NT268">
        <v>1</v>
      </c>
      <c r="NU268">
        <v>1</v>
      </c>
      <c r="NV268">
        <v>1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18</v>
      </c>
      <c r="OD268">
        <v>48788.9</v>
      </c>
      <c r="OE268">
        <v>0.48</v>
      </c>
      <c r="OF268">
        <v>23.369599999999998</v>
      </c>
      <c r="OG268">
        <v>48.3</v>
      </c>
      <c r="OH268">
        <v>85.62</v>
      </c>
    </row>
    <row r="269" spans="1:398">
      <c r="A269">
        <v>25</v>
      </c>
      <c r="B269" t="s">
        <v>114</v>
      </c>
      <c r="C269" t="s">
        <v>115</v>
      </c>
      <c r="D269">
        <v>2013</v>
      </c>
      <c r="E269">
        <v>24.89</v>
      </c>
      <c r="F269">
        <v>1.9071</v>
      </c>
      <c r="G269">
        <v>490</v>
      </c>
      <c r="H269">
        <v>48.2</v>
      </c>
      <c r="I269">
        <v>83.7</v>
      </c>
      <c r="J269">
        <v>7.2</v>
      </c>
      <c r="K269">
        <v>43.2</v>
      </c>
      <c r="L269">
        <v>0.4</v>
      </c>
      <c r="M269">
        <v>1.6</v>
      </c>
      <c r="N269">
        <v>74963</v>
      </c>
      <c r="O269">
        <v>8.7100000000000009</v>
      </c>
      <c r="P269">
        <v>0.59</v>
      </c>
      <c r="Q269">
        <v>4805.3500000000004</v>
      </c>
      <c r="R269">
        <v>24.9</v>
      </c>
      <c r="S269">
        <v>0.25231700000000001</v>
      </c>
      <c r="T269">
        <v>0.80280090000000004</v>
      </c>
      <c r="U269">
        <v>0.17379449999999999</v>
      </c>
      <c r="V269">
        <v>-0.1212749</v>
      </c>
      <c r="W269">
        <v>0.87736789999999998</v>
      </c>
      <c r="X269">
        <v>9.0728500000000004E-2</v>
      </c>
      <c r="Y269">
        <v>-0.16864970000000001</v>
      </c>
      <c r="Z269">
        <v>-0.61750300000000002</v>
      </c>
      <c r="AA269">
        <v>-0.75105639999999996</v>
      </c>
      <c r="AB269">
        <v>-0.18922800000000001</v>
      </c>
      <c r="AC269">
        <v>-0.32142419999999999</v>
      </c>
      <c r="AD269">
        <v>-1.677527</v>
      </c>
      <c r="AE269">
        <v>-0.95080439999999999</v>
      </c>
      <c r="AF269">
        <v>-0.69976760000000005</v>
      </c>
      <c r="AG269">
        <v>-0.18018139999999999</v>
      </c>
      <c r="AH269">
        <v>-0.96653259999999996</v>
      </c>
      <c r="AI269">
        <v>3.2144659999999998</v>
      </c>
      <c r="AJ269">
        <v>0.64558369999999998</v>
      </c>
      <c r="AK269">
        <v>6.1944059999999999</v>
      </c>
      <c r="AL269">
        <v>4.4272390000000001</v>
      </c>
      <c r="AM269">
        <v>1.974081</v>
      </c>
      <c r="AN269">
        <v>3.765841</v>
      </c>
      <c r="AO269">
        <v>11.22475</v>
      </c>
      <c r="AP269">
        <v>-0.52763280000000001</v>
      </c>
      <c r="AQ269">
        <v>8.4774860000000007</v>
      </c>
      <c r="AR269">
        <v>3.15991</v>
      </c>
      <c r="AS269">
        <v>3.8565100000000001</v>
      </c>
      <c r="AT269">
        <v>10.7981</v>
      </c>
      <c r="AU269">
        <v>85.936000000000007</v>
      </c>
      <c r="AV269">
        <v>81.639799999999994</v>
      </c>
      <c r="AW269">
        <v>0.25469599999999998</v>
      </c>
      <c r="AX269" s="17">
        <v>1500000000</v>
      </c>
      <c r="AY269">
        <v>2.8903699999999999</v>
      </c>
      <c r="AZ269">
        <v>0.81</v>
      </c>
      <c r="BA269">
        <v>2.164472</v>
      </c>
      <c r="BB269">
        <v>2.1644719000000001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-9.4311000000000006E-2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5.4527999999999998E-3</v>
      </c>
      <c r="CG269">
        <v>0.44320540000000003</v>
      </c>
      <c r="CH269">
        <v>0.15659999999999999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-0.80514359999999996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0.1964311</v>
      </c>
      <c r="DI269">
        <v>0.64825619999999995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0.35899639999999999</v>
      </c>
      <c r="DW269">
        <v>-0.65216629999999998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13.9612</v>
      </c>
      <c r="EW269">
        <v>7.1291300000000002E-2</v>
      </c>
      <c r="EX269">
        <v>7.1342299999999997E-2</v>
      </c>
      <c r="EY269">
        <v>7.1386199999999997E-2</v>
      </c>
      <c r="EZ269">
        <v>7.1269600000000002E-2</v>
      </c>
      <c r="FA269">
        <v>7.1359800000000001E-2</v>
      </c>
      <c r="FB269">
        <v>7.1400699999999998E-2</v>
      </c>
      <c r="FC269">
        <v>7.1623099999999995E-2</v>
      </c>
      <c r="FD269">
        <v>7.1479200000000007E-2</v>
      </c>
      <c r="FE269">
        <v>7.1394899999999997E-2</v>
      </c>
      <c r="FF269">
        <v>7.1477200000000005E-2</v>
      </c>
      <c r="FG269">
        <v>7.1424699999999994E-2</v>
      </c>
      <c r="FH269">
        <v>7.1581500000000006E-2</v>
      </c>
      <c r="FI269">
        <v>7.15007E-2</v>
      </c>
      <c r="FJ269">
        <v>7.1468799999999999E-2</v>
      </c>
      <c r="FK269">
        <v>0.2520947</v>
      </c>
      <c r="FL269">
        <v>6.3551700000000003E-2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0.80280090000000004</v>
      </c>
      <c r="FZ269">
        <v>0.17379449999999999</v>
      </c>
      <c r="GA269">
        <v>-0.1212749</v>
      </c>
      <c r="GB269">
        <v>9.0728500000000004E-2</v>
      </c>
      <c r="GC269">
        <v>-0.61750300000000002</v>
      </c>
      <c r="GD269">
        <v>-0.32142419999999999</v>
      </c>
      <c r="GE269">
        <v>-0.18018139999999999</v>
      </c>
      <c r="GF269">
        <v>-1.677527</v>
      </c>
      <c r="GG269">
        <v>-0.95080439999999999</v>
      </c>
      <c r="GH269">
        <v>-1.2212270000000001</v>
      </c>
      <c r="GI269">
        <v>1.4913959999999999</v>
      </c>
      <c r="GJ269">
        <v>1</v>
      </c>
      <c r="GK269">
        <v>1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0.20419670000000001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-0.98919409999999997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KZ269">
        <v>1</v>
      </c>
      <c r="LA269">
        <v>1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1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1</v>
      </c>
      <c r="ML269">
        <v>1</v>
      </c>
      <c r="MM269">
        <v>1</v>
      </c>
      <c r="MN269">
        <v>1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116.599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1</v>
      </c>
      <c r="OA269">
        <v>1</v>
      </c>
      <c r="OB269">
        <v>1</v>
      </c>
      <c r="OC269">
        <v>18</v>
      </c>
      <c r="OD269">
        <v>48927.6</v>
      </c>
      <c r="OE269">
        <v>0.91</v>
      </c>
      <c r="OF269">
        <v>23.5685</v>
      </c>
      <c r="OG269">
        <v>47.3</v>
      </c>
      <c r="OH269">
        <v>85.936000000000007</v>
      </c>
    </row>
    <row r="270" spans="1:398">
      <c r="A270">
        <v>25</v>
      </c>
      <c r="B270" t="s">
        <v>114</v>
      </c>
      <c r="C270" t="s">
        <v>115</v>
      </c>
      <c r="D270">
        <v>2014</v>
      </c>
      <c r="E270">
        <v>23.04</v>
      </c>
      <c r="F270">
        <v>1.9057999999999999</v>
      </c>
      <c r="G270">
        <v>453</v>
      </c>
      <c r="H270">
        <v>49.3</v>
      </c>
      <c r="I270">
        <v>84.1</v>
      </c>
      <c r="J270">
        <v>6.4</v>
      </c>
      <c r="K270">
        <v>20.8</v>
      </c>
      <c r="L270">
        <v>0.4</v>
      </c>
      <c r="M270">
        <v>1.4</v>
      </c>
      <c r="N270">
        <v>75670</v>
      </c>
      <c r="O270">
        <v>6.8</v>
      </c>
      <c r="P270">
        <v>0.6</v>
      </c>
      <c r="Q270">
        <v>4866.1499999999996</v>
      </c>
      <c r="R270">
        <v>25.4</v>
      </c>
      <c r="S270">
        <v>0.24290200000000001</v>
      </c>
      <c r="T270">
        <v>0.57803649999999995</v>
      </c>
      <c r="U270">
        <v>0.1725469</v>
      </c>
      <c r="V270">
        <v>-0.4021962</v>
      </c>
      <c r="W270">
        <v>0.94817799999999997</v>
      </c>
      <c r="X270">
        <v>0.14628849999999999</v>
      </c>
      <c r="Y270">
        <v>-0.29675439999999997</v>
      </c>
      <c r="Z270">
        <v>-0.62042600000000003</v>
      </c>
      <c r="AA270">
        <v>-0.75105639999999996</v>
      </c>
      <c r="AB270">
        <v>-0.45308130000000002</v>
      </c>
      <c r="AC270">
        <v>-0.31767000000000001</v>
      </c>
      <c r="AD270">
        <v>-1.628522</v>
      </c>
      <c r="AE270">
        <v>-0.93077319999999997</v>
      </c>
      <c r="AF270">
        <v>-0.67342860000000004</v>
      </c>
      <c r="AG270">
        <v>-0.27966039999999998</v>
      </c>
      <c r="AH270">
        <v>-1.0129109999999999</v>
      </c>
      <c r="AI270">
        <v>3.137232</v>
      </c>
      <c r="AJ270">
        <v>0.64490190000000003</v>
      </c>
      <c r="AK270">
        <v>6.1158919999999997</v>
      </c>
      <c r="AL270">
        <v>4.4320060000000003</v>
      </c>
      <c r="AM270">
        <v>1.856298</v>
      </c>
      <c r="AN270">
        <v>3.0349529999999998</v>
      </c>
      <c r="AO270">
        <v>11.23414</v>
      </c>
      <c r="AP270">
        <v>-0.51082559999999999</v>
      </c>
      <c r="AQ270">
        <v>8.4900590000000005</v>
      </c>
      <c r="AR270">
        <v>3.1698300000000001</v>
      </c>
      <c r="AS270">
        <v>3.8836200000000001</v>
      </c>
      <c r="AT270">
        <v>10.8109</v>
      </c>
      <c r="AU270">
        <v>86.247</v>
      </c>
      <c r="AV270">
        <v>83.822599999999994</v>
      </c>
      <c r="AW270">
        <v>-1.0454300000000001</v>
      </c>
      <c r="AX270" s="17">
        <v>-6000000000</v>
      </c>
      <c r="AY270">
        <v>2.8507099999999999</v>
      </c>
      <c r="AZ270">
        <v>0.81</v>
      </c>
      <c r="BA270">
        <v>1.9169229999999999</v>
      </c>
      <c r="BB270">
        <v>1.9169227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-0.35667500000000002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5.5576999999999996E-3</v>
      </c>
      <c r="CG270">
        <v>0.43022820000000001</v>
      </c>
      <c r="CH270">
        <v>0.14935999999999999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-0.93162979999999995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0.18509629999999999</v>
      </c>
      <c r="DI270">
        <v>0.86793399999999998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0.34848489999999999</v>
      </c>
      <c r="DW270">
        <v>-0.75462010000000002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13.96292</v>
      </c>
      <c r="EW270">
        <v>7.1304099999999995E-2</v>
      </c>
      <c r="EX270">
        <v>7.1334599999999998E-2</v>
      </c>
      <c r="EY270">
        <v>7.1408700000000006E-2</v>
      </c>
      <c r="EZ270">
        <v>7.1255299999999994E-2</v>
      </c>
      <c r="FA270">
        <v>7.1349200000000002E-2</v>
      </c>
      <c r="FB270">
        <v>7.1417599999999998E-2</v>
      </c>
      <c r="FC270">
        <v>7.1616200000000005E-2</v>
      </c>
      <c r="FD270">
        <v>7.1470599999999995E-2</v>
      </c>
      <c r="FE270">
        <v>7.1422100000000002E-2</v>
      </c>
      <c r="FF270">
        <v>7.14674E-2</v>
      </c>
      <c r="FG270">
        <v>7.1444099999999996E-2</v>
      </c>
      <c r="FH270">
        <v>7.1564900000000001E-2</v>
      </c>
      <c r="FI270">
        <v>7.14891E-2</v>
      </c>
      <c r="FJ270">
        <v>7.1456099999999995E-2</v>
      </c>
      <c r="FK270">
        <v>0.24268429999999999</v>
      </c>
      <c r="FL270">
        <v>5.8895700000000002E-2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0.57803649999999995</v>
      </c>
      <c r="FZ270">
        <v>0.1725469</v>
      </c>
      <c r="GA270">
        <v>-0.4021962</v>
      </c>
      <c r="GB270">
        <v>0.14628849999999999</v>
      </c>
      <c r="GC270">
        <v>-0.62042600000000003</v>
      </c>
      <c r="GD270">
        <v>-0.31767000000000001</v>
      </c>
      <c r="GE270">
        <v>-0.27966039999999998</v>
      </c>
      <c r="GF270">
        <v>-1.628522</v>
      </c>
      <c r="GG270">
        <v>-0.93077319999999997</v>
      </c>
      <c r="GH270">
        <v>-1.3071950000000001</v>
      </c>
      <c r="GI270">
        <v>1.7087589999999999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1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0.19657430000000001</v>
      </c>
      <c r="GW270">
        <v>1</v>
      </c>
      <c r="GX270">
        <v>1</v>
      </c>
      <c r="GY270">
        <v>1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-1.0588280000000001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IZ270">
        <v>1</v>
      </c>
      <c r="JA270">
        <v>1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1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KZ270">
        <v>1</v>
      </c>
      <c r="LA270">
        <v>1</v>
      </c>
      <c r="LB270">
        <v>1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1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1</v>
      </c>
      <c r="MH270">
        <v>1</v>
      </c>
      <c r="MI270">
        <v>1</v>
      </c>
      <c r="MJ270">
        <v>1</v>
      </c>
      <c r="MK270">
        <v>1</v>
      </c>
      <c r="ML270">
        <v>1</v>
      </c>
      <c r="MM270">
        <v>1</v>
      </c>
      <c r="MN270">
        <v>1</v>
      </c>
      <c r="MO270">
        <v>1</v>
      </c>
      <c r="MP270">
        <v>1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MZ270">
        <v>1</v>
      </c>
      <c r="NA270">
        <v>1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1</v>
      </c>
      <c r="NP270">
        <v>116.8749</v>
      </c>
      <c r="NQ270">
        <v>1</v>
      </c>
      <c r="NR270">
        <v>1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1</v>
      </c>
      <c r="OB270">
        <v>1</v>
      </c>
      <c r="OC270">
        <v>17.3</v>
      </c>
      <c r="OD270">
        <v>49556.7</v>
      </c>
      <c r="OE270">
        <v>0.7</v>
      </c>
      <c r="OF270">
        <v>23.8035</v>
      </c>
      <c r="OG270">
        <v>48.6</v>
      </c>
      <c r="OH270">
        <v>86.247</v>
      </c>
    </row>
    <row r="271" spans="1:398">
      <c r="A271">
        <v>25</v>
      </c>
      <c r="B271" t="s">
        <v>114</v>
      </c>
      <c r="C271" t="s">
        <v>115</v>
      </c>
      <c r="D271">
        <v>2015</v>
      </c>
      <c r="E271">
        <v>23.094000000000001</v>
      </c>
      <c r="F271">
        <v>2.0114000000000001</v>
      </c>
      <c r="G271">
        <v>439</v>
      </c>
      <c r="H271">
        <v>47.6</v>
      </c>
      <c r="I271">
        <v>83.6</v>
      </c>
      <c r="J271">
        <v>6.7</v>
      </c>
      <c r="K271">
        <v>56</v>
      </c>
      <c r="L271">
        <v>0.4</v>
      </c>
      <c r="M271">
        <v>1.4</v>
      </c>
      <c r="N271">
        <v>78165</v>
      </c>
      <c r="O271">
        <v>9.8000000000000007</v>
      </c>
      <c r="P271">
        <v>0.61</v>
      </c>
      <c r="Q271">
        <v>4665.55</v>
      </c>
      <c r="R271">
        <v>25.5</v>
      </c>
      <c r="S271">
        <v>0.243587</v>
      </c>
      <c r="T271">
        <v>0.58459709999999998</v>
      </c>
      <c r="U271">
        <v>0.27389649999999999</v>
      </c>
      <c r="V271">
        <v>-0.50849069999999996</v>
      </c>
      <c r="W271">
        <v>0.83874400000000005</v>
      </c>
      <c r="X271">
        <v>7.6838799999999999E-2</v>
      </c>
      <c r="Y271">
        <v>-0.2487152</v>
      </c>
      <c r="Z271">
        <v>-0.61583270000000001</v>
      </c>
      <c r="AA271">
        <v>-0.75105639999999996</v>
      </c>
      <c r="AB271">
        <v>-0.45308130000000002</v>
      </c>
      <c r="AC271">
        <v>-0.30442160000000001</v>
      </c>
      <c r="AD271">
        <v>-1.579518</v>
      </c>
      <c r="AE271">
        <v>-0.99686240000000004</v>
      </c>
      <c r="AF271">
        <v>-0.6681608</v>
      </c>
      <c r="AG271">
        <v>-0.1234107</v>
      </c>
      <c r="AH271">
        <v>-0.93581300000000001</v>
      </c>
      <c r="AI271">
        <v>3.1395729999999999</v>
      </c>
      <c r="AJ271">
        <v>0.69883099999999998</v>
      </c>
      <c r="AK271">
        <v>6.0844990000000001</v>
      </c>
      <c r="AL271">
        <v>4.4260440000000001</v>
      </c>
      <c r="AM271">
        <v>1.902107</v>
      </c>
      <c r="AN271">
        <v>4.0253519999999998</v>
      </c>
      <c r="AO271">
        <v>11.266579999999999</v>
      </c>
      <c r="AP271">
        <v>-0.49429630000000002</v>
      </c>
      <c r="AQ271">
        <v>8.4479620000000004</v>
      </c>
      <c r="AR271">
        <v>3.1804800000000002</v>
      </c>
      <c r="AS271">
        <v>3.9493200000000002</v>
      </c>
      <c r="AT271">
        <v>10.843500000000001</v>
      </c>
      <c r="AU271">
        <v>86.552999999999997</v>
      </c>
      <c r="AV271">
        <v>84.157200000000003</v>
      </c>
      <c r="AW271">
        <v>1.94889</v>
      </c>
      <c r="AX271" s="17">
        <v>9800000000</v>
      </c>
      <c r="AY271">
        <v>2.8959100000000002</v>
      </c>
      <c r="AZ271">
        <v>0.81</v>
      </c>
      <c r="BA271">
        <v>2.2823820000000001</v>
      </c>
      <c r="BB271">
        <v>2.2823825000000002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0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5.3201999999999998E-3</v>
      </c>
      <c r="CG271">
        <v>0.43511729999999998</v>
      </c>
      <c r="CH271">
        <v>0.15432999999999999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-0.72717540000000003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0.189327</v>
      </c>
      <c r="DI271">
        <v>0.52878409999999998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0.35244500000000001</v>
      </c>
      <c r="DW271">
        <v>-0.58901210000000004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13.962350000000001</v>
      </c>
      <c r="EW271">
        <v>7.1307599999999999E-2</v>
      </c>
      <c r="EX271">
        <v>7.1323499999999998E-2</v>
      </c>
      <c r="EY271">
        <v>7.1423899999999999E-2</v>
      </c>
      <c r="EZ271">
        <v>7.1270799999999995E-2</v>
      </c>
      <c r="FA271">
        <v>7.1356299999999998E-2</v>
      </c>
      <c r="FB271">
        <v>7.1411500000000003E-2</v>
      </c>
      <c r="FC271">
        <v>7.1616100000000002E-2</v>
      </c>
      <c r="FD271">
        <v>7.1473800000000004E-2</v>
      </c>
      <c r="FE271">
        <v>7.1425500000000003E-2</v>
      </c>
      <c r="FF271">
        <v>7.1466299999999996E-2</v>
      </c>
      <c r="FG271">
        <v>7.1404200000000001E-2</v>
      </c>
      <c r="FH271">
        <v>7.1560200000000004E-2</v>
      </c>
      <c r="FI271">
        <v>7.1501899999999993E-2</v>
      </c>
      <c r="FJ271">
        <v>7.1458400000000005E-2</v>
      </c>
      <c r="FK271">
        <v>0.24338599999999999</v>
      </c>
      <c r="FL271">
        <v>5.9236799999999999E-2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0.58459709999999998</v>
      </c>
      <c r="FZ271">
        <v>0.27389649999999999</v>
      </c>
      <c r="GA271">
        <v>-0.50849069999999996</v>
      </c>
      <c r="GB271">
        <v>7.6838799999999999E-2</v>
      </c>
      <c r="GC271">
        <v>-0.61583270000000001</v>
      </c>
      <c r="GD271">
        <v>-0.30442160000000001</v>
      </c>
      <c r="GE271">
        <v>-0.1234107</v>
      </c>
      <c r="GF271">
        <v>-1.579518</v>
      </c>
      <c r="GG271">
        <v>-0.99686240000000004</v>
      </c>
      <c r="GH271">
        <v>-1.194475</v>
      </c>
      <c r="GI271">
        <v>1.4267700000000001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1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0.1971427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-0.96752470000000002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1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IZ271">
        <v>1</v>
      </c>
      <c r="JA271">
        <v>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117.5806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18.100000000000001</v>
      </c>
      <c r="OD271">
        <v>51198</v>
      </c>
      <c r="OE271">
        <v>1</v>
      </c>
      <c r="OF271">
        <v>24.058299999999999</v>
      </c>
      <c r="OG271">
        <v>51.9</v>
      </c>
      <c r="OH271">
        <v>86.552999999999997</v>
      </c>
    </row>
    <row r="272" spans="1:398">
      <c r="A272">
        <v>25</v>
      </c>
      <c r="B272" t="s">
        <v>114</v>
      </c>
      <c r="C272" t="s">
        <v>115</v>
      </c>
      <c r="D272">
        <v>2016</v>
      </c>
      <c r="E272">
        <v>24.603000000000002</v>
      </c>
      <c r="F272">
        <v>2.0141</v>
      </c>
      <c r="G272">
        <v>452</v>
      </c>
      <c r="H272">
        <v>48.4</v>
      </c>
      <c r="I272">
        <v>83.4</v>
      </c>
      <c r="J272">
        <v>6.9</v>
      </c>
      <c r="K272">
        <v>31.8</v>
      </c>
      <c r="L272">
        <v>0.5</v>
      </c>
      <c r="M272">
        <v>1.4</v>
      </c>
      <c r="N272">
        <v>80333</v>
      </c>
      <c r="O272">
        <v>6.07</v>
      </c>
      <c r="P272">
        <v>0.62</v>
      </c>
      <c r="Q272">
        <v>4562.3599999999997</v>
      </c>
      <c r="R272">
        <v>26.4</v>
      </c>
      <c r="S272">
        <v>0.25076900000000002</v>
      </c>
      <c r="T272">
        <v>0.76793219999999995</v>
      </c>
      <c r="U272">
        <v>0.27648790000000001</v>
      </c>
      <c r="V272">
        <v>-0.4097886</v>
      </c>
      <c r="W272">
        <v>0.89024250000000005</v>
      </c>
      <c r="X272">
        <v>4.90593E-2</v>
      </c>
      <c r="Y272">
        <v>-0.21668889999999999</v>
      </c>
      <c r="Z272">
        <v>-0.6189905</v>
      </c>
      <c r="AA272">
        <v>-0.47292210000000001</v>
      </c>
      <c r="AB272">
        <v>-0.45308130000000002</v>
      </c>
      <c r="AC272">
        <v>-0.29290959999999999</v>
      </c>
      <c r="AD272">
        <v>-1.5305139999999999</v>
      </c>
      <c r="AE272">
        <v>-1.0308600000000001</v>
      </c>
      <c r="AF272">
        <v>-0.62075049999999998</v>
      </c>
      <c r="AG272">
        <v>-0.31768109999999999</v>
      </c>
      <c r="AH272">
        <v>-0.87819270000000005</v>
      </c>
      <c r="AI272">
        <v>3.202868</v>
      </c>
      <c r="AJ272">
        <v>0.70017249999999998</v>
      </c>
      <c r="AK272">
        <v>6.1136819999999998</v>
      </c>
      <c r="AL272">
        <v>4.423648</v>
      </c>
      <c r="AM272">
        <v>1.931521</v>
      </c>
      <c r="AN272">
        <v>3.4594659999999999</v>
      </c>
      <c r="AO272">
        <v>11.293939999999999</v>
      </c>
      <c r="AP272">
        <v>-0.47803580000000001</v>
      </c>
      <c r="AQ272">
        <v>8.4255949999999995</v>
      </c>
      <c r="AR272">
        <v>3.1930399999999999</v>
      </c>
      <c r="AS272">
        <v>3.9298600000000001</v>
      </c>
      <c r="AT272">
        <v>10.854100000000001</v>
      </c>
      <c r="AU272">
        <v>86.852000000000004</v>
      </c>
      <c r="AV272">
        <v>83.263800000000003</v>
      </c>
      <c r="AW272">
        <v>3.00854</v>
      </c>
      <c r="AX272" s="17">
        <v>15000000000</v>
      </c>
      <c r="AY272">
        <v>2.8507099999999999</v>
      </c>
      <c r="AZ272">
        <v>0.79</v>
      </c>
      <c r="BA272">
        <v>1.8033589999999999</v>
      </c>
      <c r="BB272">
        <v>1.8033587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-0.49429600000000001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5.3889000000000003E-3</v>
      </c>
      <c r="CG272">
        <v>0.44065880000000002</v>
      </c>
      <c r="CH272">
        <v>0.155949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-0.74898960000000003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0.1941802</v>
      </c>
      <c r="DI272">
        <v>0.56098550000000003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0.3481205</v>
      </c>
      <c r="DW272">
        <v>-0.59170180000000006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13.961959999999999</v>
      </c>
      <c r="EW272">
        <v>7.1294399999999994E-2</v>
      </c>
      <c r="EX272">
        <v>7.1326100000000003E-2</v>
      </c>
      <c r="EY272">
        <v>7.1415400000000004E-2</v>
      </c>
      <c r="EZ272">
        <v>7.1269100000000002E-2</v>
      </c>
      <c r="FA272">
        <v>7.1360400000000004E-2</v>
      </c>
      <c r="FB272">
        <v>7.1407700000000005E-2</v>
      </c>
      <c r="FC272">
        <v>7.1620100000000006E-2</v>
      </c>
      <c r="FD272">
        <v>7.1435999999999999E-2</v>
      </c>
      <c r="FE272">
        <v>7.1427900000000003E-2</v>
      </c>
      <c r="FF272">
        <v>7.1464899999999998E-2</v>
      </c>
      <c r="FG272">
        <v>7.1460599999999999E-2</v>
      </c>
      <c r="FH272">
        <v>7.1554900000000005E-2</v>
      </c>
      <c r="FI272">
        <v>7.1509100000000006E-2</v>
      </c>
      <c r="FJ272">
        <v>7.1453199999999994E-2</v>
      </c>
      <c r="FK272">
        <v>0.25055650000000002</v>
      </c>
      <c r="FL272">
        <v>6.2778600000000004E-2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0.76793219999999995</v>
      </c>
      <c r="FZ272">
        <v>0.27648790000000001</v>
      </c>
      <c r="GA272">
        <v>-0.4097886</v>
      </c>
      <c r="GB272">
        <v>4.90593E-2</v>
      </c>
      <c r="GC272">
        <v>-0.6189905</v>
      </c>
      <c r="GD272">
        <v>-0.29290959999999999</v>
      </c>
      <c r="GE272">
        <v>-0.31768109999999999</v>
      </c>
      <c r="GF272">
        <v>-1.5305139999999999</v>
      </c>
      <c r="GG272">
        <v>-1.0308600000000001</v>
      </c>
      <c r="GH272">
        <v>-1.1332610000000001</v>
      </c>
      <c r="GI272">
        <v>1.284281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1</v>
      </c>
      <c r="GQ272">
        <v>1</v>
      </c>
      <c r="GR272">
        <v>1</v>
      </c>
      <c r="GS272">
        <v>1</v>
      </c>
      <c r="GT272">
        <v>1</v>
      </c>
      <c r="GU272">
        <v>1</v>
      </c>
      <c r="GV272">
        <v>0.1979397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-0.89527650000000003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1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IZ272">
        <v>1</v>
      </c>
      <c r="JA272">
        <v>1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1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KZ272">
        <v>1</v>
      </c>
      <c r="LA272">
        <v>1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1</v>
      </c>
      <c r="LT272">
        <v>1</v>
      </c>
      <c r="LU272">
        <v>1</v>
      </c>
      <c r="LV272">
        <v>1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1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MZ272">
        <v>1</v>
      </c>
      <c r="NA272">
        <v>1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1</v>
      </c>
      <c r="NL272">
        <v>1</v>
      </c>
      <c r="NM272">
        <v>1</v>
      </c>
      <c r="NN272">
        <v>1</v>
      </c>
      <c r="NO272">
        <v>1</v>
      </c>
      <c r="NP272">
        <v>117.81189999999999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17.3</v>
      </c>
      <c r="OD272">
        <v>51746.7</v>
      </c>
      <c r="OE272">
        <v>0.61</v>
      </c>
      <c r="OF272">
        <v>24.362400000000001</v>
      </c>
      <c r="OG272">
        <v>50.9</v>
      </c>
      <c r="OH272">
        <v>86.852000000000004</v>
      </c>
    </row>
    <row r="273" spans="1:398">
      <c r="A273">
        <v>25</v>
      </c>
      <c r="B273" t="s">
        <v>114</v>
      </c>
      <c r="C273" t="s">
        <v>115</v>
      </c>
      <c r="D273">
        <v>2017</v>
      </c>
      <c r="E273">
        <v>22.815000000000001</v>
      </c>
      <c r="F273">
        <v>1.9456</v>
      </c>
      <c r="G273">
        <v>459</v>
      </c>
      <c r="H273">
        <v>46.8</v>
      </c>
      <c r="I273">
        <v>83.5</v>
      </c>
      <c r="J273">
        <v>6.7</v>
      </c>
      <c r="K273">
        <v>46.1</v>
      </c>
      <c r="L273">
        <v>0.5</v>
      </c>
      <c r="M273">
        <v>1.5</v>
      </c>
      <c r="N273">
        <v>83566</v>
      </c>
      <c r="O273">
        <v>13.98</v>
      </c>
      <c r="P273">
        <v>0.63</v>
      </c>
      <c r="Q273">
        <v>4403.37</v>
      </c>
      <c r="R273">
        <v>25.4</v>
      </c>
      <c r="S273">
        <v>0.25162699999999999</v>
      </c>
      <c r="T273">
        <v>0.55070019999999997</v>
      </c>
      <c r="U273">
        <v>0.21074499999999999</v>
      </c>
      <c r="V273">
        <v>-0.3566414</v>
      </c>
      <c r="W273">
        <v>0.7872458</v>
      </c>
      <c r="X273">
        <v>6.2949099999999994E-2</v>
      </c>
      <c r="Y273">
        <v>-0.2487152</v>
      </c>
      <c r="Z273">
        <v>-0.61712460000000002</v>
      </c>
      <c r="AA273">
        <v>-0.47292210000000001</v>
      </c>
      <c r="AB273">
        <v>-0.32115470000000002</v>
      </c>
      <c r="AC273">
        <v>-0.2757424</v>
      </c>
      <c r="AD273">
        <v>-1.4815100000000001</v>
      </c>
      <c r="AE273">
        <v>-1.08324</v>
      </c>
      <c r="AF273">
        <v>-0.67342860000000004</v>
      </c>
      <c r="AG273">
        <v>9.4297199999999998E-2</v>
      </c>
      <c r="AH273">
        <v>-0.81037579999999998</v>
      </c>
      <c r="AI273">
        <v>3.127418</v>
      </c>
      <c r="AJ273">
        <v>0.66557040000000001</v>
      </c>
      <c r="AK273">
        <v>6.1290500000000003</v>
      </c>
      <c r="AL273">
        <v>4.4248469999999998</v>
      </c>
      <c r="AM273">
        <v>1.902107</v>
      </c>
      <c r="AN273">
        <v>3.830813</v>
      </c>
      <c r="AO273">
        <v>11.33339</v>
      </c>
      <c r="AP273">
        <v>-0.46203549999999999</v>
      </c>
      <c r="AQ273">
        <v>8.3901260000000004</v>
      </c>
      <c r="AR273">
        <v>3.2065199999999998</v>
      </c>
      <c r="AS273">
        <v>3.94739</v>
      </c>
      <c r="AT273">
        <v>10.858700000000001</v>
      </c>
      <c r="AU273">
        <v>87.146000000000001</v>
      </c>
      <c r="AV273">
        <v>85.921199999999999</v>
      </c>
      <c r="AW273">
        <v>4.5338399999999996</v>
      </c>
      <c r="AX273" s="17">
        <v>24000000000</v>
      </c>
      <c r="AY273">
        <v>2.8847999999999998</v>
      </c>
      <c r="AZ273">
        <v>0.78</v>
      </c>
      <c r="BA273">
        <v>2.6376279999999999</v>
      </c>
      <c r="BB273">
        <v>2.6376276000000001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0.32930399999999999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5.1673999999999999E-3</v>
      </c>
      <c r="CG273">
        <v>0.44118980000000002</v>
      </c>
      <c r="CH273">
        <v>0.16284299999999999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-0.61613830000000003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0.1946484</v>
      </c>
      <c r="DI273">
        <v>0.37962639999999997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0.34412799999999999</v>
      </c>
      <c r="DW273">
        <v>-0.48058780000000001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13.960850000000001</v>
      </c>
      <c r="EW273">
        <v>7.1320700000000001E-2</v>
      </c>
      <c r="EX273">
        <v>7.1342500000000003E-2</v>
      </c>
      <c r="EY273">
        <v>7.1415699999999999E-2</v>
      </c>
      <c r="EZ273">
        <v>7.1286600000000006E-2</v>
      </c>
      <c r="FA273">
        <v>7.1366200000000005E-2</v>
      </c>
      <c r="FB273">
        <v>7.14201E-2</v>
      </c>
      <c r="FC273">
        <v>7.1624599999999997E-2</v>
      </c>
      <c r="FD273">
        <v>7.1442099999999994E-2</v>
      </c>
      <c r="FE273">
        <v>7.1416199999999999E-2</v>
      </c>
      <c r="FF273">
        <v>7.1465399999999998E-2</v>
      </c>
      <c r="FG273">
        <v>7.1356299999999998E-2</v>
      </c>
      <c r="FH273">
        <v>7.15533E-2</v>
      </c>
      <c r="FI273">
        <v>7.1522699999999995E-2</v>
      </c>
      <c r="FJ273">
        <v>7.1467500000000003E-2</v>
      </c>
      <c r="FK273">
        <v>0.25144850000000002</v>
      </c>
      <c r="FL273">
        <v>6.3226299999999999E-2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0.55070019999999997</v>
      </c>
      <c r="FZ273">
        <v>0.21074499999999999</v>
      </c>
      <c r="GA273">
        <v>-0.3566414</v>
      </c>
      <c r="GB273">
        <v>6.2949099999999994E-2</v>
      </c>
      <c r="GC273">
        <v>-0.61712460000000002</v>
      </c>
      <c r="GD273">
        <v>-0.2757424</v>
      </c>
      <c r="GE273">
        <v>9.4297199999999998E-2</v>
      </c>
      <c r="GF273">
        <v>-1.4815100000000001</v>
      </c>
      <c r="GG273">
        <v>-1.08324</v>
      </c>
      <c r="GH273">
        <v>-0.99792829999999999</v>
      </c>
      <c r="GI273">
        <v>0.99586079999999999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1</v>
      </c>
      <c r="GS273">
        <v>1</v>
      </c>
      <c r="GT273">
        <v>1</v>
      </c>
      <c r="GU273">
        <v>1</v>
      </c>
      <c r="GV273">
        <v>0.19612979999999999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-0.77838399999999996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1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1</v>
      </c>
      <c r="MF273">
        <v>1</v>
      </c>
      <c r="MG273">
        <v>1</v>
      </c>
      <c r="MH273">
        <v>1</v>
      </c>
      <c r="MI273">
        <v>1</v>
      </c>
      <c r="MJ273">
        <v>1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1</v>
      </c>
      <c r="MS273">
        <v>1</v>
      </c>
      <c r="MT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MZ273">
        <v>1</v>
      </c>
      <c r="NA273">
        <v>1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1</v>
      </c>
      <c r="NN273">
        <v>1</v>
      </c>
      <c r="NO273">
        <v>1</v>
      </c>
      <c r="NP273">
        <v>117.91200000000001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1</v>
      </c>
      <c r="OA273">
        <v>1</v>
      </c>
      <c r="OB273">
        <v>1</v>
      </c>
      <c r="OC273">
        <v>17.899999999999999</v>
      </c>
      <c r="OD273">
        <v>51985.9</v>
      </c>
      <c r="OE273">
        <v>1.39</v>
      </c>
      <c r="OF273">
        <v>24.692900000000002</v>
      </c>
      <c r="OG273">
        <v>51.8</v>
      </c>
      <c r="OH273">
        <v>87.146000000000001</v>
      </c>
    </row>
    <row r="274" spans="1:398">
      <c r="A274">
        <v>25</v>
      </c>
      <c r="B274" t="s">
        <v>114</v>
      </c>
      <c r="C274" t="s">
        <v>115</v>
      </c>
      <c r="D274">
        <v>2018</v>
      </c>
      <c r="E274">
        <v>25.068999999999999</v>
      </c>
      <c r="F274">
        <v>1.9154</v>
      </c>
      <c r="G274">
        <v>472</v>
      </c>
      <c r="H274">
        <v>45.8</v>
      </c>
      <c r="I274">
        <v>83.3</v>
      </c>
      <c r="J274">
        <v>6.6</v>
      </c>
      <c r="K274">
        <v>19.100000000000001</v>
      </c>
      <c r="L274">
        <v>0.4</v>
      </c>
      <c r="M274">
        <v>1.4</v>
      </c>
      <c r="N274">
        <v>80130</v>
      </c>
      <c r="O274">
        <v>19.170000000000002</v>
      </c>
      <c r="P274">
        <v>0.64</v>
      </c>
      <c r="Q274">
        <v>3890.92</v>
      </c>
      <c r="R274">
        <v>26.8</v>
      </c>
      <c r="S274">
        <v>0.25153199999999998</v>
      </c>
      <c r="T274">
        <v>0.82454850000000002</v>
      </c>
      <c r="U274">
        <v>0.18176049999999999</v>
      </c>
      <c r="V274">
        <v>-0.25793929999999998</v>
      </c>
      <c r="W274">
        <v>0.72287290000000004</v>
      </c>
      <c r="X274">
        <v>3.5169600000000002E-2</v>
      </c>
      <c r="Y274">
        <v>-0.26472820000000002</v>
      </c>
      <c r="Z274">
        <v>-0.62064779999999997</v>
      </c>
      <c r="AA274">
        <v>-0.75105639999999996</v>
      </c>
      <c r="AB274">
        <v>-0.45308130000000002</v>
      </c>
      <c r="AC274">
        <v>-0.29398750000000001</v>
      </c>
      <c r="AD274">
        <v>-1.4325060000000001</v>
      </c>
      <c r="AE274">
        <v>-1.2520739999999999</v>
      </c>
      <c r="AF274">
        <v>-0.59967930000000003</v>
      </c>
      <c r="AG274">
        <v>0.36460930000000003</v>
      </c>
      <c r="AH274">
        <v>-0.84259709999999999</v>
      </c>
      <c r="AI274">
        <v>3.2216320000000001</v>
      </c>
      <c r="AJ274">
        <v>0.64992649999999996</v>
      </c>
      <c r="AK274">
        <v>6.1569789999999998</v>
      </c>
      <c r="AL274">
        <v>4.4224490000000003</v>
      </c>
      <c r="AM274">
        <v>1.88707</v>
      </c>
      <c r="AN274">
        <v>2.9496880000000001</v>
      </c>
      <c r="AO274">
        <v>11.291410000000001</v>
      </c>
      <c r="AP274">
        <v>-0.44628709999999999</v>
      </c>
      <c r="AQ274">
        <v>8.2664000000000009</v>
      </c>
      <c r="AR274">
        <v>3.21814</v>
      </c>
      <c r="AS274">
        <v>3.9435199999999999</v>
      </c>
      <c r="AT274">
        <v>10.866</v>
      </c>
      <c r="AU274">
        <v>87.430999999999997</v>
      </c>
      <c r="AV274">
        <v>90.1297</v>
      </c>
      <c r="AW274">
        <v>-0.12953700000000001</v>
      </c>
      <c r="AX274" s="17">
        <v>-710000000</v>
      </c>
      <c r="AY274">
        <v>2.9014199999999999</v>
      </c>
      <c r="AZ274">
        <v>0.78</v>
      </c>
      <c r="BA274">
        <v>2.9533459999999998</v>
      </c>
      <c r="BB274">
        <v>2.9533464999999999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0.63127200000000006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5.0210000000000003E-3</v>
      </c>
      <c r="CG274">
        <v>0.4327858</v>
      </c>
      <c r="CH274">
        <v>0.164769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-0.79465479999999999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0.18730359999999999</v>
      </c>
      <c r="DI274">
        <v>0.63147629999999999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0.33757290000000001</v>
      </c>
      <c r="DW274">
        <v>-0.61983069999999996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13.960789999999999</v>
      </c>
      <c r="EW274">
        <v>7.1297899999999997E-2</v>
      </c>
      <c r="EX274">
        <v>7.1347999999999995E-2</v>
      </c>
      <c r="EY274">
        <v>7.1405800000000005E-2</v>
      </c>
      <c r="EZ274">
        <v>7.1294800000000005E-2</v>
      </c>
      <c r="FA274">
        <v>7.1368600000000004E-2</v>
      </c>
      <c r="FB274">
        <v>7.1424100000000004E-2</v>
      </c>
      <c r="FC274">
        <v>7.1627300000000005E-2</v>
      </c>
      <c r="FD274">
        <v>7.1482599999999993E-2</v>
      </c>
      <c r="FE274">
        <v>7.1434700000000004E-2</v>
      </c>
      <c r="FF274">
        <v>7.1471800000000002E-2</v>
      </c>
      <c r="FG274">
        <v>7.1291900000000005E-2</v>
      </c>
      <c r="FH274">
        <v>7.1546499999999999E-2</v>
      </c>
      <c r="FI274">
        <v>7.1549500000000002E-2</v>
      </c>
      <c r="FJ274">
        <v>7.1456500000000006E-2</v>
      </c>
      <c r="FK274">
        <v>0.25133729999999999</v>
      </c>
      <c r="FL274">
        <v>6.3170400000000002E-2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0.82454850000000002</v>
      </c>
      <c r="FZ274">
        <v>0.18176049999999999</v>
      </c>
      <c r="GA274">
        <v>-0.25793929999999998</v>
      </c>
      <c r="GB274">
        <v>3.5169600000000002E-2</v>
      </c>
      <c r="GC274">
        <v>-0.62064779999999997</v>
      </c>
      <c r="GD274">
        <v>-0.29398750000000001</v>
      </c>
      <c r="GE274">
        <v>0.36460930000000003</v>
      </c>
      <c r="GF274">
        <v>-1.4325060000000001</v>
      </c>
      <c r="GG274">
        <v>-1.2520739999999999</v>
      </c>
      <c r="GH274">
        <v>-1.046036</v>
      </c>
      <c r="GI274">
        <v>1.0941920000000001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0.1960431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-0.81590830000000003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1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IZ274">
        <v>1</v>
      </c>
      <c r="JA274">
        <v>1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1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KZ274">
        <v>1</v>
      </c>
      <c r="LA274">
        <v>1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1</v>
      </c>
      <c r="LR274">
        <v>1</v>
      </c>
      <c r="LS274">
        <v>1</v>
      </c>
      <c r="LT274">
        <v>1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1</v>
      </c>
      <c r="MT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MZ274">
        <v>1</v>
      </c>
      <c r="NA274">
        <v>1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1</v>
      </c>
      <c r="NJ274">
        <v>1</v>
      </c>
      <c r="NK274">
        <v>1</v>
      </c>
      <c r="NL274">
        <v>1</v>
      </c>
      <c r="NM274">
        <v>1</v>
      </c>
      <c r="NN274">
        <v>1</v>
      </c>
      <c r="NO274">
        <v>1</v>
      </c>
      <c r="NP274">
        <v>118.06910000000001</v>
      </c>
      <c r="NQ274">
        <v>1</v>
      </c>
      <c r="NR274">
        <v>1</v>
      </c>
      <c r="NS274">
        <v>1</v>
      </c>
      <c r="NT274">
        <v>1</v>
      </c>
      <c r="NU274">
        <v>1</v>
      </c>
      <c r="NV274">
        <v>1</v>
      </c>
      <c r="NW274">
        <v>1</v>
      </c>
      <c r="NX274">
        <v>1</v>
      </c>
      <c r="NY274">
        <v>1</v>
      </c>
      <c r="NZ274">
        <v>1</v>
      </c>
      <c r="OA274">
        <v>1</v>
      </c>
      <c r="OB274">
        <v>1</v>
      </c>
      <c r="OC274">
        <v>18.2</v>
      </c>
      <c r="OD274">
        <v>52363.4</v>
      </c>
      <c r="OE274">
        <v>1.88</v>
      </c>
      <c r="OF274">
        <v>24.9815</v>
      </c>
      <c r="OG274">
        <v>51.6</v>
      </c>
      <c r="OH274">
        <v>87.430999999999997</v>
      </c>
    </row>
    <row r="275" spans="1:398">
      <c r="A275">
        <v>25</v>
      </c>
      <c r="B275" t="s">
        <v>114</v>
      </c>
      <c r="C275" t="s">
        <v>115</v>
      </c>
      <c r="D275">
        <v>2019</v>
      </c>
      <c r="E275">
        <v>24.677</v>
      </c>
      <c r="F275">
        <v>1.8713</v>
      </c>
      <c r="G275">
        <v>484</v>
      </c>
      <c r="H275">
        <v>46.6</v>
      </c>
      <c r="I275">
        <v>86.6</v>
      </c>
      <c r="J275">
        <v>6.4</v>
      </c>
      <c r="K275">
        <v>54.2</v>
      </c>
      <c r="L275">
        <v>0.4</v>
      </c>
      <c r="M275">
        <v>1.3</v>
      </c>
      <c r="N275">
        <v>81185</v>
      </c>
      <c r="O275">
        <v>14.41</v>
      </c>
      <c r="P275">
        <v>0.64</v>
      </c>
      <c r="Q275">
        <v>3378.46</v>
      </c>
      <c r="R275">
        <v>25</v>
      </c>
      <c r="S275">
        <v>0.24703800000000001</v>
      </c>
      <c r="T275">
        <v>0.77692260000000002</v>
      </c>
      <c r="U275">
        <v>0.13943549999999999</v>
      </c>
      <c r="V275">
        <v>-0.1668297</v>
      </c>
      <c r="W275">
        <v>0.77437109999999998</v>
      </c>
      <c r="X275">
        <v>0.49353720000000001</v>
      </c>
      <c r="Y275">
        <v>-0.29675439999999997</v>
      </c>
      <c r="Z275">
        <v>-0.61606760000000005</v>
      </c>
      <c r="AA275">
        <v>-0.75105639999999996</v>
      </c>
      <c r="AB275">
        <v>-0.58500799999999997</v>
      </c>
      <c r="AC275">
        <v>-0.28838550000000002</v>
      </c>
      <c r="AD275">
        <v>-1.4325060000000001</v>
      </c>
      <c r="AE275">
        <v>-1.4209080000000001</v>
      </c>
      <c r="AF275">
        <v>-0.69449989999999995</v>
      </c>
      <c r="AG275">
        <v>0.11669300000000001</v>
      </c>
      <c r="AH275">
        <v>-1.00665</v>
      </c>
      <c r="AI275">
        <v>3.2058719999999998</v>
      </c>
      <c r="AJ275">
        <v>0.62663329999999995</v>
      </c>
      <c r="AK275">
        <v>6.1820849999999998</v>
      </c>
      <c r="AL275">
        <v>4.4612999999999996</v>
      </c>
      <c r="AM275">
        <v>1.856298</v>
      </c>
      <c r="AN275">
        <v>3.9926810000000001</v>
      </c>
      <c r="AO275">
        <v>11.304489999999999</v>
      </c>
      <c r="AP275">
        <v>-0.44628709999999999</v>
      </c>
      <c r="AQ275">
        <v>8.1251750000000005</v>
      </c>
      <c r="AR275">
        <v>3.2283499999999998</v>
      </c>
      <c r="AS275">
        <v>3.9683999999999999</v>
      </c>
      <c r="AT275">
        <v>10.881</v>
      </c>
      <c r="AU275">
        <v>87.707999999999998</v>
      </c>
      <c r="AV275">
        <v>92.521100000000004</v>
      </c>
      <c r="AW275">
        <v>2.98448</v>
      </c>
      <c r="AX275" s="17">
        <v>16000000000</v>
      </c>
      <c r="AY275">
        <v>2.9338600000000001</v>
      </c>
      <c r="AZ275">
        <v>0.79</v>
      </c>
      <c r="BA275">
        <v>2.6679219999999999</v>
      </c>
      <c r="BB275">
        <v>2.6679225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0.33647199999999999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5.0913E-3</v>
      </c>
      <c r="CG275">
        <v>0.43320520000000001</v>
      </c>
      <c r="CH275">
        <v>0.15659400000000001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-0.80446470000000003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0.18766669999999999</v>
      </c>
      <c r="DI275">
        <v>0.6471635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0.34223209999999998</v>
      </c>
      <c r="DW275">
        <v>-0.63552710000000001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13.962249999999999</v>
      </c>
      <c r="EW275">
        <v>7.1295899999999995E-2</v>
      </c>
      <c r="EX275">
        <v>7.1347800000000003E-2</v>
      </c>
      <c r="EY275">
        <v>7.1389099999999997E-2</v>
      </c>
      <c r="EZ275">
        <v>7.12835E-2</v>
      </c>
      <c r="FA275">
        <v>7.1340500000000001E-2</v>
      </c>
      <c r="FB275">
        <v>7.1423399999999998E-2</v>
      </c>
      <c r="FC275">
        <v>7.1616700000000005E-2</v>
      </c>
      <c r="FD275">
        <v>7.1475399999999994E-2</v>
      </c>
      <c r="FE275">
        <v>7.1445800000000004E-2</v>
      </c>
      <c r="FF275">
        <v>7.1462800000000007E-2</v>
      </c>
      <c r="FG275">
        <v>7.1345599999999995E-2</v>
      </c>
      <c r="FH275">
        <v>7.1539099999999994E-2</v>
      </c>
      <c r="FI275">
        <v>7.15702E-2</v>
      </c>
      <c r="FJ275">
        <v>7.1464200000000005E-2</v>
      </c>
      <c r="FK275">
        <v>0.2468224</v>
      </c>
      <c r="FL275">
        <v>6.0921299999999998E-2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0.77692260000000002</v>
      </c>
      <c r="FZ275">
        <v>0.13943549999999999</v>
      </c>
      <c r="GA275">
        <v>-0.1668297</v>
      </c>
      <c r="GB275">
        <v>0.49353720000000001</v>
      </c>
      <c r="GC275">
        <v>-0.61606760000000005</v>
      </c>
      <c r="GD275">
        <v>-0.28838550000000002</v>
      </c>
      <c r="GE275">
        <v>0.11669300000000001</v>
      </c>
      <c r="GF275">
        <v>-1.4325060000000001</v>
      </c>
      <c r="GG275">
        <v>-1.4209080000000001</v>
      </c>
      <c r="GH275">
        <v>-1.2640610000000001</v>
      </c>
      <c r="GI275">
        <v>1.59785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0.19498969999999999</v>
      </c>
      <c r="GW275">
        <v>1</v>
      </c>
      <c r="GX275">
        <v>1</v>
      </c>
      <c r="GY275">
        <v>1</v>
      </c>
      <c r="GZ275">
        <v>1</v>
      </c>
      <c r="HA275">
        <v>1</v>
      </c>
      <c r="HB275">
        <v>1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-0.9986081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1</v>
      </c>
      <c r="IU275">
        <v>1</v>
      </c>
      <c r="IV275">
        <v>1</v>
      </c>
      <c r="IW275">
        <v>1</v>
      </c>
      <c r="IX275">
        <v>1</v>
      </c>
      <c r="IY275">
        <v>1</v>
      </c>
      <c r="IZ275">
        <v>1</v>
      </c>
      <c r="JA275">
        <v>1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1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1</v>
      </c>
      <c r="KU275">
        <v>1</v>
      </c>
      <c r="KV275">
        <v>1</v>
      </c>
      <c r="KW275">
        <v>1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1</v>
      </c>
      <c r="LU275">
        <v>1</v>
      </c>
      <c r="LV275">
        <v>1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G275">
        <v>1</v>
      </c>
      <c r="MH275">
        <v>1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1</v>
      </c>
      <c r="MS275">
        <v>1</v>
      </c>
      <c r="MT275">
        <v>1</v>
      </c>
      <c r="MU275">
        <v>1</v>
      </c>
      <c r="MV275">
        <v>1</v>
      </c>
      <c r="MW275">
        <v>1</v>
      </c>
      <c r="MX275">
        <v>1</v>
      </c>
      <c r="MY275">
        <v>1</v>
      </c>
      <c r="MZ275">
        <v>1</v>
      </c>
      <c r="NA275">
        <v>1</v>
      </c>
      <c r="NB275">
        <v>1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1</v>
      </c>
      <c r="NI275">
        <v>1</v>
      </c>
      <c r="NJ275">
        <v>1</v>
      </c>
      <c r="NK275">
        <v>1</v>
      </c>
      <c r="NL275">
        <v>1</v>
      </c>
      <c r="NM275">
        <v>1</v>
      </c>
      <c r="NN275">
        <v>1</v>
      </c>
      <c r="NO275">
        <v>1</v>
      </c>
      <c r="NP275">
        <v>118.3961</v>
      </c>
      <c r="NQ275">
        <v>1</v>
      </c>
      <c r="NR275">
        <v>1</v>
      </c>
      <c r="NS275">
        <v>1</v>
      </c>
      <c r="NT275">
        <v>1</v>
      </c>
      <c r="NU275">
        <v>1</v>
      </c>
      <c r="NV275">
        <v>1</v>
      </c>
      <c r="NW275">
        <v>1</v>
      </c>
      <c r="NX275">
        <v>1</v>
      </c>
      <c r="NY275">
        <v>1</v>
      </c>
      <c r="NZ275">
        <v>1</v>
      </c>
      <c r="OA275">
        <v>1</v>
      </c>
      <c r="OB275">
        <v>1</v>
      </c>
      <c r="OC275">
        <v>18.8</v>
      </c>
      <c r="OD275">
        <v>53156.9</v>
      </c>
      <c r="OE275">
        <v>1.4</v>
      </c>
      <c r="OF275">
        <v>25.2379</v>
      </c>
      <c r="OG275">
        <v>52.9</v>
      </c>
      <c r="OH275">
        <v>87.707999999999998</v>
      </c>
    </row>
    <row r="276" spans="1:398">
      <c r="A276">
        <v>25</v>
      </c>
      <c r="B276" t="s">
        <v>114</v>
      </c>
      <c r="C276" t="s">
        <v>115</v>
      </c>
      <c r="D276">
        <v>2020</v>
      </c>
      <c r="E276">
        <v>23.649000000000001</v>
      </c>
      <c r="F276">
        <v>1.9179999999999999</v>
      </c>
      <c r="G276">
        <v>504</v>
      </c>
      <c r="H276">
        <v>38.299999999999997</v>
      </c>
      <c r="I276">
        <v>74.099999999999994</v>
      </c>
      <c r="J276">
        <v>6.9</v>
      </c>
      <c r="K276">
        <v>35.9</v>
      </c>
      <c r="L276">
        <v>0.5</v>
      </c>
      <c r="M276">
        <v>1.5</v>
      </c>
      <c r="N276">
        <v>83884</v>
      </c>
      <c r="O276">
        <v>4.72</v>
      </c>
      <c r="P276">
        <v>0.64</v>
      </c>
      <c r="Q276">
        <v>2866</v>
      </c>
      <c r="R276">
        <v>23.7</v>
      </c>
      <c r="S276">
        <v>0.22513900000000001</v>
      </c>
      <c r="T276">
        <v>0.65202649999999995</v>
      </c>
      <c r="U276">
        <v>0.1842558</v>
      </c>
      <c r="V276">
        <v>-1.49804E-2</v>
      </c>
      <c r="W276">
        <v>0.24007619999999999</v>
      </c>
      <c r="X276">
        <v>-1.2427060000000001</v>
      </c>
      <c r="Y276">
        <v>-0.21668889999999999</v>
      </c>
      <c r="Z276">
        <v>-0.61845550000000005</v>
      </c>
      <c r="AA276">
        <v>-0.47292210000000001</v>
      </c>
      <c r="AB276">
        <v>-0.32115470000000002</v>
      </c>
      <c r="AC276">
        <v>-0.27405390000000002</v>
      </c>
      <c r="AD276">
        <v>-1.4325060000000001</v>
      </c>
      <c r="AE276">
        <v>-1.5897410000000001</v>
      </c>
      <c r="AF276">
        <v>-0.76298140000000003</v>
      </c>
      <c r="AG276">
        <v>-0.38799349999999999</v>
      </c>
      <c r="AH276">
        <v>-1.0606439999999999</v>
      </c>
      <c r="AI276">
        <v>3.1633209999999998</v>
      </c>
      <c r="AJ276">
        <v>0.65128299999999995</v>
      </c>
      <c r="AK276">
        <v>6.2225760000000001</v>
      </c>
      <c r="AL276">
        <v>4.3054160000000001</v>
      </c>
      <c r="AM276">
        <v>1.931521</v>
      </c>
      <c r="AN276">
        <v>3.5807370000000001</v>
      </c>
      <c r="AO276">
        <v>11.33719</v>
      </c>
      <c r="AP276">
        <v>-0.44628709999999999</v>
      </c>
      <c r="AQ276">
        <v>7.960674</v>
      </c>
      <c r="AR276">
        <v>3.2355700000000001</v>
      </c>
      <c r="AS276">
        <v>4.0569899999999999</v>
      </c>
      <c r="AT276">
        <v>10.8535</v>
      </c>
      <c r="AU276">
        <v>87.977000000000004</v>
      </c>
      <c r="AV276">
        <v>84.330799999999996</v>
      </c>
      <c r="AW276">
        <v>3.39683</v>
      </c>
      <c r="AX276" s="17">
        <v>19000000000</v>
      </c>
      <c r="AY276">
        <v>2.9549099999999999</v>
      </c>
      <c r="AZ276">
        <v>0.78</v>
      </c>
      <c r="BA276">
        <v>1.551809</v>
      </c>
      <c r="BB276">
        <v>1.5518087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-0.77652900000000002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4.0803000000000002E-3</v>
      </c>
      <c r="CG276">
        <v>0.40721580000000002</v>
      </c>
      <c r="CH276">
        <v>0.14507400000000001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-1.0036639999999999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0.16582469999999999</v>
      </c>
      <c r="DI276">
        <v>1.007342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0.31762829999999997</v>
      </c>
      <c r="DW276">
        <v>-0.78285800000000005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13.96529</v>
      </c>
      <c r="EW276">
        <v>7.1292700000000001E-2</v>
      </c>
      <c r="EX276">
        <v>7.1326500000000001E-2</v>
      </c>
      <c r="EY276">
        <v>7.13583E-2</v>
      </c>
      <c r="EZ276">
        <v>7.1323800000000007E-2</v>
      </c>
      <c r="FA276">
        <v>7.1409799999999996E-2</v>
      </c>
      <c r="FB276">
        <v>7.1392700000000003E-2</v>
      </c>
      <c r="FC276">
        <v>7.1602700000000005E-2</v>
      </c>
      <c r="FD276">
        <v>7.1420300000000006E-2</v>
      </c>
      <c r="FE276">
        <v>7.1394899999999997E-2</v>
      </c>
      <c r="FF276">
        <v>7.1443000000000006E-2</v>
      </c>
      <c r="FG276">
        <v>7.1465899999999999E-2</v>
      </c>
      <c r="FH276">
        <v>7.1523600000000007E-2</v>
      </c>
      <c r="FI276">
        <v>7.1585999999999997E-2</v>
      </c>
      <c r="FJ276">
        <v>7.1459900000000007E-2</v>
      </c>
      <c r="FK276">
        <v>0.2249594</v>
      </c>
      <c r="FL276">
        <v>5.0606699999999998E-2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0.65202649999999995</v>
      </c>
      <c r="FZ276">
        <v>0.1842558</v>
      </c>
      <c r="GA276">
        <v>-1.49804E-2</v>
      </c>
      <c r="GB276">
        <v>-1.2427060000000001</v>
      </c>
      <c r="GC276">
        <v>-0.61845550000000005</v>
      </c>
      <c r="GD276">
        <v>-0.27405390000000002</v>
      </c>
      <c r="GE276">
        <v>-0.38799349999999999</v>
      </c>
      <c r="GF276">
        <v>-1.4325060000000001</v>
      </c>
      <c r="GG276">
        <v>-1.5897410000000001</v>
      </c>
      <c r="GH276">
        <v>-1.339469</v>
      </c>
      <c r="GI276">
        <v>1.7941780000000001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0.17546829999999999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-1.044786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1</v>
      </c>
      <c r="KV276">
        <v>1</v>
      </c>
      <c r="KW276">
        <v>1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1</v>
      </c>
      <c r="MV276">
        <v>1</v>
      </c>
      <c r="MW276">
        <v>1</v>
      </c>
      <c r="MX276">
        <v>1</v>
      </c>
      <c r="MY276">
        <v>1</v>
      </c>
      <c r="MZ276">
        <v>1</v>
      </c>
      <c r="NA276">
        <v>1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1</v>
      </c>
      <c r="NN276">
        <v>1</v>
      </c>
      <c r="NO276">
        <v>1</v>
      </c>
      <c r="NP276">
        <v>117.7989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19.2</v>
      </c>
      <c r="OD276">
        <v>51715.8</v>
      </c>
      <c r="OE276">
        <v>0.46</v>
      </c>
      <c r="OF276">
        <v>25.4209</v>
      </c>
      <c r="OG276">
        <v>57.8</v>
      </c>
      <c r="OH276">
        <v>87.977000000000004</v>
      </c>
    </row>
    <row r="277" spans="1:398">
      <c r="A277">
        <v>26</v>
      </c>
      <c r="B277" t="s">
        <v>116</v>
      </c>
      <c r="C277" t="s">
        <v>117</v>
      </c>
      <c r="D277">
        <v>2010</v>
      </c>
      <c r="E277">
        <v>19.071999999999999</v>
      </c>
      <c r="F277">
        <v>1.1600999999999999</v>
      </c>
      <c r="G277">
        <v>396</v>
      </c>
      <c r="H277">
        <v>22.4</v>
      </c>
      <c r="I277">
        <v>78.5</v>
      </c>
      <c r="J277">
        <v>5.9</v>
      </c>
      <c r="K277">
        <v>804.5</v>
      </c>
      <c r="L277">
        <v>0.5</v>
      </c>
      <c r="M277">
        <v>1.5</v>
      </c>
      <c r="N277">
        <v>14076</v>
      </c>
      <c r="O277">
        <v>-0.7</v>
      </c>
      <c r="P277">
        <v>1.21</v>
      </c>
      <c r="Q277">
        <v>6916.87</v>
      </c>
      <c r="R277">
        <v>37.799999999999997</v>
      </c>
      <c r="S277">
        <v>0.24878500000000001</v>
      </c>
      <c r="T277">
        <v>9.5946699999999996E-2</v>
      </c>
      <c r="U277">
        <v>-0.54313869999999997</v>
      </c>
      <c r="V277">
        <v>-0.83496669999999995</v>
      </c>
      <c r="W277">
        <v>-0.78345279999999995</v>
      </c>
      <c r="X277">
        <v>-0.63154829999999995</v>
      </c>
      <c r="Y277">
        <v>-0.37681989999999999</v>
      </c>
      <c r="Z277">
        <v>-0.51815999999999995</v>
      </c>
      <c r="AA277">
        <v>-0.47292190000000001</v>
      </c>
      <c r="AB277">
        <v>-0.32115470000000002</v>
      </c>
      <c r="AC277">
        <v>-0.64473270000000005</v>
      </c>
      <c r="AD277">
        <v>1.3607320000000001</v>
      </c>
      <c r="AE277">
        <v>-0.2551448</v>
      </c>
      <c r="AF277">
        <v>-2.0219899999999999E-2</v>
      </c>
      <c r="AG277">
        <v>-0.67028469999999996</v>
      </c>
      <c r="AH277">
        <v>-1.1188400000000001</v>
      </c>
      <c r="AI277">
        <v>2.9482210000000002</v>
      </c>
      <c r="AJ277">
        <v>0.1485062</v>
      </c>
      <c r="AK277">
        <v>5.981414</v>
      </c>
      <c r="AL277">
        <v>4.3630990000000001</v>
      </c>
      <c r="AM277">
        <v>1.7749520000000001</v>
      </c>
      <c r="AN277">
        <v>6.6902210000000002</v>
      </c>
      <c r="AO277">
        <v>9.5522259999999992</v>
      </c>
      <c r="AP277">
        <v>0.1906204</v>
      </c>
      <c r="AQ277">
        <v>8.8417189999999994</v>
      </c>
      <c r="AR277">
        <v>4.6218899999999996</v>
      </c>
      <c r="AS277">
        <v>3.0007199999999998</v>
      </c>
      <c r="AT277">
        <v>9.9254499999999997</v>
      </c>
      <c r="AU277">
        <v>52.658000000000001</v>
      </c>
      <c r="AV277">
        <v>128.607</v>
      </c>
      <c r="AW277">
        <v>0.66776100000000005</v>
      </c>
      <c r="AX277" s="17">
        <v>320000000</v>
      </c>
      <c r="AY277">
        <v>3.0445199999999999</v>
      </c>
      <c r="AZ277">
        <v>0.52</v>
      </c>
      <c r="BB277">
        <v>-3.3141861000000001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-3.43865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2.1786000000000002E-3</v>
      </c>
      <c r="CG277">
        <v>0.43061129999999997</v>
      </c>
      <c r="CH277">
        <v>0.139849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-1.412703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0.18542610000000001</v>
      </c>
      <c r="DI277">
        <v>1.99573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0.2239179</v>
      </c>
      <c r="DW277">
        <v>-0.73460559999999997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13.964130000000001</v>
      </c>
      <c r="EW277">
        <v>7.1349999999999997E-2</v>
      </c>
      <c r="EX277">
        <v>7.1446599999999999E-2</v>
      </c>
      <c r="EY277">
        <v>7.1454799999999999E-2</v>
      </c>
      <c r="EZ277">
        <v>7.1444099999999996E-2</v>
      </c>
      <c r="FA277">
        <v>7.1385799999999999E-2</v>
      </c>
      <c r="FB277">
        <v>7.1430599999999997E-2</v>
      </c>
      <c r="FC277">
        <v>7.1557999999999997E-2</v>
      </c>
      <c r="FD277">
        <v>7.1426699999999996E-2</v>
      </c>
      <c r="FE277">
        <v>7.1401300000000001E-2</v>
      </c>
      <c r="FF277">
        <v>7.1579900000000002E-2</v>
      </c>
      <c r="FG277">
        <v>7.1562299999999995E-2</v>
      </c>
      <c r="FH277">
        <v>7.1212300000000006E-2</v>
      </c>
      <c r="FI277">
        <v>7.1392200000000003E-2</v>
      </c>
      <c r="FJ277">
        <v>7.1355500000000002E-2</v>
      </c>
      <c r="FK277">
        <v>0.2485571</v>
      </c>
      <c r="FL277">
        <v>6.1780599999999998E-2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9.5946699999999996E-2</v>
      </c>
      <c r="FZ277">
        <v>-0.54313869999999997</v>
      </c>
      <c r="GA277">
        <v>-0.83496669999999995</v>
      </c>
      <c r="GB277">
        <v>-0.63154829999999995</v>
      </c>
      <c r="GC277">
        <v>-0.51815999999999995</v>
      </c>
      <c r="GD277">
        <v>-0.64473270000000005</v>
      </c>
      <c r="GE277">
        <v>-0.67028469999999996</v>
      </c>
      <c r="GF277">
        <v>1.3607320000000001</v>
      </c>
      <c r="GG277">
        <v>-0.2551448</v>
      </c>
      <c r="GH277">
        <v>-1.674005</v>
      </c>
      <c r="GI277">
        <v>2.8022909999999999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0.1292497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-0.87048230000000004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1</v>
      </c>
      <c r="IW277">
        <v>1</v>
      </c>
      <c r="IX277">
        <v>1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1</v>
      </c>
      <c r="KW277">
        <v>1</v>
      </c>
      <c r="KX277">
        <v>1</v>
      </c>
      <c r="KY277">
        <v>1</v>
      </c>
      <c r="KZ277">
        <v>1</v>
      </c>
      <c r="LA277">
        <v>1</v>
      </c>
      <c r="LB277">
        <v>1</v>
      </c>
      <c r="LC277">
        <v>1</v>
      </c>
      <c r="LD277">
        <v>1</v>
      </c>
      <c r="LE277">
        <v>1</v>
      </c>
      <c r="LF277">
        <v>1</v>
      </c>
      <c r="LG277">
        <v>1</v>
      </c>
      <c r="LH277">
        <v>1</v>
      </c>
      <c r="LI277">
        <v>1</v>
      </c>
      <c r="LJ277">
        <v>1</v>
      </c>
      <c r="LK277">
        <v>1</v>
      </c>
      <c r="LL277">
        <v>1</v>
      </c>
      <c r="LM277">
        <v>1</v>
      </c>
      <c r="LN277">
        <v>1</v>
      </c>
      <c r="LO277">
        <v>1</v>
      </c>
      <c r="LP277">
        <v>1</v>
      </c>
      <c r="LQ277">
        <v>1</v>
      </c>
      <c r="LR277">
        <v>1</v>
      </c>
      <c r="LS277">
        <v>1</v>
      </c>
      <c r="LT277">
        <v>1</v>
      </c>
      <c r="LU277">
        <v>1</v>
      </c>
      <c r="LV277">
        <v>1</v>
      </c>
      <c r="LW277">
        <v>1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1</v>
      </c>
      <c r="MF277">
        <v>1</v>
      </c>
      <c r="MG277">
        <v>1</v>
      </c>
      <c r="MH277">
        <v>1</v>
      </c>
      <c r="MI277">
        <v>1</v>
      </c>
      <c r="MJ277">
        <v>1</v>
      </c>
      <c r="MK277">
        <v>1</v>
      </c>
      <c r="ML277">
        <v>1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1</v>
      </c>
      <c r="MW277">
        <v>1</v>
      </c>
      <c r="MX277">
        <v>1</v>
      </c>
      <c r="MY277">
        <v>1</v>
      </c>
      <c r="MZ277">
        <v>1</v>
      </c>
      <c r="NA277">
        <v>1</v>
      </c>
      <c r="NB277">
        <v>1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1</v>
      </c>
      <c r="NP277">
        <v>98.514539999999997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1</v>
      </c>
      <c r="NX277">
        <v>1</v>
      </c>
      <c r="NY277">
        <v>1</v>
      </c>
      <c r="NZ277">
        <v>1</v>
      </c>
      <c r="OA277">
        <v>1</v>
      </c>
      <c r="OB277">
        <v>1</v>
      </c>
      <c r="OC277">
        <v>21</v>
      </c>
      <c r="OD277">
        <v>20444.099999999999</v>
      </c>
      <c r="OE277">
        <v>0</v>
      </c>
      <c r="OF277">
        <v>101.68600000000001</v>
      </c>
      <c r="OG277">
        <v>20.100000000000001</v>
      </c>
      <c r="OH277">
        <v>52.658000000000001</v>
      </c>
    </row>
    <row r="278" spans="1:398">
      <c r="A278">
        <v>26</v>
      </c>
      <c r="B278" t="s">
        <v>116</v>
      </c>
      <c r="C278" t="s">
        <v>117</v>
      </c>
      <c r="D278">
        <v>2011</v>
      </c>
      <c r="E278">
        <v>18.468</v>
      </c>
      <c r="F278">
        <v>1.2995000000000001</v>
      </c>
      <c r="G278">
        <v>391</v>
      </c>
      <c r="H278">
        <v>35.700000000000003</v>
      </c>
      <c r="I278">
        <v>75.099999999999994</v>
      </c>
      <c r="J278">
        <v>7.6</v>
      </c>
      <c r="K278">
        <v>824.3</v>
      </c>
      <c r="L278">
        <v>0.4</v>
      </c>
      <c r="M278">
        <v>1.5</v>
      </c>
      <c r="N278">
        <v>14352</v>
      </c>
      <c r="O278">
        <v>0.2</v>
      </c>
      <c r="P278">
        <v>1.19</v>
      </c>
      <c r="Q278">
        <v>6777.35</v>
      </c>
      <c r="R278">
        <v>40.799999999999997</v>
      </c>
      <c r="S278">
        <v>0.26242100000000002</v>
      </c>
      <c r="T278">
        <v>2.25641E-2</v>
      </c>
      <c r="U278">
        <v>-0.40934949999999998</v>
      </c>
      <c r="V278">
        <v>-0.87292899999999995</v>
      </c>
      <c r="W278">
        <v>7.2706699999999999E-2</v>
      </c>
      <c r="X278">
        <v>-1.103807</v>
      </c>
      <c r="Y278">
        <v>-0.1045973</v>
      </c>
      <c r="Z278">
        <v>-0.51557640000000005</v>
      </c>
      <c r="AA278">
        <v>-0.75105639999999996</v>
      </c>
      <c r="AB278">
        <v>-0.32115470000000002</v>
      </c>
      <c r="AC278">
        <v>-0.64326720000000004</v>
      </c>
      <c r="AD278">
        <v>1.262724</v>
      </c>
      <c r="AE278">
        <v>-0.3011122</v>
      </c>
      <c r="AF278">
        <v>0.1378144</v>
      </c>
      <c r="AG278">
        <v>-0.62340969999999996</v>
      </c>
      <c r="AH278">
        <v>-0.61119349999999995</v>
      </c>
      <c r="AI278">
        <v>2.916039</v>
      </c>
      <c r="AJ278">
        <v>0.26197959999999998</v>
      </c>
      <c r="AK278">
        <v>5.9687080000000003</v>
      </c>
      <c r="AL278">
        <v>4.3188199999999997</v>
      </c>
      <c r="AM278">
        <v>2.0281479999999998</v>
      </c>
      <c r="AN278">
        <v>6.7145349999999997</v>
      </c>
      <c r="AO278">
        <v>9.5716450000000002</v>
      </c>
      <c r="AP278">
        <v>0.17395340000000001</v>
      </c>
      <c r="AQ278">
        <v>8.8213410000000003</v>
      </c>
      <c r="AR278">
        <v>4.6239699999999999</v>
      </c>
      <c r="AS278">
        <v>2.9496899999999999</v>
      </c>
      <c r="AT278">
        <v>9.9299099999999996</v>
      </c>
      <c r="AU278">
        <v>52.883000000000003</v>
      </c>
      <c r="AV278">
        <v>140.33199999999999</v>
      </c>
      <c r="AW278">
        <v>1.71086</v>
      </c>
      <c r="AX278" s="17">
        <v>880000000</v>
      </c>
      <c r="AY278">
        <v>3.0680499999999999</v>
      </c>
      <c r="AZ278">
        <v>0.48</v>
      </c>
      <c r="BA278">
        <v>-1.6094379999999999</v>
      </c>
      <c r="BB278">
        <v>-1.6094379000000001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-2.3025899999999999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3.7477999999999999E-3</v>
      </c>
      <c r="CG278">
        <v>0.44987519999999998</v>
      </c>
      <c r="CH278">
        <v>0.15298300000000001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-0.59648880000000004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0.2023877</v>
      </c>
      <c r="DI278">
        <v>0.35579889999999997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0.2159401</v>
      </c>
      <c r="DW278">
        <v>-0.28631459999999997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13.962540000000001</v>
      </c>
      <c r="EW278">
        <v>7.1365700000000004E-2</v>
      </c>
      <c r="EX278">
        <v>7.1433099999999999E-2</v>
      </c>
      <c r="EY278">
        <v>7.1467600000000006E-2</v>
      </c>
      <c r="EZ278">
        <v>7.1356900000000001E-2</v>
      </c>
      <c r="FA278">
        <v>7.1417800000000004E-2</v>
      </c>
      <c r="FB278">
        <v>7.1386400000000003E-2</v>
      </c>
      <c r="FC278">
        <v>7.1565000000000004E-2</v>
      </c>
      <c r="FD278">
        <v>7.1474700000000002E-2</v>
      </c>
      <c r="FE278">
        <v>7.1409899999999998E-2</v>
      </c>
      <c r="FF278">
        <v>7.1587399999999995E-2</v>
      </c>
      <c r="FG278">
        <v>7.1554099999999995E-2</v>
      </c>
      <c r="FH278">
        <v>7.1231900000000001E-2</v>
      </c>
      <c r="FI278">
        <v>7.1406800000000006E-2</v>
      </c>
      <c r="FJ278">
        <v>7.1342699999999995E-2</v>
      </c>
      <c r="FK278">
        <v>0.26219029999999999</v>
      </c>
      <c r="FL278">
        <v>6.8743700000000005E-2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2.25641E-2</v>
      </c>
      <c r="FZ278">
        <v>-0.40934949999999998</v>
      </c>
      <c r="GA278">
        <v>-0.87292899999999995</v>
      </c>
      <c r="GB278">
        <v>-1.103807</v>
      </c>
      <c r="GC278">
        <v>-0.51557640000000005</v>
      </c>
      <c r="GD278">
        <v>-0.64326720000000004</v>
      </c>
      <c r="GE278">
        <v>-0.62340969999999996</v>
      </c>
      <c r="GF278">
        <v>1.262724</v>
      </c>
      <c r="GG278">
        <v>-0.3011122</v>
      </c>
      <c r="GH278">
        <v>-0.97677420000000004</v>
      </c>
      <c r="GI278">
        <v>0.95408789999999999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0.1258513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-0.46885159999999998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1</v>
      </c>
      <c r="IW278">
        <v>1</v>
      </c>
      <c r="IX278">
        <v>1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1</v>
      </c>
      <c r="JJ278">
        <v>1</v>
      </c>
      <c r="JK278">
        <v>1</v>
      </c>
      <c r="JL278">
        <v>1</v>
      </c>
      <c r="JM278">
        <v>1</v>
      </c>
      <c r="JN278">
        <v>1</v>
      </c>
      <c r="JO278">
        <v>1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1</v>
      </c>
      <c r="KX278">
        <v>1</v>
      </c>
      <c r="KY278">
        <v>1</v>
      </c>
      <c r="KZ278">
        <v>1</v>
      </c>
      <c r="LA278">
        <v>1</v>
      </c>
      <c r="LB278">
        <v>1</v>
      </c>
      <c r="LC278">
        <v>1</v>
      </c>
      <c r="LD278">
        <v>1</v>
      </c>
      <c r="LE278">
        <v>1</v>
      </c>
      <c r="LF278">
        <v>1</v>
      </c>
      <c r="LG278">
        <v>1</v>
      </c>
      <c r="LH278">
        <v>1</v>
      </c>
      <c r="LI278">
        <v>1</v>
      </c>
      <c r="LJ278">
        <v>1</v>
      </c>
      <c r="LK278">
        <v>1</v>
      </c>
      <c r="LL278">
        <v>1</v>
      </c>
      <c r="LM278">
        <v>1</v>
      </c>
      <c r="LN278">
        <v>1</v>
      </c>
      <c r="LO278">
        <v>1</v>
      </c>
      <c r="LP278">
        <v>1</v>
      </c>
      <c r="LQ278">
        <v>1</v>
      </c>
      <c r="LR278">
        <v>1</v>
      </c>
      <c r="LS278">
        <v>1</v>
      </c>
      <c r="LT278">
        <v>1</v>
      </c>
      <c r="LU278">
        <v>1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1</v>
      </c>
      <c r="MG278">
        <v>1</v>
      </c>
      <c r="MH278">
        <v>1</v>
      </c>
      <c r="MI278">
        <v>1</v>
      </c>
      <c r="MJ278">
        <v>1</v>
      </c>
      <c r="MK278">
        <v>1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1</v>
      </c>
      <c r="MX278">
        <v>1</v>
      </c>
      <c r="MY278">
        <v>1</v>
      </c>
      <c r="MZ278">
        <v>1</v>
      </c>
      <c r="NA278">
        <v>1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1</v>
      </c>
      <c r="NP278">
        <v>98.603030000000004</v>
      </c>
      <c r="NQ278">
        <v>1</v>
      </c>
      <c r="NR278">
        <v>1</v>
      </c>
      <c r="NS278">
        <v>1</v>
      </c>
      <c r="NT278">
        <v>1</v>
      </c>
      <c r="NU278">
        <v>1</v>
      </c>
      <c r="NV278">
        <v>1</v>
      </c>
      <c r="NW278">
        <v>1</v>
      </c>
      <c r="NX278">
        <v>1</v>
      </c>
      <c r="NY278">
        <v>1</v>
      </c>
      <c r="NZ278">
        <v>1</v>
      </c>
      <c r="OA278">
        <v>1</v>
      </c>
      <c r="OB278">
        <v>1</v>
      </c>
      <c r="OC278">
        <v>21.5</v>
      </c>
      <c r="OD278">
        <v>20535.400000000001</v>
      </c>
      <c r="OE278">
        <v>0.1</v>
      </c>
      <c r="OF278">
        <v>101.898</v>
      </c>
      <c r="OG278">
        <v>19.100000000000001</v>
      </c>
      <c r="OH278">
        <v>52.883000000000003</v>
      </c>
    </row>
    <row r="279" spans="1:398">
      <c r="A279">
        <v>26</v>
      </c>
      <c r="B279" t="s">
        <v>116</v>
      </c>
      <c r="C279" t="s">
        <v>117</v>
      </c>
      <c r="D279">
        <v>2012</v>
      </c>
      <c r="E279">
        <v>15.632</v>
      </c>
      <c r="F279">
        <v>1.4568000000000001</v>
      </c>
      <c r="G279">
        <v>411</v>
      </c>
      <c r="H279">
        <v>42.1</v>
      </c>
      <c r="I279">
        <v>79.7</v>
      </c>
      <c r="J279">
        <v>9.4</v>
      </c>
      <c r="K279">
        <v>991.1</v>
      </c>
      <c r="L279">
        <v>0.3</v>
      </c>
      <c r="M279">
        <v>1.5</v>
      </c>
      <c r="N279">
        <v>14648</v>
      </c>
      <c r="O279">
        <v>1.1000000000000001</v>
      </c>
      <c r="P279">
        <v>1.1499999999999999</v>
      </c>
      <c r="Q279">
        <v>6090.59</v>
      </c>
      <c r="R279">
        <v>43.1</v>
      </c>
      <c r="S279">
        <v>0.27239200000000002</v>
      </c>
      <c r="T279">
        <v>-0.32199410000000001</v>
      </c>
      <c r="U279">
        <v>-0.25838090000000002</v>
      </c>
      <c r="V279">
        <v>-0.72107969999999999</v>
      </c>
      <c r="W279">
        <v>0.48469309999999999</v>
      </c>
      <c r="X279">
        <v>-0.46486939999999999</v>
      </c>
      <c r="Y279">
        <v>0.1836383</v>
      </c>
      <c r="Z279">
        <v>-0.49381039999999998</v>
      </c>
      <c r="AA279">
        <v>-1.029191</v>
      </c>
      <c r="AB279">
        <v>-0.32115470000000002</v>
      </c>
      <c r="AC279">
        <v>-0.64169540000000003</v>
      </c>
      <c r="AD279">
        <v>1.0667070000000001</v>
      </c>
      <c r="AE279">
        <v>-0.52737069999999997</v>
      </c>
      <c r="AF279">
        <v>0.25897409999999998</v>
      </c>
      <c r="AG279">
        <v>-0.57653480000000001</v>
      </c>
      <c r="AH279">
        <v>-0.35343809999999998</v>
      </c>
      <c r="AI279">
        <v>2.74932</v>
      </c>
      <c r="AJ279">
        <v>0.37624229999999997</v>
      </c>
      <c r="AK279">
        <v>6.0185930000000001</v>
      </c>
      <c r="AL279">
        <v>4.3782699999999997</v>
      </c>
      <c r="AM279">
        <v>2.24071</v>
      </c>
      <c r="AN279">
        <v>6.8988160000000001</v>
      </c>
      <c r="AO279">
        <v>9.5920590000000008</v>
      </c>
      <c r="AP279">
        <v>0.13976189999999999</v>
      </c>
      <c r="AQ279">
        <v>8.7144999999999992</v>
      </c>
      <c r="AR279">
        <v>4.6260899999999996</v>
      </c>
      <c r="AS279">
        <v>3.0056799999999999</v>
      </c>
      <c r="AT279">
        <v>9.8982200000000002</v>
      </c>
      <c r="AU279">
        <v>53.107999999999997</v>
      </c>
      <c r="AV279">
        <v>143.65600000000001</v>
      </c>
      <c r="AW279">
        <v>7.2645000000000001E-2</v>
      </c>
      <c r="AX279" s="17">
        <v>34000000</v>
      </c>
      <c r="AY279">
        <v>3.1135100000000002</v>
      </c>
      <c r="AZ279">
        <v>0.47</v>
      </c>
      <c r="BA279">
        <v>9.5310199999999998E-2</v>
      </c>
      <c r="BB279">
        <v>9.5310199999999998E-2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-1.16652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4.4866000000000003E-3</v>
      </c>
      <c r="CG279">
        <v>0.46467389999999997</v>
      </c>
      <c r="CH279">
        <v>0.16243099999999999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-1.2958300000000001E-2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0.2159218</v>
      </c>
      <c r="DI279">
        <v>1.6789999999999999E-4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0.2183967</v>
      </c>
      <c r="DW279">
        <v>-6.0904000000000002E-3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13.96143</v>
      </c>
      <c r="EW279">
        <v>7.1404599999999999E-2</v>
      </c>
      <c r="EX279">
        <v>7.1415099999999995E-2</v>
      </c>
      <c r="EY279">
        <v>7.1456000000000006E-2</v>
      </c>
      <c r="EZ279">
        <v>7.1320800000000004E-2</v>
      </c>
      <c r="FA279">
        <v>7.1392600000000001E-2</v>
      </c>
      <c r="FB279">
        <v>7.1340200000000006E-2</v>
      </c>
      <c r="FC279">
        <v>7.1561200000000005E-2</v>
      </c>
      <c r="FD279">
        <v>7.1522799999999997E-2</v>
      </c>
      <c r="FE279">
        <v>7.1416099999999996E-2</v>
      </c>
      <c r="FF279">
        <v>7.15924E-2</v>
      </c>
      <c r="FG279">
        <v>7.1544200000000002E-2</v>
      </c>
      <c r="FH279">
        <v>7.1258600000000005E-2</v>
      </c>
      <c r="FI279">
        <v>7.1442400000000003E-2</v>
      </c>
      <c r="FJ279">
        <v>7.1332999999999994E-2</v>
      </c>
      <c r="FK279">
        <v>0.27215040000000001</v>
      </c>
      <c r="FL279">
        <v>7.4065900000000004E-2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-0.32199410000000001</v>
      </c>
      <c r="FZ279">
        <v>-0.25838090000000002</v>
      </c>
      <c r="GA279">
        <v>-0.72107969999999999</v>
      </c>
      <c r="GB279">
        <v>-0.46486939999999999</v>
      </c>
      <c r="GC279">
        <v>-0.49381039999999998</v>
      </c>
      <c r="GD279">
        <v>-0.64169540000000003</v>
      </c>
      <c r="GE279">
        <v>-0.57653480000000001</v>
      </c>
      <c r="GF279">
        <v>1.0667070000000001</v>
      </c>
      <c r="GG279">
        <v>-0.52737069999999997</v>
      </c>
      <c r="GH279">
        <v>-0.62824329999999995</v>
      </c>
      <c r="GI279">
        <v>0.39468959999999997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0.12791069999999999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-0.29527429999999999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1</v>
      </c>
      <c r="IY279">
        <v>1</v>
      </c>
      <c r="IZ279">
        <v>1</v>
      </c>
      <c r="JA279">
        <v>1</v>
      </c>
      <c r="JB279">
        <v>1</v>
      </c>
      <c r="JC279">
        <v>1</v>
      </c>
      <c r="JD279">
        <v>1</v>
      </c>
      <c r="JE279">
        <v>1</v>
      </c>
      <c r="JF279">
        <v>1</v>
      </c>
      <c r="JG279">
        <v>1</v>
      </c>
      <c r="JH279">
        <v>1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1</v>
      </c>
      <c r="KX279">
        <v>1</v>
      </c>
      <c r="KY279">
        <v>1</v>
      </c>
      <c r="KZ279">
        <v>1</v>
      </c>
      <c r="LA279">
        <v>1</v>
      </c>
      <c r="LB279">
        <v>1</v>
      </c>
      <c r="LC279">
        <v>1</v>
      </c>
      <c r="LD279">
        <v>1</v>
      </c>
      <c r="LE279">
        <v>1</v>
      </c>
      <c r="LF279">
        <v>1</v>
      </c>
      <c r="LG279">
        <v>1</v>
      </c>
      <c r="LH279">
        <v>1</v>
      </c>
      <c r="LI279">
        <v>1</v>
      </c>
      <c r="LJ279">
        <v>1</v>
      </c>
      <c r="LK279">
        <v>1</v>
      </c>
      <c r="LL279">
        <v>1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1</v>
      </c>
      <c r="LS279">
        <v>1</v>
      </c>
      <c r="LT279">
        <v>1</v>
      </c>
      <c r="LU279">
        <v>1</v>
      </c>
      <c r="LV279">
        <v>1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1</v>
      </c>
      <c r="MF279">
        <v>1</v>
      </c>
      <c r="MG279">
        <v>1</v>
      </c>
      <c r="MH279">
        <v>1</v>
      </c>
      <c r="MI279">
        <v>1</v>
      </c>
      <c r="MJ279">
        <v>1</v>
      </c>
      <c r="MK279">
        <v>1</v>
      </c>
      <c r="ML279">
        <v>1</v>
      </c>
      <c r="MM279">
        <v>1</v>
      </c>
      <c r="MN279">
        <v>1</v>
      </c>
      <c r="MO279">
        <v>1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1</v>
      </c>
      <c r="MW279">
        <v>1</v>
      </c>
      <c r="MX279">
        <v>1</v>
      </c>
      <c r="MY279">
        <v>1</v>
      </c>
      <c r="MZ279">
        <v>1</v>
      </c>
      <c r="NA279">
        <v>1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1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1</v>
      </c>
      <c r="NP279">
        <v>97.974739999999997</v>
      </c>
      <c r="NQ279">
        <v>1</v>
      </c>
      <c r="NR279">
        <v>1</v>
      </c>
      <c r="NS279">
        <v>1</v>
      </c>
      <c r="NT279">
        <v>1</v>
      </c>
      <c r="NU279">
        <v>1</v>
      </c>
      <c r="NV279">
        <v>1</v>
      </c>
      <c r="NW279">
        <v>1</v>
      </c>
      <c r="NX279">
        <v>1</v>
      </c>
      <c r="NY279">
        <v>1</v>
      </c>
      <c r="NZ279">
        <v>1</v>
      </c>
      <c r="OA279">
        <v>1</v>
      </c>
      <c r="OB279">
        <v>1</v>
      </c>
      <c r="OC279">
        <v>22.5</v>
      </c>
      <c r="OD279">
        <v>19894.900000000001</v>
      </c>
      <c r="OE279">
        <v>0</v>
      </c>
      <c r="OF279">
        <v>102.114</v>
      </c>
      <c r="OG279">
        <v>20.2</v>
      </c>
      <c r="OH279">
        <v>53.107999999999997</v>
      </c>
    </row>
    <row r="280" spans="1:398">
      <c r="A280">
        <v>26</v>
      </c>
      <c r="B280" t="s">
        <v>116</v>
      </c>
      <c r="C280" t="s">
        <v>117</v>
      </c>
      <c r="D280">
        <v>2013</v>
      </c>
      <c r="E280">
        <v>16.143999999999998</v>
      </c>
      <c r="F280">
        <v>1.4702</v>
      </c>
      <c r="G280">
        <v>381</v>
      </c>
      <c r="H280">
        <v>34.799999999999997</v>
      </c>
      <c r="I280">
        <v>51</v>
      </c>
      <c r="J280">
        <v>9.3000000000000007</v>
      </c>
      <c r="K280">
        <v>1132.8</v>
      </c>
      <c r="L280">
        <v>0.2</v>
      </c>
      <c r="M280">
        <v>1.5</v>
      </c>
      <c r="N280">
        <v>14541</v>
      </c>
      <c r="O280">
        <v>2</v>
      </c>
      <c r="P280">
        <v>1.1499999999999999</v>
      </c>
      <c r="Q280">
        <v>6211.51</v>
      </c>
      <c r="R280">
        <v>44.3</v>
      </c>
      <c r="S280">
        <v>0.23191100000000001</v>
      </c>
      <c r="T280">
        <v>-0.25978899999999999</v>
      </c>
      <c r="U280">
        <v>-0.2455203</v>
      </c>
      <c r="V280">
        <v>-0.94885370000000002</v>
      </c>
      <c r="W280">
        <v>1.4770999999999999E-2</v>
      </c>
      <c r="X280">
        <v>-4.4512840000000002</v>
      </c>
      <c r="Y280">
        <v>0.1676253</v>
      </c>
      <c r="Z280">
        <v>-0.47531980000000001</v>
      </c>
      <c r="AA280">
        <v>-1.3073250000000001</v>
      </c>
      <c r="AB280">
        <v>-0.32115470000000002</v>
      </c>
      <c r="AC280">
        <v>-0.64226349999999999</v>
      </c>
      <c r="AD280">
        <v>1.0667070000000001</v>
      </c>
      <c r="AE280">
        <v>-0.4875333</v>
      </c>
      <c r="AF280">
        <v>0.32218790000000003</v>
      </c>
      <c r="AG280">
        <v>-0.52965989999999996</v>
      </c>
      <c r="AH280">
        <v>-0.16799939999999999</v>
      </c>
      <c r="AI280">
        <v>2.781549</v>
      </c>
      <c r="AJ280">
        <v>0.38539839999999997</v>
      </c>
      <c r="AK280">
        <v>5.9428000000000001</v>
      </c>
      <c r="AL280">
        <v>3.931826</v>
      </c>
      <c r="AM280">
        <v>2.2300140000000002</v>
      </c>
      <c r="AN280">
        <v>7.0324479999999996</v>
      </c>
      <c r="AO280">
        <v>9.5847270000000009</v>
      </c>
      <c r="AP280">
        <v>0.13976189999999999</v>
      </c>
      <c r="AQ280">
        <v>8.734159</v>
      </c>
      <c r="AR280">
        <v>4.6277299999999997</v>
      </c>
      <c r="AS280">
        <v>3.1135100000000002</v>
      </c>
      <c r="AT280">
        <v>9.8885900000000007</v>
      </c>
      <c r="AU280">
        <v>53.332000000000001</v>
      </c>
      <c r="AV280">
        <v>145.16900000000001</v>
      </c>
      <c r="AW280">
        <v>0.21731600000000001</v>
      </c>
      <c r="AX280" s="17">
        <v>100000000</v>
      </c>
      <c r="AY280">
        <v>3.1135100000000002</v>
      </c>
      <c r="AZ280">
        <v>0.44</v>
      </c>
      <c r="BA280">
        <v>0.69314719999999996</v>
      </c>
      <c r="BB280">
        <v>0.69314717999999997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-3.0459E-2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3.6116E-3</v>
      </c>
      <c r="CG280">
        <v>0.41803869999999999</v>
      </c>
      <c r="CH280">
        <v>0.15470400000000001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0.27913739999999998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0.1747563</v>
      </c>
      <c r="DI280">
        <v>7.7917700000000006E-2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0.18393699999999999</v>
      </c>
      <c r="DW280">
        <v>0.1228205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13.9659</v>
      </c>
      <c r="EW280">
        <v>7.1376400000000007E-2</v>
      </c>
      <c r="EX280">
        <v>7.1390700000000001E-2</v>
      </c>
      <c r="EY280">
        <v>7.1459900000000007E-2</v>
      </c>
      <c r="EZ280">
        <v>7.1347599999999997E-2</v>
      </c>
      <c r="FA280">
        <v>7.1603E-2</v>
      </c>
      <c r="FB280">
        <v>7.1321200000000001E-2</v>
      </c>
      <c r="FC280">
        <v>7.1530499999999997E-2</v>
      </c>
      <c r="FD280">
        <v>7.1546100000000001E-2</v>
      </c>
      <c r="FE280">
        <v>7.1393799999999993E-2</v>
      </c>
      <c r="FF280">
        <v>7.1569800000000003E-2</v>
      </c>
      <c r="FG280">
        <v>7.1506299999999995E-2</v>
      </c>
      <c r="FH280">
        <v>7.1237499999999995E-2</v>
      </c>
      <c r="FI280">
        <v>7.1414699999999998E-2</v>
      </c>
      <c r="FJ280">
        <v>7.13028E-2</v>
      </c>
      <c r="FK280">
        <v>0.23164170000000001</v>
      </c>
      <c r="FL280">
        <v>5.3657900000000001E-2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-0.25978899999999999</v>
      </c>
      <c r="FZ280">
        <v>-0.2455203</v>
      </c>
      <c r="GA280">
        <v>-0.94885370000000002</v>
      </c>
      <c r="GB280">
        <v>-4.4512840000000002</v>
      </c>
      <c r="GC280">
        <v>-0.47531980000000001</v>
      </c>
      <c r="GD280">
        <v>-0.64226349999999999</v>
      </c>
      <c r="GE280">
        <v>-0.52965989999999996</v>
      </c>
      <c r="GF280">
        <v>1.0667070000000001</v>
      </c>
      <c r="GG280">
        <v>-0.4875333</v>
      </c>
      <c r="GH280">
        <v>-0.36897039999999998</v>
      </c>
      <c r="GI280">
        <v>0.13613910000000001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0.10192229999999999</v>
      </c>
      <c r="GW280">
        <v>1</v>
      </c>
      <c r="GX280">
        <v>1</v>
      </c>
      <c r="GY280">
        <v>1</v>
      </c>
      <c r="GZ280">
        <v>1</v>
      </c>
      <c r="HA280">
        <v>1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-0.16234699999999999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1</v>
      </c>
      <c r="IW280">
        <v>1</v>
      </c>
      <c r="IX280">
        <v>1</v>
      </c>
      <c r="IY280">
        <v>1</v>
      </c>
      <c r="IZ280">
        <v>1</v>
      </c>
      <c r="JA280">
        <v>1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1</v>
      </c>
      <c r="KN280">
        <v>1</v>
      </c>
      <c r="KO280">
        <v>1</v>
      </c>
      <c r="KP280">
        <v>1</v>
      </c>
      <c r="KQ280">
        <v>1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1</v>
      </c>
      <c r="KX280">
        <v>1</v>
      </c>
      <c r="KY280">
        <v>1</v>
      </c>
      <c r="KZ280">
        <v>1</v>
      </c>
      <c r="LA280">
        <v>1</v>
      </c>
      <c r="LB280">
        <v>1</v>
      </c>
      <c r="LC280">
        <v>1</v>
      </c>
      <c r="LD280">
        <v>1</v>
      </c>
      <c r="LE280">
        <v>1</v>
      </c>
      <c r="LF280">
        <v>1</v>
      </c>
      <c r="LG280">
        <v>1</v>
      </c>
      <c r="LH280">
        <v>1</v>
      </c>
      <c r="LI280">
        <v>1</v>
      </c>
      <c r="LJ280">
        <v>1</v>
      </c>
      <c r="LK280">
        <v>1</v>
      </c>
      <c r="LL280">
        <v>1</v>
      </c>
      <c r="LM280">
        <v>1</v>
      </c>
      <c r="LN280">
        <v>1</v>
      </c>
      <c r="LO280">
        <v>1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1</v>
      </c>
      <c r="LV280">
        <v>1</v>
      </c>
      <c r="LW280">
        <v>1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1</v>
      </c>
      <c r="MQ280">
        <v>1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1</v>
      </c>
      <c r="MX280">
        <v>1</v>
      </c>
      <c r="MY280">
        <v>1</v>
      </c>
      <c r="MZ280">
        <v>1</v>
      </c>
      <c r="NA280">
        <v>1</v>
      </c>
      <c r="NB280">
        <v>1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1</v>
      </c>
      <c r="NP280">
        <v>97.784149999999997</v>
      </c>
      <c r="NQ280">
        <v>1</v>
      </c>
      <c r="NR280">
        <v>1</v>
      </c>
      <c r="NS280">
        <v>1</v>
      </c>
      <c r="NT280">
        <v>1</v>
      </c>
      <c r="NU280">
        <v>1</v>
      </c>
      <c r="NV280">
        <v>1</v>
      </c>
      <c r="NW280">
        <v>1</v>
      </c>
      <c r="NX280">
        <v>1</v>
      </c>
      <c r="NY280">
        <v>1</v>
      </c>
      <c r="NZ280">
        <v>1</v>
      </c>
      <c r="OA280">
        <v>1</v>
      </c>
      <c r="OB280">
        <v>1</v>
      </c>
      <c r="OC280">
        <v>22.5</v>
      </c>
      <c r="OD280">
        <v>19704.2</v>
      </c>
      <c r="OE280">
        <v>0.97</v>
      </c>
      <c r="OF280">
        <v>102.282</v>
      </c>
      <c r="OG280">
        <v>22.5</v>
      </c>
      <c r="OH280">
        <v>53.332000000000001</v>
      </c>
    </row>
    <row r="281" spans="1:398">
      <c r="A281">
        <v>26</v>
      </c>
      <c r="B281" t="s">
        <v>116</v>
      </c>
      <c r="C281" t="s">
        <v>117</v>
      </c>
      <c r="D281">
        <v>2014</v>
      </c>
      <c r="E281">
        <v>17.207999999999998</v>
      </c>
      <c r="F281">
        <v>1.4047000000000001</v>
      </c>
      <c r="G281">
        <v>313</v>
      </c>
      <c r="H281">
        <v>36</v>
      </c>
      <c r="I281">
        <v>81.599999999999994</v>
      </c>
      <c r="J281">
        <v>8.5</v>
      </c>
      <c r="K281">
        <v>1111.0999999999999</v>
      </c>
      <c r="L281">
        <v>0.2</v>
      </c>
      <c r="M281">
        <v>1.6</v>
      </c>
      <c r="N281">
        <v>14718</v>
      </c>
      <c r="O281">
        <v>2.25</v>
      </c>
      <c r="P281">
        <v>1.1599999999999999</v>
      </c>
      <c r="Q281">
        <v>6468.9</v>
      </c>
      <c r="R281">
        <v>42.2</v>
      </c>
      <c r="S281">
        <v>0.25542700000000002</v>
      </c>
      <c r="T281">
        <v>-0.13051889999999999</v>
      </c>
      <c r="U281">
        <v>-0.30838379999999999</v>
      </c>
      <c r="V281">
        <v>-1.465141</v>
      </c>
      <c r="W281">
        <v>9.2018600000000006E-2</v>
      </c>
      <c r="X281">
        <v>-0.20096020000000001</v>
      </c>
      <c r="Y281">
        <v>3.95205E-2</v>
      </c>
      <c r="Z281">
        <v>-0.47815150000000001</v>
      </c>
      <c r="AA281">
        <v>-1.3073250000000001</v>
      </c>
      <c r="AB281">
        <v>-0.18922800000000001</v>
      </c>
      <c r="AC281">
        <v>-0.64132370000000005</v>
      </c>
      <c r="AD281">
        <v>1.1157109999999999</v>
      </c>
      <c r="AE281">
        <v>-0.40273170000000003</v>
      </c>
      <c r="AF281">
        <v>0.2115639</v>
      </c>
      <c r="AG281">
        <v>-0.51663910000000002</v>
      </c>
      <c r="AH281">
        <v>-0.73665460000000005</v>
      </c>
      <c r="AI281">
        <v>2.8453740000000001</v>
      </c>
      <c r="AJ281">
        <v>0.33982380000000001</v>
      </c>
      <c r="AK281">
        <v>5.7462030000000004</v>
      </c>
      <c r="AL281">
        <v>4.4018290000000002</v>
      </c>
      <c r="AM281">
        <v>2.140066</v>
      </c>
      <c r="AN281">
        <v>7.0131059999999996</v>
      </c>
      <c r="AO281">
        <v>9.5968269999999993</v>
      </c>
      <c r="AP281">
        <v>0.14842</v>
      </c>
      <c r="AQ281">
        <v>8.7747620000000008</v>
      </c>
      <c r="AR281">
        <v>4.6287099999999999</v>
      </c>
      <c r="AS281">
        <v>3.1311399999999998</v>
      </c>
      <c r="AT281">
        <v>9.9148599999999991</v>
      </c>
      <c r="AU281">
        <v>53.557000000000002</v>
      </c>
      <c r="AV281">
        <v>146.47200000000001</v>
      </c>
      <c r="AW281">
        <v>2.0587499999999999</v>
      </c>
      <c r="AX281" s="17">
        <v>1000000000</v>
      </c>
      <c r="AY281">
        <v>3.09558</v>
      </c>
      <c r="AZ281">
        <v>0.39</v>
      </c>
      <c r="BA281">
        <v>0.81093020000000005</v>
      </c>
      <c r="BB281">
        <v>0.81093019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8.6178000000000005E-2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3.7388E-3</v>
      </c>
      <c r="CG281">
        <v>0.44734479999999999</v>
      </c>
      <c r="CH281">
        <v>0.15187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-0.31058059999999998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0.2001174</v>
      </c>
      <c r="DI281">
        <v>9.6460299999999999E-2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0.17446449999999999</v>
      </c>
      <c r="DW281">
        <v>-0.1211264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13.963340000000001</v>
      </c>
      <c r="EW281">
        <v>7.1377800000000005E-2</v>
      </c>
      <c r="EX281">
        <v>7.1414199999999997E-2</v>
      </c>
      <c r="EY281">
        <v>7.1537699999999996E-2</v>
      </c>
      <c r="EZ281">
        <v>7.1353299999999995E-2</v>
      </c>
      <c r="FA281">
        <v>7.1370799999999998E-2</v>
      </c>
      <c r="FB281">
        <v>7.1358000000000005E-2</v>
      </c>
      <c r="FC281">
        <v>7.1544800000000006E-2</v>
      </c>
      <c r="FD281">
        <v>7.1559300000000006E-2</v>
      </c>
      <c r="FE281">
        <v>7.1390200000000001E-2</v>
      </c>
      <c r="FF281">
        <v>7.1582499999999993E-2</v>
      </c>
      <c r="FG281">
        <v>7.1515300000000004E-2</v>
      </c>
      <c r="FH281">
        <v>7.1247400000000002E-2</v>
      </c>
      <c r="FI281">
        <v>7.1417099999999997E-2</v>
      </c>
      <c r="FJ281">
        <v>7.1331500000000006E-2</v>
      </c>
      <c r="FK281">
        <v>0.25517960000000001</v>
      </c>
      <c r="FL281">
        <v>6.5116599999999997E-2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-0.13051889999999999</v>
      </c>
      <c r="FZ281">
        <v>-0.30838379999999999</v>
      </c>
      <c r="GA281">
        <v>-1.465141</v>
      </c>
      <c r="GB281">
        <v>-0.20096020000000001</v>
      </c>
      <c r="GC281">
        <v>-0.47815150000000001</v>
      </c>
      <c r="GD281">
        <v>-0.64132370000000005</v>
      </c>
      <c r="GE281">
        <v>-0.51663910000000002</v>
      </c>
      <c r="GF281">
        <v>1.1157109999999999</v>
      </c>
      <c r="GG281">
        <v>-0.40273170000000003</v>
      </c>
      <c r="GH281">
        <v>-1.1817690000000001</v>
      </c>
      <c r="GI281">
        <v>1.396579</v>
      </c>
      <c r="GJ281">
        <v>1</v>
      </c>
      <c r="GK281">
        <v>1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9.9519999999999997E-2</v>
      </c>
      <c r="GW281">
        <v>1</v>
      </c>
      <c r="GX281">
        <v>1</v>
      </c>
      <c r="GY281">
        <v>1</v>
      </c>
      <c r="GZ281">
        <v>1</v>
      </c>
      <c r="HA281">
        <v>1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-0.46089000000000002</v>
      </c>
      <c r="HJ281">
        <v>1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1</v>
      </c>
      <c r="HW281">
        <v>1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1</v>
      </c>
      <c r="IJ281">
        <v>1</v>
      </c>
      <c r="IK281">
        <v>1</v>
      </c>
      <c r="IL281">
        <v>1</v>
      </c>
      <c r="IM281">
        <v>1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  <c r="IU281">
        <v>1</v>
      </c>
      <c r="IV281">
        <v>1</v>
      </c>
      <c r="IW281">
        <v>1</v>
      </c>
      <c r="IX281">
        <v>1</v>
      </c>
      <c r="IY281">
        <v>1</v>
      </c>
      <c r="IZ281">
        <v>1</v>
      </c>
      <c r="JA281">
        <v>1</v>
      </c>
      <c r="JB281">
        <v>1</v>
      </c>
      <c r="JC281">
        <v>1</v>
      </c>
      <c r="JD281">
        <v>1</v>
      </c>
      <c r="JE281">
        <v>1</v>
      </c>
      <c r="JF281">
        <v>1</v>
      </c>
      <c r="JG281">
        <v>1</v>
      </c>
      <c r="JH281">
        <v>1</v>
      </c>
      <c r="JI281">
        <v>1</v>
      </c>
      <c r="JJ281">
        <v>1</v>
      </c>
      <c r="JK281">
        <v>1</v>
      </c>
      <c r="JL281">
        <v>1</v>
      </c>
      <c r="JM281">
        <v>1</v>
      </c>
      <c r="JN281">
        <v>1</v>
      </c>
      <c r="JO281">
        <v>1</v>
      </c>
      <c r="JP281">
        <v>1</v>
      </c>
      <c r="JQ281">
        <v>1</v>
      </c>
      <c r="JR281">
        <v>1</v>
      </c>
      <c r="JS281">
        <v>1</v>
      </c>
      <c r="JT281">
        <v>1</v>
      </c>
      <c r="JU281">
        <v>1</v>
      </c>
      <c r="JV281">
        <v>1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1</v>
      </c>
      <c r="KD281">
        <v>1</v>
      </c>
      <c r="KE281">
        <v>1</v>
      </c>
      <c r="KF281">
        <v>1</v>
      </c>
      <c r="KG281">
        <v>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1</v>
      </c>
      <c r="KN281">
        <v>1</v>
      </c>
      <c r="KO281">
        <v>1</v>
      </c>
      <c r="KP281">
        <v>1</v>
      </c>
      <c r="KQ281">
        <v>1</v>
      </c>
      <c r="KR281">
        <v>1</v>
      </c>
      <c r="KS281">
        <v>1</v>
      </c>
      <c r="KT281">
        <v>1</v>
      </c>
      <c r="KU281">
        <v>1</v>
      </c>
      <c r="KV281">
        <v>1</v>
      </c>
      <c r="KW281">
        <v>1</v>
      </c>
      <c r="KX281">
        <v>1</v>
      </c>
      <c r="KY281">
        <v>1</v>
      </c>
      <c r="KZ281">
        <v>1</v>
      </c>
      <c r="LA281">
        <v>1</v>
      </c>
      <c r="LB281">
        <v>1</v>
      </c>
      <c r="LC281">
        <v>1</v>
      </c>
      <c r="LD281">
        <v>1</v>
      </c>
      <c r="LE281">
        <v>1</v>
      </c>
      <c r="LF281">
        <v>1</v>
      </c>
      <c r="LG281">
        <v>1</v>
      </c>
      <c r="LH281">
        <v>1</v>
      </c>
      <c r="LI281">
        <v>1</v>
      </c>
      <c r="LJ281">
        <v>1</v>
      </c>
      <c r="LK281">
        <v>1</v>
      </c>
      <c r="LL281">
        <v>1</v>
      </c>
      <c r="LM281">
        <v>1</v>
      </c>
      <c r="LN281">
        <v>1</v>
      </c>
      <c r="LO281">
        <v>1</v>
      </c>
      <c r="LP281">
        <v>1</v>
      </c>
      <c r="LQ281">
        <v>1</v>
      </c>
      <c r="LR281">
        <v>1</v>
      </c>
      <c r="LS281">
        <v>1</v>
      </c>
      <c r="LT281">
        <v>1</v>
      </c>
      <c r="LU281">
        <v>1</v>
      </c>
      <c r="LV281">
        <v>1</v>
      </c>
      <c r="LW281">
        <v>1</v>
      </c>
      <c r="LX281">
        <v>1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1</v>
      </c>
      <c r="ME281">
        <v>1</v>
      </c>
      <c r="MF281">
        <v>1</v>
      </c>
      <c r="MG281">
        <v>1</v>
      </c>
      <c r="MH281">
        <v>1</v>
      </c>
      <c r="MI281">
        <v>1</v>
      </c>
      <c r="MJ281">
        <v>1</v>
      </c>
      <c r="MK281">
        <v>1</v>
      </c>
      <c r="ML281">
        <v>1</v>
      </c>
      <c r="MM281">
        <v>1</v>
      </c>
      <c r="MN281">
        <v>1</v>
      </c>
      <c r="MO281">
        <v>1</v>
      </c>
      <c r="MP281">
        <v>1</v>
      </c>
      <c r="MQ281">
        <v>1</v>
      </c>
      <c r="MR281">
        <v>1</v>
      </c>
      <c r="MS281">
        <v>1</v>
      </c>
      <c r="MT281">
        <v>1</v>
      </c>
      <c r="MU281">
        <v>1</v>
      </c>
      <c r="MV281">
        <v>1</v>
      </c>
      <c r="MW281">
        <v>1</v>
      </c>
      <c r="MX281">
        <v>1</v>
      </c>
      <c r="MY281">
        <v>1</v>
      </c>
      <c r="MZ281">
        <v>1</v>
      </c>
      <c r="NA281">
        <v>1</v>
      </c>
      <c r="NB281">
        <v>1</v>
      </c>
      <c r="NC281">
        <v>1</v>
      </c>
      <c r="ND281">
        <v>1</v>
      </c>
      <c r="NE281">
        <v>1</v>
      </c>
      <c r="NF281">
        <v>1</v>
      </c>
      <c r="NG281">
        <v>1</v>
      </c>
      <c r="NH281">
        <v>1</v>
      </c>
      <c r="NI281">
        <v>1</v>
      </c>
      <c r="NJ281">
        <v>1</v>
      </c>
      <c r="NK281">
        <v>1</v>
      </c>
      <c r="NL281">
        <v>1</v>
      </c>
      <c r="NM281">
        <v>1</v>
      </c>
      <c r="NN281">
        <v>1</v>
      </c>
      <c r="NO281">
        <v>1</v>
      </c>
      <c r="NP281">
        <v>98.304410000000004</v>
      </c>
      <c r="NQ281">
        <v>1</v>
      </c>
      <c r="NR281">
        <v>1</v>
      </c>
      <c r="NS281">
        <v>1</v>
      </c>
      <c r="NT281">
        <v>1</v>
      </c>
      <c r="NU281">
        <v>1</v>
      </c>
      <c r="NV281">
        <v>1</v>
      </c>
      <c r="NW281">
        <v>1</v>
      </c>
      <c r="NX281">
        <v>1</v>
      </c>
      <c r="NY281">
        <v>1</v>
      </c>
      <c r="NZ281">
        <v>1</v>
      </c>
      <c r="OA281">
        <v>1</v>
      </c>
      <c r="OB281">
        <v>1</v>
      </c>
      <c r="OC281">
        <v>22.1</v>
      </c>
      <c r="OD281">
        <v>20228.7</v>
      </c>
      <c r="OE281">
        <v>1.0900000000000001</v>
      </c>
      <c r="OF281">
        <v>102.38200000000001</v>
      </c>
      <c r="OG281">
        <v>22.9</v>
      </c>
      <c r="OH281">
        <v>53.557000000000002</v>
      </c>
    </row>
    <row r="282" spans="1:398">
      <c r="A282">
        <v>26</v>
      </c>
      <c r="B282" t="s">
        <v>116</v>
      </c>
      <c r="C282" t="s">
        <v>117</v>
      </c>
      <c r="D282">
        <v>2015</v>
      </c>
      <c r="E282">
        <v>15.97</v>
      </c>
      <c r="F282">
        <v>1.4151</v>
      </c>
      <c r="G282">
        <v>259</v>
      </c>
      <c r="H282">
        <v>54.1</v>
      </c>
      <c r="I282">
        <v>86.2</v>
      </c>
      <c r="J282">
        <v>8.6999999999999993</v>
      </c>
      <c r="K282">
        <v>1143.0999999999999</v>
      </c>
      <c r="L282">
        <v>0.3</v>
      </c>
      <c r="M282">
        <v>1.6</v>
      </c>
      <c r="N282">
        <v>15231</v>
      </c>
      <c r="O282">
        <v>1.83</v>
      </c>
      <c r="P282">
        <v>1.1599999999999999</v>
      </c>
      <c r="Q282">
        <v>6531.72</v>
      </c>
      <c r="R282">
        <v>44.2</v>
      </c>
      <c r="S282">
        <v>0.27761200000000003</v>
      </c>
      <c r="T282">
        <v>-0.28092889999999998</v>
      </c>
      <c r="U282">
        <v>-0.29840250000000001</v>
      </c>
      <c r="V282">
        <v>-1.8751340000000001</v>
      </c>
      <c r="W282">
        <v>1.2571680000000001</v>
      </c>
      <c r="X282">
        <v>0.43797730000000001</v>
      </c>
      <c r="Y282">
        <v>7.1546700000000005E-2</v>
      </c>
      <c r="Z282">
        <v>-0.4739758</v>
      </c>
      <c r="AA282">
        <v>-1.029191</v>
      </c>
      <c r="AB282">
        <v>-0.18922800000000001</v>
      </c>
      <c r="AC282">
        <v>-0.63859969999999999</v>
      </c>
      <c r="AD282">
        <v>1.1157109999999999</v>
      </c>
      <c r="AE282">
        <v>-0.38203520000000002</v>
      </c>
      <c r="AF282">
        <v>0.31692009999999998</v>
      </c>
      <c r="AG282">
        <v>-0.5385141</v>
      </c>
      <c r="AH282">
        <v>-0.29051290000000002</v>
      </c>
      <c r="AI282">
        <v>2.7707120000000001</v>
      </c>
      <c r="AJ282">
        <v>0.34720020000000001</v>
      </c>
      <c r="AK282">
        <v>5.5568280000000003</v>
      </c>
      <c r="AL282">
        <v>4.4566699999999999</v>
      </c>
      <c r="AM282">
        <v>2.1633230000000001</v>
      </c>
      <c r="AN282">
        <v>7.041499</v>
      </c>
      <c r="AO282">
        <v>9.6310880000000001</v>
      </c>
      <c r="AP282">
        <v>0.14842</v>
      </c>
      <c r="AQ282">
        <v>8.7844259999999998</v>
      </c>
      <c r="AR282">
        <v>4.62934</v>
      </c>
      <c r="AS282">
        <v>3.0633900000000001</v>
      </c>
      <c r="AT282">
        <v>9.9377600000000008</v>
      </c>
      <c r="AU282">
        <v>53.780999999999999</v>
      </c>
      <c r="AV282">
        <v>147.21799999999999</v>
      </c>
      <c r="AW282">
        <v>4.0509700000000004</v>
      </c>
      <c r="AX282" s="17">
        <v>1700000000</v>
      </c>
      <c r="AY282">
        <v>3.1354899999999999</v>
      </c>
      <c r="AZ282">
        <v>0.36</v>
      </c>
      <c r="BA282">
        <v>0.60431599999999996</v>
      </c>
      <c r="BB282">
        <v>0.60431599999999996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-0.18720500000000001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5.8259999999999996E-3</v>
      </c>
      <c r="CG282">
        <v>0.46373589999999998</v>
      </c>
      <c r="CH282">
        <v>0.162602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0.1625076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0.21505099999999999</v>
      </c>
      <c r="DI282">
        <v>2.64087E-2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0.16694490000000001</v>
      </c>
      <c r="DW282">
        <v>5.8502699999999998E-2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13.961539999999999</v>
      </c>
      <c r="EW282">
        <v>7.1401800000000001E-2</v>
      </c>
      <c r="EX282">
        <v>7.1422200000000005E-2</v>
      </c>
      <c r="EY282">
        <v>7.1607599999999993E-2</v>
      </c>
      <c r="EZ282">
        <v>7.1248199999999998E-2</v>
      </c>
      <c r="FA282">
        <v>7.1350999999999998E-2</v>
      </c>
      <c r="FB282">
        <v>7.1362200000000001E-2</v>
      </c>
      <c r="FC282">
        <v>7.1552400000000002E-2</v>
      </c>
      <c r="FD282">
        <v>7.15224E-2</v>
      </c>
      <c r="FE282">
        <v>7.1400000000000005E-2</v>
      </c>
      <c r="FF282">
        <v>7.1590600000000004E-2</v>
      </c>
      <c r="FG282">
        <v>7.1531499999999998E-2</v>
      </c>
      <c r="FH282">
        <v>7.1258199999999994E-2</v>
      </c>
      <c r="FI282">
        <v>7.1424000000000001E-2</v>
      </c>
      <c r="FJ282">
        <v>7.1327799999999997E-2</v>
      </c>
      <c r="FK282">
        <v>0.27726410000000001</v>
      </c>
      <c r="FL282">
        <v>7.6875399999999997E-2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-0.28092889999999998</v>
      </c>
      <c r="FZ282">
        <v>-0.29840250000000001</v>
      </c>
      <c r="GA282">
        <v>-1.8751340000000001</v>
      </c>
      <c r="GB282">
        <v>0.43797730000000001</v>
      </c>
      <c r="GC282">
        <v>-0.4739758</v>
      </c>
      <c r="GD282">
        <v>-0.63859969999999999</v>
      </c>
      <c r="GE282">
        <v>-0.5385141</v>
      </c>
      <c r="GF282">
        <v>1.1157109999999999</v>
      </c>
      <c r="GG282">
        <v>-0.38203520000000002</v>
      </c>
      <c r="GH282">
        <v>-0.57738429999999996</v>
      </c>
      <c r="GI282">
        <v>0.33337260000000002</v>
      </c>
      <c r="GJ282">
        <v>1</v>
      </c>
      <c r="GK282">
        <v>1</v>
      </c>
      <c r="GL282">
        <v>1</v>
      </c>
      <c r="GM282">
        <v>1</v>
      </c>
      <c r="GN282">
        <v>1</v>
      </c>
      <c r="GO282">
        <v>1</v>
      </c>
      <c r="GP282">
        <v>1</v>
      </c>
      <c r="GQ282">
        <v>1</v>
      </c>
      <c r="GR282">
        <v>1</v>
      </c>
      <c r="GS282">
        <v>1</v>
      </c>
      <c r="GT282">
        <v>1</v>
      </c>
      <c r="GU282">
        <v>1</v>
      </c>
      <c r="GV282">
        <v>9.9815100000000004E-2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-0.2078584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1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1</v>
      </c>
      <c r="IP282">
        <v>1</v>
      </c>
      <c r="IQ282">
        <v>1</v>
      </c>
      <c r="IR282">
        <v>1</v>
      </c>
      <c r="IS282">
        <v>1</v>
      </c>
      <c r="IT282">
        <v>1</v>
      </c>
      <c r="IU282">
        <v>1</v>
      </c>
      <c r="IV282">
        <v>1</v>
      </c>
      <c r="IW282">
        <v>1</v>
      </c>
      <c r="IX282">
        <v>1</v>
      </c>
      <c r="IY282">
        <v>1</v>
      </c>
      <c r="IZ282">
        <v>1</v>
      </c>
      <c r="JA282">
        <v>1</v>
      </c>
      <c r="JB282">
        <v>1</v>
      </c>
      <c r="JC282">
        <v>1</v>
      </c>
      <c r="JD282">
        <v>1</v>
      </c>
      <c r="JE282">
        <v>1</v>
      </c>
      <c r="JF282">
        <v>1</v>
      </c>
      <c r="JG282">
        <v>1</v>
      </c>
      <c r="JH282">
        <v>1</v>
      </c>
      <c r="JI282">
        <v>1</v>
      </c>
      <c r="JJ282">
        <v>1</v>
      </c>
      <c r="JK282">
        <v>1</v>
      </c>
      <c r="JL282">
        <v>1</v>
      </c>
      <c r="JM282">
        <v>1</v>
      </c>
      <c r="JN282">
        <v>1</v>
      </c>
      <c r="JO282">
        <v>1</v>
      </c>
      <c r="JP282">
        <v>1</v>
      </c>
      <c r="JQ282">
        <v>1</v>
      </c>
      <c r="JR282">
        <v>1</v>
      </c>
      <c r="JS282">
        <v>1</v>
      </c>
      <c r="JT282">
        <v>1</v>
      </c>
      <c r="JU282">
        <v>1</v>
      </c>
      <c r="JV282">
        <v>1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1</v>
      </c>
      <c r="KD282">
        <v>1</v>
      </c>
      <c r="KE282">
        <v>1</v>
      </c>
      <c r="KF282">
        <v>1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1</v>
      </c>
      <c r="KN282">
        <v>1</v>
      </c>
      <c r="KO282">
        <v>1</v>
      </c>
      <c r="KP282">
        <v>1</v>
      </c>
      <c r="KQ282">
        <v>1</v>
      </c>
      <c r="KR282">
        <v>1</v>
      </c>
      <c r="KS282">
        <v>1</v>
      </c>
      <c r="KT282">
        <v>1</v>
      </c>
      <c r="KU282">
        <v>1</v>
      </c>
      <c r="KV282">
        <v>1</v>
      </c>
      <c r="KW282">
        <v>1</v>
      </c>
      <c r="KX282">
        <v>1</v>
      </c>
      <c r="KY282">
        <v>1</v>
      </c>
      <c r="KZ282">
        <v>1</v>
      </c>
      <c r="LA282">
        <v>1</v>
      </c>
      <c r="LB282">
        <v>1</v>
      </c>
      <c r="LC282">
        <v>1</v>
      </c>
      <c r="LD282">
        <v>1</v>
      </c>
      <c r="LE282">
        <v>1</v>
      </c>
      <c r="LF282">
        <v>1</v>
      </c>
      <c r="LG282">
        <v>1</v>
      </c>
      <c r="LH282">
        <v>1</v>
      </c>
      <c r="LI282">
        <v>1</v>
      </c>
      <c r="LJ282">
        <v>1</v>
      </c>
      <c r="LK282">
        <v>1</v>
      </c>
      <c r="LL282">
        <v>1</v>
      </c>
      <c r="LM282">
        <v>1</v>
      </c>
      <c r="LN282">
        <v>1</v>
      </c>
      <c r="LO282">
        <v>1</v>
      </c>
      <c r="LP282">
        <v>1</v>
      </c>
      <c r="LQ282">
        <v>1</v>
      </c>
      <c r="LR282">
        <v>1</v>
      </c>
      <c r="LS282">
        <v>1</v>
      </c>
      <c r="LT282">
        <v>1</v>
      </c>
      <c r="LU282">
        <v>1</v>
      </c>
      <c r="LV282">
        <v>1</v>
      </c>
      <c r="LW282">
        <v>1</v>
      </c>
      <c r="LX282">
        <v>1</v>
      </c>
      <c r="LY282">
        <v>1</v>
      </c>
      <c r="LZ282">
        <v>1</v>
      </c>
      <c r="MA282">
        <v>1</v>
      </c>
      <c r="MB282">
        <v>1</v>
      </c>
      <c r="MC282">
        <v>1</v>
      </c>
      <c r="MD282">
        <v>1</v>
      </c>
      <c r="ME282">
        <v>1</v>
      </c>
      <c r="MF282">
        <v>1</v>
      </c>
      <c r="MG282">
        <v>1</v>
      </c>
      <c r="MH282">
        <v>1</v>
      </c>
      <c r="MI282">
        <v>1</v>
      </c>
      <c r="MJ282">
        <v>1</v>
      </c>
      <c r="MK282">
        <v>1</v>
      </c>
      <c r="ML282">
        <v>1</v>
      </c>
      <c r="MM282">
        <v>1</v>
      </c>
      <c r="MN282">
        <v>1</v>
      </c>
      <c r="MO282">
        <v>1</v>
      </c>
      <c r="MP282">
        <v>1</v>
      </c>
      <c r="MQ282">
        <v>1</v>
      </c>
      <c r="MR282">
        <v>1</v>
      </c>
      <c r="MS282">
        <v>1</v>
      </c>
      <c r="MT282">
        <v>1</v>
      </c>
      <c r="MU282">
        <v>1</v>
      </c>
      <c r="MV282">
        <v>1</v>
      </c>
      <c r="MW282">
        <v>1</v>
      </c>
      <c r="MX282">
        <v>1</v>
      </c>
      <c r="MY282">
        <v>1</v>
      </c>
      <c r="MZ282">
        <v>1</v>
      </c>
      <c r="NA282">
        <v>1</v>
      </c>
      <c r="NB282">
        <v>1</v>
      </c>
      <c r="NC282">
        <v>1</v>
      </c>
      <c r="ND282">
        <v>1</v>
      </c>
      <c r="NE282">
        <v>1</v>
      </c>
      <c r="NF282">
        <v>1</v>
      </c>
      <c r="NG282">
        <v>1</v>
      </c>
      <c r="NH282">
        <v>1</v>
      </c>
      <c r="NI282">
        <v>1</v>
      </c>
      <c r="NJ282">
        <v>1</v>
      </c>
      <c r="NK282">
        <v>1</v>
      </c>
      <c r="NL282">
        <v>1</v>
      </c>
      <c r="NM282">
        <v>1</v>
      </c>
      <c r="NN282">
        <v>1</v>
      </c>
      <c r="NO282">
        <v>1</v>
      </c>
      <c r="NP282">
        <v>98.759039999999999</v>
      </c>
      <c r="NQ282">
        <v>1</v>
      </c>
      <c r="NR282">
        <v>1</v>
      </c>
      <c r="NS282">
        <v>1</v>
      </c>
      <c r="NT282">
        <v>1</v>
      </c>
      <c r="NU282">
        <v>1</v>
      </c>
      <c r="NV282">
        <v>1</v>
      </c>
      <c r="NW282">
        <v>1</v>
      </c>
      <c r="NX282">
        <v>1</v>
      </c>
      <c r="NY282">
        <v>1</v>
      </c>
      <c r="NZ282">
        <v>1</v>
      </c>
      <c r="OA282">
        <v>1</v>
      </c>
      <c r="OB282">
        <v>1</v>
      </c>
      <c r="OC282">
        <v>23</v>
      </c>
      <c r="OD282">
        <v>20697.3</v>
      </c>
      <c r="OE282">
        <v>0</v>
      </c>
      <c r="OF282">
        <v>102.446</v>
      </c>
      <c r="OG282">
        <v>21.4</v>
      </c>
      <c r="OH282">
        <v>53.780999999999999</v>
      </c>
    </row>
    <row r="283" spans="1:398">
      <c r="A283">
        <v>26</v>
      </c>
      <c r="B283" t="s">
        <v>116</v>
      </c>
      <c r="C283" t="s">
        <v>117</v>
      </c>
      <c r="D283">
        <v>2016</v>
      </c>
      <c r="E283">
        <v>15.036</v>
      </c>
      <c r="F283">
        <v>1.5128999999999999</v>
      </c>
      <c r="G283">
        <v>251</v>
      </c>
      <c r="H283">
        <v>55.5</v>
      </c>
      <c r="I283">
        <v>75.8</v>
      </c>
      <c r="J283">
        <v>8.6999999999999993</v>
      </c>
      <c r="K283">
        <v>1281.2</v>
      </c>
      <c r="L283">
        <v>0.3</v>
      </c>
      <c r="M283">
        <v>1.6</v>
      </c>
      <c r="N283">
        <v>15361</v>
      </c>
      <c r="O283">
        <v>1.41</v>
      </c>
      <c r="P283">
        <v>1.1399999999999999</v>
      </c>
      <c r="Q283">
        <v>6613.24</v>
      </c>
      <c r="R283">
        <v>47.2</v>
      </c>
      <c r="S283">
        <v>0.26965099999999997</v>
      </c>
      <c r="T283">
        <v>-0.3944047</v>
      </c>
      <c r="U283">
        <v>-0.2045389</v>
      </c>
      <c r="V283">
        <v>-1.9358740000000001</v>
      </c>
      <c r="W283">
        <v>1.3472900000000001</v>
      </c>
      <c r="X283">
        <v>-1.0065770000000001</v>
      </c>
      <c r="Y283">
        <v>7.1546700000000005E-2</v>
      </c>
      <c r="Z283">
        <v>-0.4559549</v>
      </c>
      <c r="AA283">
        <v>-1.029191</v>
      </c>
      <c r="AB283">
        <v>-0.18922800000000001</v>
      </c>
      <c r="AC283">
        <v>-0.63790939999999996</v>
      </c>
      <c r="AD283">
        <v>1.017703</v>
      </c>
      <c r="AE283">
        <v>-0.35517799999999999</v>
      </c>
      <c r="AF283">
        <v>0.4749545</v>
      </c>
      <c r="AG283">
        <v>-0.56038900000000003</v>
      </c>
      <c r="AH283">
        <v>-2.9105599999999999E-2</v>
      </c>
      <c r="AI283">
        <v>2.7104469999999998</v>
      </c>
      <c r="AJ283">
        <v>0.41402830000000002</v>
      </c>
      <c r="AK283">
        <v>5.5254529999999997</v>
      </c>
      <c r="AL283">
        <v>4.3280979999999998</v>
      </c>
      <c r="AM283">
        <v>2.1633230000000001</v>
      </c>
      <c r="AN283">
        <v>7.1555520000000001</v>
      </c>
      <c r="AO283">
        <v>9.6395870000000006</v>
      </c>
      <c r="AP283">
        <v>0.13102820000000001</v>
      </c>
      <c r="AQ283">
        <v>8.7968290000000007</v>
      </c>
      <c r="AR283">
        <v>4.6300999999999997</v>
      </c>
      <c r="AS283">
        <v>3.0445199999999999</v>
      </c>
      <c r="AT283">
        <v>9.96692</v>
      </c>
      <c r="AU283">
        <v>54.02</v>
      </c>
      <c r="AV283">
        <v>148.238</v>
      </c>
      <c r="AW283">
        <v>3.2654100000000001</v>
      </c>
      <c r="AX283" s="17">
        <v>1400000000</v>
      </c>
      <c r="AY283">
        <v>3.09558</v>
      </c>
      <c r="AZ283">
        <v>0.36</v>
      </c>
      <c r="BA283">
        <v>0.3435897</v>
      </c>
      <c r="BB283">
        <v>0.34358969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-0.46058700000000002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5.9534000000000002E-3</v>
      </c>
      <c r="CG283">
        <v>0.45413900000000001</v>
      </c>
      <c r="CH283">
        <v>0.16458300000000001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0.38478180000000001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0.20624219999999999</v>
      </c>
      <c r="DI283">
        <v>0.14805699999999999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0.16349</v>
      </c>
      <c r="DW283">
        <v>0.13852139999999999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13.962389999999999</v>
      </c>
      <c r="EW283">
        <v>7.1408899999999997E-2</v>
      </c>
      <c r="EX283">
        <v>7.1403800000000003E-2</v>
      </c>
      <c r="EY283">
        <v>7.1614300000000006E-2</v>
      </c>
      <c r="EZ283">
        <v>7.1237300000000003E-2</v>
      </c>
      <c r="FA283">
        <v>7.1415999999999993E-2</v>
      </c>
      <c r="FB283">
        <v>7.1358699999999997E-2</v>
      </c>
      <c r="FC283">
        <v>7.1540599999999996E-2</v>
      </c>
      <c r="FD283">
        <v>7.1518200000000004E-2</v>
      </c>
      <c r="FE283">
        <v>7.1396200000000007E-2</v>
      </c>
      <c r="FF283">
        <v>7.1585899999999994E-2</v>
      </c>
      <c r="FG283">
        <v>7.1534299999999995E-2</v>
      </c>
      <c r="FH283">
        <v>7.1265099999999998E-2</v>
      </c>
      <c r="FI283">
        <v>7.14167E-2</v>
      </c>
      <c r="FJ283">
        <v>7.1304000000000006E-2</v>
      </c>
      <c r="FK283">
        <v>0.26930920000000003</v>
      </c>
      <c r="FL283">
        <v>7.2527400000000006E-2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-0.3944047</v>
      </c>
      <c r="FZ283">
        <v>-0.2045389</v>
      </c>
      <c r="GA283">
        <v>-1.9358740000000001</v>
      </c>
      <c r="GB283">
        <v>-1.0065770000000001</v>
      </c>
      <c r="GC283">
        <v>-0.4559549</v>
      </c>
      <c r="GD283">
        <v>-0.63790939999999996</v>
      </c>
      <c r="GE283">
        <v>-0.56038900000000003</v>
      </c>
      <c r="GF283">
        <v>1.017703</v>
      </c>
      <c r="GG283">
        <v>-0.35517799999999999</v>
      </c>
      <c r="GH283">
        <v>-0.24276110000000001</v>
      </c>
      <c r="GI283">
        <v>5.8932999999999999E-2</v>
      </c>
      <c r="GJ283">
        <v>1</v>
      </c>
      <c r="GK283">
        <v>1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1</v>
      </c>
      <c r="GR283">
        <v>1</v>
      </c>
      <c r="GS283">
        <v>1</v>
      </c>
      <c r="GT283">
        <v>1</v>
      </c>
      <c r="GU283">
        <v>1</v>
      </c>
      <c r="GV283">
        <v>9.6951300000000004E-2</v>
      </c>
      <c r="GW283">
        <v>1</v>
      </c>
      <c r="GX283">
        <v>1</v>
      </c>
      <c r="GY283">
        <v>1</v>
      </c>
      <c r="GZ283">
        <v>1</v>
      </c>
      <c r="HA283">
        <v>1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-8.7393999999999999E-2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1</v>
      </c>
      <c r="IH283">
        <v>1</v>
      </c>
      <c r="II283">
        <v>1</v>
      </c>
      <c r="IJ283">
        <v>1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1</v>
      </c>
      <c r="IR283">
        <v>1</v>
      </c>
      <c r="IS283">
        <v>1</v>
      </c>
      <c r="IT283">
        <v>1</v>
      </c>
      <c r="IU283">
        <v>1</v>
      </c>
      <c r="IV283">
        <v>1</v>
      </c>
      <c r="IW283">
        <v>1</v>
      </c>
      <c r="IX283">
        <v>1</v>
      </c>
      <c r="IY283">
        <v>1</v>
      </c>
      <c r="IZ283">
        <v>1</v>
      </c>
      <c r="JA283">
        <v>1</v>
      </c>
      <c r="JB283">
        <v>1</v>
      </c>
      <c r="JC283">
        <v>1</v>
      </c>
      <c r="JD283">
        <v>1</v>
      </c>
      <c r="JE283">
        <v>1</v>
      </c>
      <c r="JF283">
        <v>1</v>
      </c>
      <c r="JG283">
        <v>1</v>
      </c>
      <c r="JH283">
        <v>1</v>
      </c>
      <c r="JI283">
        <v>1</v>
      </c>
      <c r="JJ283">
        <v>1</v>
      </c>
      <c r="JK283">
        <v>1</v>
      </c>
      <c r="JL283">
        <v>1</v>
      </c>
      <c r="JM283">
        <v>1</v>
      </c>
      <c r="JN283">
        <v>1</v>
      </c>
      <c r="JO283">
        <v>1</v>
      </c>
      <c r="JP283">
        <v>1</v>
      </c>
      <c r="JQ283">
        <v>1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1</v>
      </c>
      <c r="KD283">
        <v>1</v>
      </c>
      <c r="KE283">
        <v>1</v>
      </c>
      <c r="KF283">
        <v>1</v>
      </c>
      <c r="KG283">
        <v>1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1</v>
      </c>
      <c r="LE283">
        <v>1</v>
      </c>
      <c r="LF283">
        <v>1</v>
      </c>
      <c r="LG283">
        <v>1</v>
      </c>
      <c r="LH283">
        <v>1</v>
      </c>
      <c r="LI283">
        <v>1</v>
      </c>
      <c r="LJ283">
        <v>1</v>
      </c>
      <c r="LK283">
        <v>1</v>
      </c>
      <c r="LL283">
        <v>1</v>
      </c>
      <c r="LM283">
        <v>1</v>
      </c>
      <c r="LN283">
        <v>1</v>
      </c>
      <c r="LO283">
        <v>1</v>
      </c>
      <c r="LP283">
        <v>1</v>
      </c>
      <c r="LQ283">
        <v>1</v>
      </c>
      <c r="LR283">
        <v>1</v>
      </c>
      <c r="LS283">
        <v>1</v>
      </c>
      <c r="LT283">
        <v>1</v>
      </c>
      <c r="LU283">
        <v>1</v>
      </c>
      <c r="LV283">
        <v>1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1</v>
      </c>
      <c r="ME283">
        <v>1</v>
      </c>
      <c r="MF283">
        <v>1</v>
      </c>
      <c r="MG283">
        <v>1</v>
      </c>
      <c r="MH283">
        <v>1</v>
      </c>
      <c r="MI283">
        <v>1</v>
      </c>
      <c r="MJ283">
        <v>1</v>
      </c>
      <c r="MK283">
        <v>1</v>
      </c>
      <c r="ML283">
        <v>1</v>
      </c>
      <c r="MM283">
        <v>1</v>
      </c>
      <c r="MN283">
        <v>1</v>
      </c>
      <c r="MO283">
        <v>1</v>
      </c>
      <c r="MP283">
        <v>1</v>
      </c>
      <c r="MQ283">
        <v>1</v>
      </c>
      <c r="MR283">
        <v>1</v>
      </c>
      <c r="MS283">
        <v>1</v>
      </c>
      <c r="MT283">
        <v>1</v>
      </c>
      <c r="MU283">
        <v>1</v>
      </c>
      <c r="MV283">
        <v>1</v>
      </c>
      <c r="MW283">
        <v>1</v>
      </c>
      <c r="MX283">
        <v>1</v>
      </c>
      <c r="MY283">
        <v>1</v>
      </c>
      <c r="MZ283">
        <v>1</v>
      </c>
      <c r="NA283">
        <v>1</v>
      </c>
      <c r="NB283">
        <v>1</v>
      </c>
      <c r="NC283">
        <v>1</v>
      </c>
      <c r="ND283">
        <v>1</v>
      </c>
      <c r="NE283">
        <v>1</v>
      </c>
      <c r="NF283">
        <v>1</v>
      </c>
      <c r="NG283">
        <v>1</v>
      </c>
      <c r="NH283">
        <v>1</v>
      </c>
      <c r="NI283">
        <v>1</v>
      </c>
      <c r="NJ283">
        <v>1</v>
      </c>
      <c r="NK283">
        <v>1</v>
      </c>
      <c r="NL283">
        <v>1</v>
      </c>
      <c r="NM283">
        <v>1</v>
      </c>
      <c r="NN283">
        <v>1</v>
      </c>
      <c r="NO283">
        <v>1</v>
      </c>
      <c r="NP283">
        <v>99.339449999999999</v>
      </c>
      <c r="NQ283">
        <v>1</v>
      </c>
      <c r="NR283">
        <v>1</v>
      </c>
      <c r="NS283">
        <v>1</v>
      </c>
      <c r="NT283">
        <v>1</v>
      </c>
      <c r="NU283">
        <v>1</v>
      </c>
      <c r="NV283">
        <v>1</v>
      </c>
      <c r="NW283">
        <v>1</v>
      </c>
      <c r="NX283">
        <v>1</v>
      </c>
      <c r="NY283">
        <v>1</v>
      </c>
      <c r="NZ283">
        <v>1</v>
      </c>
      <c r="OA283">
        <v>1</v>
      </c>
      <c r="OB283">
        <v>1</v>
      </c>
      <c r="OC283">
        <v>22.1</v>
      </c>
      <c r="OD283">
        <v>21309.7</v>
      </c>
      <c r="OE283">
        <v>0</v>
      </c>
      <c r="OF283">
        <v>102.524</v>
      </c>
      <c r="OG283">
        <v>21</v>
      </c>
      <c r="OH283">
        <v>54.02</v>
      </c>
    </row>
    <row r="284" spans="1:398">
      <c r="A284">
        <v>26</v>
      </c>
      <c r="B284" t="s">
        <v>116</v>
      </c>
      <c r="C284" t="s">
        <v>117</v>
      </c>
      <c r="D284">
        <v>2017</v>
      </c>
      <c r="E284">
        <v>16.29</v>
      </c>
      <c r="F284">
        <v>1.5517000000000001</v>
      </c>
      <c r="G284">
        <v>254</v>
      </c>
      <c r="H284">
        <v>57.8</v>
      </c>
      <c r="I284">
        <v>86.9</v>
      </c>
      <c r="J284">
        <v>9.8000000000000007</v>
      </c>
      <c r="K284">
        <v>1023.8</v>
      </c>
      <c r="L284">
        <v>0.4</v>
      </c>
      <c r="M284">
        <v>1.6</v>
      </c>
      <c r="N284">
        <v>15837</v>
      </c>
      <c r="O284">
        <v>0.99</v>
      </c>
      <c r="P284">
        <v>1.1200000000000001</v>
      </c>
      <c r="Q284">
        <v>6495.13</v>
      </c>
      <c r="R284">
        <v>47.4</v>
      </c>
      <c r="S284">
        <v>0.28950700000000001</v>
      </c>
      <c r="T284">
        <v>-0.24205070000000001</v>
      </c>
      <c r="U284">
        <v>-0.16730059999999999</v>
      </c>
      <c r="V284">
        <v>-1.913097</v>
      </c>
      <c r="W284">
        <v>1.4953479999999999</v>
      </c>
      <c r="X284">
        <v>0.53520749999999995</v>
      </c>
      <c r="Y284">
        <v>0.24769079999999999</v>
      </c>
      <c r="Z284">
        <v>-0.48954330000000001</v>
      </c>
      <c r="AA284">
        <v>-0.75105639999999996</v>
      </c>
      <c r="AB284">
        <v>-0.18922800000000001</v>
      </c>
      <c r="AC284">
        <v>-0.6353818</v>
      </c>
      <c r="AD284">
        <v>0.91969449999999997</v>
      </c>
      <c r="AE284">
        <v>-0.39409070000000002</v>
      </c>
      <c r="AF284">
        <v>0.48549019999999998</v>
      </c>
      <c r="AG284">
        <v>-0.582264</v>
      </c>
      <c r="AH284">
        <v>-2.6560899999999998E-2</v>
      </c>
      <c r="AI284">
        <v>2.7905509999999998</v>
      </c>
      <c r="AJ284">
        <v>0.43935109999999999</v>
      </c>
      <c r="AK284">
        <v>5.5373340000000004</v>
      </c>
      <c r="AL284">
        <v>4.4647579999999998</v>
      </c>
      <c r="AM284">
        <v>2.2823820000000001</v>
      </c>
      <c r="AN284">
        <v>6.9312760000000004</v>
      </c>
      <c r="AO284">
        <v>9.6701040000000003</v>
      </c>
      <c r="AP284">
        <v>0.1133287</v>
      </c>
      <c r="AQ284">
        <v>8.7788079999999997</v>
      </c>
      <c r="AR284">
        <v>4.6309500000000003</v>
      </c>
      <c r="AS284">
        <v>2.98062</v>
      </c>
      <c r="AT284">
        <v>10.0167</v>
      </c>
      <c r="AU284">
        <v>54.273000000000003</v>
      </c>
      <c r="AV284">
        <v>158.702</v>
      </c>
      <c r="AW284">
        <v>2.48421</v>
      </c>
      <c r="AX284" s="17">
        <v>1200000000</v>
      </c>
      <c r="AY284">
        <v>3.1354899999999999</v>
      </c>
      <c r="AZ284">
        <v>0.36</v>
      </c>
      <c r="BA284">
        <v>-1.00503E-2</v>
      </c>
      <c r="BB284">
        <v>-1.005033E-2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-0.73396899999999998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6.1814000000000001E-3</v>
      </c>
      <c r="CG284">
        <v>0.47457179999999999</v>
      </c>
      <c r="CH284">
        <v>0.17120199999999999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0.3480955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0.22521840000000001</v>
      </c>
      <c r="DI284">
        <v>0.1211705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0.17084579999999999</v>
      </c>
      <c r="DW284">
        <v>0.12531439999999999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13.96041</v>
      </c>
      <c r="EW284">
        <v>7.1405099999999999E-2</v>
      </c>
      <c r="EX284">
        <v>7.1408799999999995E-2</v>
      </c>
      <c r="EY284">
        <v>7.1620199999999995E-2</v>
      </c>
      <c r="EZ284">
        <v>7.1235599999999996E-2</v>
      </c>
      <c r="FA284">
        <v>7.1353899999999998E-2</v>
      </c>
      <c r="FB284">
        <v>7.1338799999999994E-2</v>
      </c>
      <c r="FC284">
        <v>7.1564900000000001E-2</v>
      </c>
      <c r="FD284">
        <v>7.1486499999999994E-2</v>
      </c>
      <c r="FE284">
        <v>7.1406999999999998E-2</v>
      </c>
      <c r="FF284">
        <v>7.1595099999999995E-2</v>
      </c>
      <c r="FG284">
        <v>7.1551600000000007E-2</v>
      </c>
      <c r="FH284">
        <v>7.1286299999999997E-2</v>
      </c>
      <c r="FI284">
        <v>7.1432300000000004E-2</v>
      </c>
      <c r="FJ284">
        <v>7.1314000000000002E-2</v>
      </c>
      <c r="FK284">
        <v>0.28914400000000001</v>
      </c>
      <c r="FL284">
        <v>8.3604300000000006E-2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1</v>
      </c>
      <c r="FS284">
        <v>1</v>
      </c>
      <c r="FT284">
        <v>1</v>
      </c>
      <c r="FU284">
        <v>1</v>
      </c>
      <c r="FV284">
        <v>1</v>
      </c>
      <c r="FW284">
        <v>1</v>
      </c>
      <c r="FX284">
        <v>1</v>
      </c>
      <c r="FY284">
        <v>-0.24205070000000001</v>
      </c>
      <c r="FZ284">
        <v>-0.16730059999999999</v>
      </c>
      <c r="GA284">
        <v>-1.913097</v>
      </c>
      <c r="GB284">
        <v>0.53520749999999995</v>
      </c>
      <c r="GC284">
        <v>-0.48954330000000001</v>
      </c>
      <c r="GD284">
        <v>-0.6353818</v>
      </c>
      <c r="GE284">
        <v>-0.582264</v>
      </c>
      <c r="GF284">
        <v>0.91969449999999997</v>
      </c>
      <c r="GG284">
        <v>-0.39409070000000002</v>
      </c>
      <c r="GH284">
        <v>-0.25152350000000001</v>
      </c>
      <c r="GI284">
        <v>6.3264100000000004E-2</v>
      </c>
      <c r="GJ284">
        <v>1</v>
      </c>
      <c r="GK284">
        <v>1</v>
      </c>
      <c r="GL284">
        <v>1</v>
      </c>
      <c r="GM284">
        <v>1</v>
      </c>
      <c r="GN284">
        <v>1</v>
      </c>
      <c r="GO284">
        <v>1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0.1040918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-9.0548400000000001E-2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1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1</v>
      </c>
      <c r="JE284">
        <v>1</v>
      </c>
      <c r="JF284">
        <v>1</v>
      </c>
      <c r="JG284">
        <v>1</v>
      </c>
      <c r="JH284">
        <v>1</v>
      </c>
      <c r="JI284">
        <v>1</v>
      </c>
      <c r="JJ284">
        <v>1</v>
      </c>
      <c r="JK284">
        <v>1</v>
      </c>
      <c r="JL284">
        <v>1</v>
      </c>
      <c r="JM284">
        <v>1</v>
      </c>
      <c r="JN284">
        <v>1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1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1</v>
      </c>
      <c r="KD284">
        <v>1</v>
      </c>
      <c r="KE284">
        <v>1</v>
      </c>
      <c r="KF284">
        <v>1</v>
      </c>
      <c r="KG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  <c r="KN284">
        <v>1</v>
      </c>
      <c r="KO284">
        <v>1</v>
      </c>
      <c r="KP284">
        <v>1</v>
      </c>
      <c r="KQ284">
        <v>1</v>
      </c>
      <c r="KR284">
        <v>1</v>
      </c>
      <c r="KS284">
        <v>1</v>
      </c>
      <c r="KT284">
        <v>1</v>
      </c>
      <c r="KU284">
        <v>1</v>
      </c>
      <c r="KV284">
        <v>1</v>
      </c>
      <c r="KW284">
        <v>1</v>
      </c>
      <c r="KX284">
        <v>1</v>
      </c>
      <c r="KY284">
        <v>1</v>
      </c>
      <c r="KZ284">
        <v>1</v>
      </c>
      <c r="LA284">
        <v>1</v>
      </c>
      <c r="LB284">
        <v>1</v>
      </c>
      <c r="LC284">
        <v>1</v>
      </c>
      <c r="LD284">
        <v>1</v>
      </c>
      <c r="LE284">
        <v>1</v>
      </c>
      <c r="LF284">
        <v>1</v>
      </c>
      <c r="LG284">
        <v>1</v>
      </c>
      <c r="LH284">
        <v>1</v>
      </c>
      <c r="LI284">
        <v>1</v>
      </c>
      <c r="LJ284">
        <v>1</v>
      </c>
      <c r="LK284">
        <v>1</v>
      </c>
      <c r="LL284">
        <v>1</v>
      </c>
      <c r="LM284">
        <v>1</v>
      </c>
      <c r="LN284">
        <v>1</v>
      </c>
      <c r="LO284">
        <v>1</v>
      </c>
      <c r="LP284">
        <v>1</v>
      </c>
      <c r="LQ284">
        <v>1</v>
      </c>
      <c r="LR284">
        <v>1</v>
      </c>
      <c r="LS284">
        <v>1</v>
      </c>
      <c r="LT284">
        <v>1</v>
      </c>
      <c r="LU284">
        <v>1</v>
      </c>
      <c r="LV284">
        <v>1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1</v>
      </c>
      <c r="ME284">
        <v>1</v>
      </c>
      <c r="MF284">
        <v>1</v>
      </c>
      <c r="MG284">
        <v>1</v>
      </c>
      <c r="MH284">
        <v>1</v>
      </c>
      <c r="MI284">
        <v>1</v>
      </c>
      <c r="MJ284">
        <v>1</v>
      </c>
      <c r="MK284">
        <v>1</v>
      </c>
      <c r="ML284">
        <v>1</v>
      </c>
      <c r="MM284">
        <v>1</v>
      </c>
      <c r="MN284">
        <v>1</v>
      </c>
      <c r="MO284">
        <v>1</v>
      </c>
      <c r="MP284">
        <v>1</v>
      </c>
      <c r="MQ284">
        <v>1</v>
      </c>
      <c r="MR284">
        <v>1</v>
      </c>
      <c r="MS284">
        <v>1</v>
      </c>
      <c r="MT284">
        <v>1</v>
      </c>
      <c r="MU284">
        <v>1</v>
      </c>
      <c r="MV284">
        <v>1</v>
      </c>
      <c r="MW284">
        <v>1</v>
      </c>
      <c r="MX284">
        <v>1</v>
      </c>
      <c r="MY284">
        <v>1</v>
      </c>
      <c r="MZ284">
        <v>1</v>
      </c>
      <c r="NA284">
        <v>1</v>
      </c>
      <c r="NB284">
        <v>1</v>
      </c>
      <c r="NC284">
        <v>1</v>
      </c>
      <c r="ND284">
        <v>1</v>
      </c>
      <c r="NE284">
        <v>1</v>
      </c>
      <c r="NF284">
        <v>1</v>
      </c>
      <c r="NG284">
        <v>1</v>
      </c>
      <c r="NH284">
        <v>1</v>
      </c>
      <c r="NI284">
        <v>1</v>
      </c>
      <c r="NJ284">
        <v>1</v>
      </c>
      <c r="NK284">
        <v>1</v>
      </c>
      <c r="NL284">
        <v>1</v>
      </c>
      <c r="NM284">
        <v>1</v>
      </c>
      <c r="NN284">
        <v>1</v>
      </c>
      <c r="NO284">
        <v>1</v>
      </c>
      <c r="NP284">
        <v>100.3347</v>
      </c>
      <c r="NQ284">
        <v>1</v>
      </c>
      <c r="NR284">
        <v>1</v>
      </c>
      <c r="NS284">
        <v>1</v>
      </c>
      <c r="NT284">
        <v>1</v>
      </c>
      <c r="NU284">
        <v>1</v>
      </c>
      <c r="NV284">
        <v>1</v>
      </c>
      <c r="NW284">
        <v>1</v>
      </c>
      <c r="NX284">
        <v>1</v>
      </c>
      <c r="NY284">
        <v>1</v>
      </c>
      <c r="NZ284">
        <v>1</v>
      </c>
      <c r="OA284">
        <v>1</v>
      </c>
      <c r="OB284">
        <v>1</v>
      </c>
      <c r="OC284">
        <v>23</v>
      </c>
      <c r="OD284">
        <v>22397.8</v>
      </c>
      <c r="OE284">
        <v>0.48</v>
      </c>
      <c r="OF284">
        <v>102.611</v>
      </c>
      <c r="OG284">
        <v>19.7</v>
      </c>
      <c r="OH284">
        <v>54.273000000000003</v>
      </c>
    </row>
    <row r="285" spans="1:398">
      <c r="A285">
        <v>26</v>
      </c>
      <c r="B285" t="s">
        <v>116</v>
      </c>
      <c r="C285" t="s">
        <v>117</v>
      </c>
      <c r="D285">
        <v>2018</v>
      </c>
      <c r="E285">
        <v>17.928999999999998</v>
      </c>
      <c r="F285">
        <v>1.4702</v>
      </c>
      <c r="G285">
        <v>249</v>
      </c>
      <c r="H285">
        <v>58.9</v>
      </c>
      <c r="I285">
        <v>84.6</v>
      </c>
      <c r="J285">
        <v>10.1</v>
      </c>
      <c r="K285">
        <v>1509.1</v>
      </c>
      <c r="L285">
        <v>0.4</v>
      </c>
      <c r="M285">
        <v>1.6</v>
      </c>
      <c r="N285">
        <v>16974</v>
      </c>
      <c r="O285">
        <v>0.995</v>
      </c>
      <c r="P285">
        <v>1.1000000000000001</v>
      </c>
      <c r="Q285">
        <v>6203.05</v>
      </c>
      <c r="R285">
        <v>46.8</v>
      </c>
      <c r="S285">
        <v>0.286605</v>
      </c>
      <c r="T285">
        <v>-4.2921399999999998E-2</v>
      </c>
      <c r="U285">
        <v>-0.2455203</v>
      </c>
      <c r="V285">
        <v>-1.9510590000000001</v>
      </c>
      <c r="W285">
        <v>1.5661579999999999</v>
      </c>
      <c r="X285">
        <v>0.21573829999999999</v>
      </c>
      <c r="Y285">
        <v>0.2957301</v>
      </c>
      <c r="Z285">
        <v>-0.42621599999999998</v>
      </c>
      <c r="AA285">
        <v>-0.75105639999999996</v>
      </c>
      <c r="AB285">
        <v>-0.18922800000000001</v>
      </c>
      <c r="AC285">
        <v>-0.62934440000000003</v>
      </c>
      <c r="AD285">
        <v>0.82168629999999998</v>
      </c>
      <c r="AE285">
        <v>-0.49031999999999998</v>
      </c>
      <c r="AF285">
        <v>0.45388319999999999</v>
      </c>
      <c r="AG285">
        <v>-0.58200359999999995</v>
      </c>
      <c r="AH285">
        <v>-2.2595899999999999E-2</v>
      </c>
      <c r="AI285">
        <v>2.8864200000000002</v>
      </c>
      <c r="AJ285">
        <v>0.38539839999999997</v>
      </c>
      <c r="AK285">
        <v>5.5174529999999997</v>
      </c>
      <c r="AL285">
        <v>4.4379340000000003</v>
      </c>
      <c r="AM285">
        <v>2.3125360000000001</v>
      </c>
      <c r="AN285">
        <v>7.3192690000000002</v>
      </c>
      <c r="AO285">
        <v>9.7394379999999998</v>
      </c>
      <c r="AP285">
        <v>9.5310199999999998E-2</v>
      </c>
      <c r="AQ285">
        <v>8.7327960000000004</v>
      </c>
      <c r="AR285">
        <v>4.6346499999999997</v>
      </c>
      <c r="AS285">
        <v>3.02529</v>
      </c>
      <c r="AT285">
        <v>10.055999999999999</v>
      </c>
      <c r="AU285">
        <v>54.540999999999997</v>
      </c>
      <c r="AV285">
        <v>162.613</v>
      </c>
      <c r="AW285">
        <v>2.8649</v>
      </c>
      <c r="AX285" s="17">
        <v>1500000000</v>
      </c>
      <c r="AY285">
        <v>3.14845</v>
      </c>
      <c r="AZ285">
        <v>0.35</v>
      </c>
      <c r="BA285">
        <v>-5.0124999999999996E-3</v>
      </c>
      <c r="BB285">
        <v>-5.0125400000000002E-3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-0.73396899999999998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6.2684999999999998E-3</v>
      </c>
      <c r="CG285">
        <v>0.4746359</v>
      </c>
      <c r="CH285">
        <v>0.17252500000000001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0.3734461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0.22527929999999999</v>
      </c>
      <c r="DI285">
        <v>0.139462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0.16612260000000001</v>
      </c>
      <c r="DW285">
        <v>0.13070609999999999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13.960509999999999</v>
      </c>
      <c r="EW285">
        <v>7.1386699999999997E-2</v>
      </c>
      <c r="EX285">
        <v>7.1420800000000007E-2</v>
      </c>
      <c r="EY285">
        <v>7.1627099999999999E-2</v>
      </c>
      <c r="EZ285">
        <v>7.1230600000000005E-2</v>
      </c>
      <c r="FA285">
        <v>7.1368899999999999E-2</v>
      </c>
      <c r="FB285">
        <v>7.1331000000000006E-2</v>
      </c>
      <c r="FC285">
        <v>7.1538299999999999E-2</v>
      </c>
      <c r="FD285">
        <v>7.14862E-2</v>
      </c>
      <c r="FE285">
        <v>7.1406999999999998E-2</v>
      </c>
      <c r="FF285">
        <v>7.1592100000000006E-2</v>
      </c>
      <c r="FG285">
        <v>7.1551100000000006E-2</v>
      </c>
      <c r="FH285">
        <v>7.1296799999999994E-2</v>
      </c>
      <c r="FI285">
        <v>7.14447E-2</v>
      </c>
      <c r="FJ285">
        <v>7.1318800000000002E-2</v>
      </c>
      <c r="FK285">
        <v>0.28625339999999999</v>
      </c>
      <c r="FL285">
        <v>8.1941E-2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1</v>
      </c>
      <c r="FS285">
        <v>1</v>
      </c>
      <c r="FT285">
        <v>1</v>
      </c>
      <c r="FU285">
        <v>1</v>
      </c>
      <c r="FV285">
        <v>1</v>
      </c>
      <c r="FW285">
        <v>1</v>
      </c>
      <c r="FX285">
        <v>1</v>
      </c>
      <c r="FY285">
        <v>-4.2921399999999998E-2</v>
      </c>
      <c r="FZ285">
        <v>-0.2455203</v>
      </c>
      <c r="GA285">
        <v>-1.9510590000000001</v>
      </c>
      <c r="GB285">
        <v>0.21573829999999999</v>
      </c>
      <c r="GC285">
        <v>-0.42621599999999998</v>
      </c>
      <c r="GD285">
        <v>-0.62934440000000003</v>
      </c>
      <c r="GE285">
        <v>-0.58200359999999995</v>
      </c>
      <c r="GF285">
        <v>0.82168629999999998</v>
      </c>
      <c r="GG285">
        <v>-0.49031999999999998</v>
      </c>
      <c r="GH285">
        <v>-0.23360500000000001</v>
      </c>
      <c r="GI285">
        <v>5.4571300000000003E-2</v>
      </c>
      <c r="GJ285">
        <v>1</v>
      </c>
      <c r="GK285">
        <v>1</v>
      </c>
      <c r="GL285">
        <v>1</v>
      </c>
      <c r="GM285">
        <v>1</v>
      </c>
      <c r="GN285">
        <v>1</v>
      </c>
      <c r="GO285">
        <v>1</v>
      </c>
      <c r="GP285">
        <v>1</v>
      </c>
      <c r="GQ285">
        <v>1</v>
      </c>
      <c r="GR285">
        <v>1</v>
      </c>
      <c r="GS285">
        <v>1</v>
      </c>
      <c r="GT285">
        <v>1</v>
      </c>
      <c r="GU285">
        <v>1</v>
      </c>
      <c r="GV285">
        <v>0.10018870000000001</v>
      </c>
      <c r="GW285">
        <v>1</v>
      </c>
      <c r="GX285">
        <v>1</v>
      </c>
      <c r="GY285">
        <v>1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-8.1761700000000007E-2</v>
      </c>
      <c r="HJ285">
        <v>1</v>
      </c>
      <c r="HK285">
        <v>1</v>
      </c>
      <c r="HL285">
        <v>1</v>
      </c>
      <c r="HM285">
        <v>1</v>
      </c>
      <c r="HN285">
        <v>1</v>
      </c>
      <c r="HO285">
        <v>1</v>
      </c>
      <c r="HP285">
        <v>1</v>
      </c>
      <c r="HQ285">
        <v>1</v>
      </c>
      <c r="HR285">
        <v>1</v>
      </c>
      <c r="HS285">
        <v>1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1</v>
      </c>
      <c r="HZ285">
        <v>1</v>
      </c>
      <c r="IA285">
        <v>1</v>
      </c>
      <c r="IB285">
        <v>1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1</v>
      </c>
      <c r="IO285">
        <v>1</v>
      </c>
      <c r="IP285">
        <v>1</v>
      </c>
      <c r="IQ285">
        <v>1</v>
      </c>
      <c r="IR285">
        <v>1</v>
      </c>
      <c r="IS285">
        <v>1</v>
      </c>
      <c r="IT285">
        <v>1</v>
      </c>
      <c r="IU285">
        <v>1</v>
      </c>
      <c r="IV285">
        <v>1</v>
      </c>
      <c r="IW285">
        <v>1</v>
      </c>
      <c r="IX285">
        <v>1</v>
      </c>
      <c r="IY285">
        <v>1</v>
      </c>
      <c r="IZ285">
        <v>1</v>
      </c>
      <c r="JA285">
        <v>1</v>
      </c>
      <c r="JB285">
        <v>1</v>
      </c>
      <c r="JC285">
        <v>1</v>
      </c>
      <c r="JD285">
        <v>1</v>
      </c>
      <c r="JE285">
        <v>1</v>
      </c>
      <c r="JF285">
        <v>1</v>
      </c>
      <c r="JG285">
        <v>1</v>
      </c>
      <c r="JH285">
        <v>1</v>
      </c>
      <c r="JI285">
        <v>1</v>
      </c>
      <c r="JJ285">
        <v>1</v>
      </c>
      <c r="JK285">
        <v>1</v>
      </c>
      <c r="JL285">
        <v>1</v>
      </c>
      <c r="JM285">
        <v>1</v>
      </c>
      <c r="JN285">
        <v>1</v>
      </c>
      <c r="JO285">
        <v>1</v>
      </c>
      <c r="JP285">
        <v>1</v>
      </c>
      <c r="JQ285">
        <v>1</v>
      </c>
      <c r="JR285">
        <v>1</v>
      </c>
      <c r="JS285">
        <v>1</v>
      </c>
      <c r="JT285">
        <v>1</v>
      </c>
      <c r="JU285">
        <v>1</v>
      </c>
      <c r="JV285">
        <v>1</v>
      </c>
      <c r="JW285">
        <v>1</v>
      </c>
      <c r="JX285">
        <v>1</v>
      </c>
      <c r="JY285">
        <v>1</v>
      </c>
      <c r="JZ285">
        <v>1</v>
      </c>
      <c r="KA285">
        <v>1</v>
      </c>
      <c r="KB285">
        <v>1</v>
      </c>
      <c r="KC285">
        <v>1</v>
      </c>
      <c r="KD285">
        <v>1</v>
      </c>
      <c r="KE285">
        <v>1</v>
      </c>
      <c r="KF285">
        <v>1</v>
      </c>
      <c r="KG285">
        <v>1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1</v>
      </c>
      <c r="KN285">
        <v>1</v>
      </c>
      <c r="KO285">
        <v>1</v>
      </c>
      <c r="KP285">
        <v>1</v>
      </c>
      <c r="KQ285">
        <v>1</v>
      </c>
      <c r="KR285">
        <v>1</v>
      </c>
      <c r="KS285">
        <v>1</v>
      </c>
      <c r="KT285">
        <v>1</v>
      </c>
      <c r="KU285">
        <v>1</v>
      </c>
      <c r="KV285">
        <v>1</v>
      </c>
      <c r="KW285">
        <v>1</v>
      </c>
      <c r="KX285">
        <v>1</v>
      </c>
      <c r="KY285">
        <v>1</v>
      </c>
      <c r="KZ285">
        <v>1</v>
      </c>
      <c r="LA285">
        <v>1</v>
      </c>
      <c r="LB285">
        <v>1</v>
      </c>
      <c r="LC285">
        <v>1</v>
      </c>
      <c r="LD285">
        <v>1</v>
      </c>
      <c r="LE285">
        <v>1</v>
      </c>
      <c r="LF285">
        <v>1</v>
      </c>
      <c r="LG285">
        <v>1</v>
      </c>
      <c r="LH285">
        <v>1</v>
      </c>
      <c r="LI285">
        <v>1</v>
      </c>
      <c r="LJ285">
        <v>1</v>
      </c>
      <c r="LK285">
        <v>1</v>
      </c>
      <c r="LL285">
        <v>1</v>
      </c>
      <c r="LM285">
        <v>1</v>
      </c>
      <c r="LN285">
        <v>1</v>
      </c>
      <c r="LO285">
        <v>1</v>
      </c>
      <c r="LP285">
        <v>1</v>
      </c>
      <c r="LQ285">
        <v>1</v>
      </c>
      <c r="LR285">
        <v>1</v>
      </c>
      <c r="LS285">
        <v>1</v>
      </c>
      <c r="LT285">
        <v>1</v>
      </c>
      <c r="LU285">
        <v>1</v>
      </c>
      <c r="LV285">
        <v>1</v>
      </c>
      <c r="LW285">
        <v>1</v>
      </c>
      <c r="LX285">
        <v>1</v>
      </c>
      <c r="LY285">
        <v>1</v>
      </c>
      <c r="LZ285">
        <v>1</v>
      </c>
      <c r="MA285">
        <v>1</v>
      </c>
      <c r="MB285">
        <v>1</v>
      </c>
      <c r="MC285">
        <v>1</v>
      </c>
      <c r="MD285">
        <v>1</v>
      </c>
      <c r="ME285">
        <v>1</v>
      </c>
      <c r="MF285">
        <v>1</v>
      </c>
      <c r="MG285">
        <v>1</v>
      </c>
      <c r="MH285">
        <v>1</v>
      </c>
      <c r="MI285">
        <v>1</v>
      </c>
      <c r="MJ285">
        <v>1</v>
      </c>
      <c r="MK285">
        <v>1</v>
      </c>
      <c r="ML285">
        <v>1</v>
      </c>
      <c r="MM285">
        <v>1</v>
      </c>
      <c r="MN285">
        <v>1</v>
      </c>
      <c r="MO285">
        <v>1</v>
      </c>
      <c r="MP285">
        <v>1</v>
      </c>
      <c r="MQ285">
        <v>1</v>
      </c>
      <c r="MR285">
        <v>1</v>
      </c>
      <c r="MS285">
        <v>1</v>
      </c>
      <c r="MT285">
        <v>1</v>
      </c>
      <c r="MU285">
        <v>1</v>
      </c>
      <c r="MV285">
        <v>1</v>
      </c>
      <c r="MW285">
        <v>1</v>
      </c>
      <c r="MX285">
        <v>1</v>
      </c>
      <c r="MY285">
        <v>1</v>
      </c>
      <c r="MZ285">
        <v>1</v>
      </c>
      <c r="NA285">
        <v>1</v>
      </c>
      <c r="NB285">
        <v>1</v>
      </c>
      <c r="NC285">
        <v>1</v>
      </c>
      <c r="ND285">
        <v>1</v>
      </c>
      <c r="NE285">
        <v>1</v>
      </c>
      <c r="NF285">
        <v>1</v>
      </c>
      <c r="NG285">
        <v>1</v>
      </c>
      <c r="NH285">
        <v>1</v>
      </c>
      <c r="NI285">
        <v>1</v>
      </c>
      <c r="NJ285">
        <v>1</v>
      </c>
      <c r="NK285">
        <v>1</v>
      </c>
      <c r="NL285">
        <v>1</v>
      </c>
      <c r="NM285">
        <v>1</v>
      </c>
      <c r="NN285">
        <v>1</v>
      </c>
      <c r="NO285">
        <v>1</v>
      </c>
      <c r="NP285">
        <v>101.1221</v>
      </c>
      <c r="NQ285">
        <v>1</v>
      </c>
      <c r="NR285">
        <v>1</v>
      </c>
      <c r="NS285">
        <v>1</v>
      </c>
      <c r="NT285">
        <v>1</v>
      </c>
      <c r="NU285">
        <v>1</v>
      </c>
      <c r="NV285">
        <v>1</v>
      </c>
      <c r="NW285">
        <v>1</v>
      </c>
      <c r="NX285">
        <v>1</v>
      </c>
      <c r="NY285">
        <v>1</v>
      </c>
      <c r="NZ285">
        <v>1</v>
      </c>
      <c r="OA285">
        <v>1</v>
      </c>
      <c r="OB285">
        <v>1</v>
      </c>
      <c r="OC285">
        <v>23.3</v>
      </c>
      <c r="OD285">
        <v>23294</v>
      </c>
      <c r="OE285">
        <v>0</v>
      </c>
      <c r="OF285">
        <v>102.992</v>
      </c>
      <c r="OG285">
        <v>20.6</v>
      </c>
      <c r="OH285">
        <v>54.540999999999997</v>
      </c>
    </row>
    <row r="286" spans="1:398">
      <c r="A286">
        <v>26</v>
      </c>
      <c r="B286" t="s">
        <v>116</v>
      </c>
      <c r="C286" t="s">
        <v>117</v>
      </c>
      <c r="D286">
        <v>2019</v>
      </c>
      <c r="E286">
        <v>16.469000000000001</v>
      </c>
      <c r="F286">
        <v>1.6073999999999999</v>
      </c>
      <c r="G286">
        <v>247</v>
      </c>
      <c r="H286">
        <v>59.2</v>
      </c>
      <c r="I286">
        <v>87.8</v>
      </c>
      <c r="J286">
        <v>10.199999999999999</v>
      </c>
      <c r="K286">
        <v>1400.2</v>
      </c>
      <c r="L286">
        <v>0.5</v>
      </c>
      <c r="M286">
        <v>1.8</v>
      </c>
      <c r="N286">
        <v>20938</v>
      </c>
      <c r="O286">
        <v>1</v>
      </c>
      <c r="P286">
        <v>1.1000000000000001</v>
      </c>
      <c r="Q286">
        <v>7819.87</v>
      </c>
      <c r="R286">
        <v>48</v>
      </c>
      <c r="S286">
        <v>0.30623899999999998</v>
      </c>
      <c r="T286">
        <v>-0.22030330000000001</v>
      </c>
      <c r="U286">
        <v>-0.1138426</v>
      </c>
      <c r="V286">
        <v>-1.9662440000000001</v>
      </c>
      <c r="W286">
        <v>1.5854699999999999</v>
      </c>
      <c r="X286">
        <v>0.66021730000000001</v>
      </c>
      <c r="Y286">
        <v>0.3117431</v>
      </c>
      <c r="Z286">
        <v>-0.4404265</v>
      </c>
      <c r="AA286">
        <v>-0.47292210000000001</v>
      </c>
      <c r="AB286">
        <v>7.46251E-2</v>
      </c>
      <c r="AC286">
        <v>-0.60829560000000005</v>
      </c>
      <c r="AD286">
        <v>0.82168629999999998</v>
      </c>
      <c r="AE286">
        <v>4.2357100000000002E-2</v>
      </c>
      <c r="AF286">
        <v>0.51709689999999997</v>
      </c>
      <c r="AG286">
        <v>-0.58174320000000002</v>
      </c>
      <c r="AH286">
        <v>0.1553966</v>
      </c>
      <c r="AI286">
        <v>2.8014800000000002</v>
      </c>
      <c r="AJ286">
        <v>0.47461789999999998</v>
      </c>
      <c r="AK286">
        <v>5.5093880000000004</v>
      </c>
      <c r="AL286">
        <v>4.4750610000000002</v>
      </c>
      <c r="AM286">
        <v>2.3223880000000001</v>
      </c>
      <c r="AN286">
        <v>7.24437</v>
      </c>
      <c r="AO286">
        <v>9.9493209999999994</v>
      </c>
      <c r="AP286">
        <v>9.5310199999999998E-2</v>
      </c>
      <c r="AQ286">
        <v>8.964423</v>
      </c>
      <c r="AR286">
        <v>4.6416199999999996</v>
      </c>
      <c r="AS286">
        <v>3.0397500000000002</v>
      </c>
      <c r="AT286">
        <v>10.083399999999999</v>
      </c>
      <c r="AU286">
        <v>54.822000000000003</v>
      </c>
      <c r="AV286">
        <v>160.04400000000001</v>
      </c>
      <c r="AW286">
        <v>3.99099</v>
      </c>
      <c r="AX286" s="17">
        <v>2200000000</v>
      </c>
      <c r="AY286">
        <v>3.17388</v>
      </c>
      <c r="AZ286">
        <v>0.38</v>
      </c>
      <c r="BA286">
        <v>0</v>
      </c>
      <c r="BB286">
        <v>0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-0.73396899999999998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6.2633000000000003E-3</v>
      </c>
      <c r="CG286">
        <v>0.49511450000000001</v>
      </c>
      <c r="CH286">
        <v>0.184167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0.58554870000000003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0.2451383</v>
      </c>
      <c r="DI286">
        <v>0.34286729999999999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0.18814349999999999</v>
      </c>
      <c r="DW286">
        <v>0.2225085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  <c r="EO286">
        <v>1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13.9582</v>
      </c>
      <c r="EW286">
        <v>7.1415599999999996E-2</v>
      </c>
      <c r="EX286">
        <v>7.1413099999999993E-2</v>
      </c>
      <c r="EY286">
        <v>7.1642499999999998E-2</v>
      </c>
      <c r="EZ286">
        <v>7.1242700000000006E-2</v>
      </c>
      <c r="FA286">
        <v>7.1361300000000003E-2</v>
      </c>
      <c r="FB286">
        <v>7.1341199999999994E-2</v>
      </c>
      <c r="FC286">
        <v>7.1555900000000006E-2</v>
      </c>
      <c r="FD286">
        <v>7.1458999999999995E-2</v>
      </c>
      <c r="FE286">
        <v>7.1386599999999995E-2</v>
      </c>
      <c r="FF286">
        <v>7.1595400000000003E-2</v>
      </c>
      <c r="FG286">
        <v>7.1562899999999999E-2</v>
      </c>
      <c r="FH286">
        <v>7.1309899999999996E-2</v>
      </c>
      <c r="FI286">
        <v>7.1390400000000007E-2</v>
      </c>
      <c r="FJ286">
        <v>7.1323700000000004E-2</v>
      </c>
      <c r="FK286">
        <v>0.30588359999999998</v>
      </c>
      <c r="FL286">
        <v>9.3564800000000004E-2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1</v>
      </c>
      <c r="FW286">
        <v>1</v>
      </c>
      <c r="FX286">
        <v>1</v>
      </c>
      <c r="FY286">
        <v>-0.22030330000000001</v>
      </c>
      <c r="FZ286">
        <v>-0.1138426</v>
      </c>
      <c r="GA286">
        <v>-1.9662440000000001</v>
      </c>
      <c r="GB286">
        <v>0.66021730000000001</v>
      </c>
      <c r="GC286">
        <v>-0.4404265</v>
      </c>
      <c r="GD286">
        <v>-0.60829560000000005</v>
      </c>
      <c r="GE286">
        <v>-0.58174320000000002</v>
      </c>
      <c r="GF286">
        <v>0.82168629999999998</v>
      </c>
      <c r="GG286">
        <v>4.2357100000000002E-2</v>
      </c>
      <c r="GH286">
        <v>-6.1066999999999996E-3</v>
      </c>
      <c r="GI286">
        <v>3.7299999999999999E-5</v>
      </c>
      <c r="GJ286">
        <v>1</v>
      </c>
      <c r="GK286">
        <v>1</v>
      </c>
      <c r="GL286">
        <v>1</v>
      </c>
      <c r="GM286">
        <v>1</v>
      </c>
      <c r="GN286">
        <v>1</v>
      </c>
      <c r="GO286">
        <v>1</v>
      </c>
      <c r="GP286">
        <v>1</v>
      </c>
      <c r="GQ286">
        <v>1</v>
      </c>
      <c r="GR286">
        <v>1</v>
      </c>
      <c r="GS286">
        <v>1</v>
      </c>
      <c r="GT286">
        <v>1</v>
      </c>
      <c r="GU286">
        <v>1</v>
      </c>
      <c r="GV286">
        <v>0.1162358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-2.3205000000000001E-3</v>
      </c>
      <c r="HJ286">
        <v>1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1</v>
      </c>
      <c r="HR286">
        <v>1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1</v>
      </c>
      <c r="IN286">
        <v>1</v>
      </c>
      <c r="IO286">
        <v>1</v>
      </c>
      <c r="IP286">
        <v>1</v>
      </c>
      <c r="IQ286">
        <v>1</v>
      </c>
      <c r="IR286">
        <v>1</v>
      </c>
      <c r="IS286">
        <v>1</v>
      </c>
      <c r="IT286">
        <v>1</v>
      </c>
      <c r="IU286">
        <v>1</v>
      </c>
      <c r="IV286">
        <v>1</v>
      </c>
      <c r="IW286">
        <v>1</v>
      </c>
      <c r="IX286">
        <v>1</v>
      </c>
      <c r="IY286">
        <v>1</v>
      </c>
      <c r="IZ286">
        <v>1</v>
      </c>
      <c r="JA286">
        <v>1</v>
      </c>
      <c r="JB286">
        <v>1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1</v>
      </c>
      <c r="JI286">
        <v>1</v>
      </c>
      <c r="JJ286">
        <v>1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1</v>
      </c>
      <c r="JR286">
        <v>1</v>
      </c>
      <c r="JS286">
        <v>1</v>
      </c>
      <c r="JT286">
        <v>1</v>
      </c>
      <c r="JU286">
        <v>1</v>
      </c>
      <c r="JV286">
        <v>1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1</v>
      </c>
      <c r="KD286">
        <v>1</v>
      </c>
      <c r="KE286">
        <v>1</v>
      </c>
      <c r="KF286">
        <v>1</v>
      </c>
      <c r="KG286">
        <v>1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1</v>
      </c>
      <c r="KR286">
        <v>1</v>
      </c>
      <c r="KS286">
        <v>1</v>
      </c>
      <c r="KT286">
        <v>1</v>
      </c>
      <c r="KU286">
        <v>1</v>
      </c>
      <c r="KV286">
        <v>1</v>
      </c>
      <c r="KW286">
        <v>1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1</v>
      </c>
      <c r="LG286">
        <v>1</v>
      </c>
      <c r="LH286">
        <v>1</v>
      </c>
      <c r="LI286">
        <v>1</v>
      </c>
      <c r="LJ286">
        <v>1</v>
      </c>
      <c r="LK286">
        <v>1</v>
      </c>
      <c r="LL286">
        <v>1</v>
      </c>
      <c r="LM286">
        <v>1</v>
      </c>
      <c r="LN286">
        <v>1</v>
      </c>
      <c r="LO286">
        <v>1</v>
      </c>
      <c r="LP286">
        <v>1</v>
      </c>
      <c r="LQ286">
        <v>1</v>
      </c>
      <c r="LR286">
        <v>1</v>
      </c>
      <c r="LS286">
        <v>1</v>
      </c>
      <c r="LT286">
        <v>1</v>
      </c>
      <c r="LU286">
        <v>1</v>
      </c>
      <c r="LV286">
        <v>1</v>
      </c>
      <c r="LW286">
        <v>1</v>
      </c>
      <c r="LX286">
        <v>1</v>
      </c>
      <c r="LY286">
        <v>1</v>
      </c>
      <c r="LZ286">
        <v>1</v>
      </c>
      <c r="MA286">
        <v>1</v>
      </c>
      <c r="MB286">
        <v>1</v>
      </c>
      <c r="MC286">
        <v>1</v>
      </c>
      <c r="MD286">
        <v>1</v>
      </c>
      <c r="ME286">
        <v>1</v>
      </c>
      <c r="MF286">
        <v>1</v>
      </c>
      <c r="MG286">
        <v>1</v>
      </c>
      <c r="MH286">
        <v>1</v>
      </c>
      <c r="MI286">
        <v>1</v>
      </c>
      <c r="MJ286">
        <v>1</v>
      </c>
      <c r="MK286">
        <v>1</v>
      </c>
      <c r="ML286">
        <v>1</v>
      </c>
      <c r="MM286">
        <v>1</v>
      </c>
      <c r="MN286">
        <v>1</v>
      </c>
      <c r="MO286">
        <v>1</v>
      </c>
      <c r="MP286">
        <v>1</v>
      </c>
      <c r="MQ286">
        <v>1</v>
      </c>
      <c r="MR286">
        <v>1</v>
      </c>
      <c r="MS286">
        <v>1</v>
      </c>
      <c r="MT286">
        <v>1</v>
      </c>
      <c r="MU286">
        <v>1</v>
      </c>
      <c r="MV286">
        <v>1</v>
      </c>
      <c r="MW286">
        <v>1</v>
      </c>
      <c r="MX286">
        <v>1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1</v>
      </c>
      <c r="NJ286">
        <v>1</v>
      </c>
      <c r="NK286">
        <v>1</v>
      </c>
      <c r="NL286">
        <v>1</v>
      </c>
      <c r="NM286">
        <v>1</v>
      </c>
      <c r="NN286">
        <v>1</v>
      </c>
      <c r="NO286">
        <v>1</v>
      </c>
      <c r="NP286">
        <v>101.6758</v>
      </c>
      <c r="NQ286">
        <v>1</v>
      </c>
      <c r="NR286">
        <v>1</v>
      </c>
      <c r="NS286">
        <v>1</v>
      </c>
      <c r="NT286">
        <v>1</v>
      </c>
      <c r="NU286">
        <v>1</v>
      </c>
      <c r="NV286">
        <v>1</v>
      </c>
      <c r="NW286">
        <v>1</v>
      </c>
      <c r="NX286">
        <v>1</v>
      </c>
      <c r="NY286">
        <v>1</v>
      </c>
      <c r="NZ286">
        <v>1</v>
      </c>
      <c r="OA286">
        <v>1</v>
      </c>
      <c r="OB286">
        <v>1</v>
      </c>
      <c r="OC286">
        <v>23.9</v>
      </c>
      <c r="OD286">
        <v>23943.200000000001</v>
      </c>
      <c r="OE286">
        <v>0.48</v>
      </c>
      <c r="OF286">
        <v>103.712</v>
      </c>
      <c r="OG286">
        <v>20.9</v>
      </c>
      <c r="OH286">
        <v>54.822000000000003</v>
      </c>
    </row>
    <row r="287" spans="1:398">
      <c r="A287">
        <v>26</v>
      </c>
      <c r="B287" t="s">
        <v>116</v>
      </c>
      <c r="C287" t="s">
        <v>117</v>
      </c>
      <c r="D287">
        <v>2020</v>
      </c>
      <c r="E287">
        <v>16.727</v>
      </c>
      <c r="F287">
        <v>1.5808</v>
      </c>
      <c r="G287">
        <v>261</v>
      </c>
      <c r="H287">
        <v>59.3</v>
      </c>
      <c r="I287">
        <v>85.6</v>
      </c>
      <c r="J287">
        <v>9.9</v>
      </c>
      <c r="K287">
        <v>1476.2</v>
      </c>
      <c r="L287">
        <v>0.2</v>
      </c>
      <c r="M287">
        <v>1.6</v>
      </c>
      <c r="N287">
        <v>15918</v>
      </c>
      <c r="O287">
        <v>1</v>
      </c>
      <c r="P287">
        <v>0.96</v>
      </c>
      <c r="Q287">
        <v>8130.08</v>
      </c>
      <c r="R287">
        <v>46.2</v>
      </c>
      <c r="S287">
        <v>0.28012199999999998</v>
      </c>
      <c r="T287">
        <v>-0.18895780000000001</v>
      </c>
      <c r="U287">
        <v>-0.13937179999999999</v>
      </c>
      <c r="V287">
        <v>-1.85995</v>
      </c>
      <c r="W287">
        <v>1.591907</v>
      </c>
      <c r="X287">
        <v>0.3546378</v>
      </c>
      <c r="Y287">
        <v>0.26370379999999999</v>
      </c>
      <c r="Z287">
        <v>-0.43050919999999998</v>
      </c>
      <c r="AA287">
        <v>-1.3073250000000001</v>
      </c>
      <c r="AB287">
        <v>-0.18922800000000001</v>
      </c>
      <c r="AC287">
        <v>-0.63495170000000001</v>
      </c>
      <c r="AD287">
        <v>0.13562759999999999</v>
      </c>
      <c r="AE287">
        <v>0.1445591</v>
      </c>
      <c r="AF287">
        <v>0.4222764</v>
      </c>
      <c r="AG287">
        <v>-0.58174320000000002</v>
      </c>
      <c r="AH287">
        <v>-0.1959784</v>
      </c>
      <c r="AI287">
        <v>2.817024</v>
      </c>
      <c r="AJ287">
        <v>0.45793109999999998</v>
      </c>
      <c r="AK287">
        <v>5.5645199999999999</v>
      </c>
      <c r="AL287">
        <v>4.4496849999999997</v>
      </c>
      <c r="AM287">
        <v>2.292535</v>
      </c>
      <c r="AN287">
        <v>7.2972260000000002</v>
      </c>
      <c r="AO287">
        <v>9.6752059999999993</v>
      </c>
      <c r="AP287">
        <v>-4.0821999999999997E-2</v>
      </c>
      <c r="AQ287">
        <v>9.0033250000000002</v>
      </c>
      <c r="AR287">
        <v>4.64832</v>
      </c>
      <c r="AS287">
        <v>3.12236</v>
      </c>
      <c r="AT287">
        <v>10.035</v>
      </c>
      <c r="AU287">
        <v>55.118000000000002</v>
      </c>
      <c r="AV287">
        <v>147.54900000000001</v>
      </c>
      <c r="AW287">
        <v>0.94834099999999999</v>
      </c>
      <c r="AX287" s="17">
        <v>510000000</v>
      </c>
      <c r="AY287">
        <v>3.1986699999999999</v>
      </c>
      <c r="AZ287">
        <v>0.34</v>
      </c>
      <c r="BA287">
        <v>0</v>
      </c>
      <c r="BB287">
        <v>0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-0.73396899999999998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6.2356E-3</v>
      </c>
      <c r="CG287">
        <v>0.46951979999999999</v>
      </c>
      <c r="CH287">
        <v>0.16839499999999999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0.18761359999999999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0.2204488</v>
      </c>
      <c r="DI287">
        <v>3.5198800000000002E-2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0.15963669999999999</v>
      </c>
      <c r="DW287">
        <v>6.3788600000000001E-2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13.961650000000001</v>
      </c>
      <c r="EW287">
        <v>7.1395600000000004E-2</v>
      </c>
      <c r="EX287">
        <v>7.1399900000000002E-2</v>
      </c>
      <c r="EY287">
        <v>7.1604500000000001E-2</v>
      </c>
      <c r="EZ287">
        <v>7.1226499999999998E-2</v>
      </c>
      <c r="FA287">
        <v>7.1358400000000002E-2</v>
      </c>
      <c r="FB287">
        <v>7.1332800000000002E-2</v>
      </c>
      <c r="FC287">
        <v>7.1534299999999995E-2</v>
      </c>
      <c r="FD287">
        <v>7.1568400000000004E-2</v>
      </c>
      <c r="FE287">
        <v>7.1402400000000005E-2</v>
      </c>
      <c r="FF287">
        <v>7.1588600000000002E-2</v>
      </c>
      <c r="FG287">
        <v>7.1545300000000006E-2</v>
      </c>
      <c r="FH287">
        <v>7.1362700000000001E-2</v>
      </c>
      <c r="FI287">
        <v>7.1361300000000003E-2</v>
      </c>
      <c r="FJ287">
        <v>7.1319300000000002E-2</v>
      </c>
      <c r="FK287">
        <v>0.27978039999999998</v>
      </c>
      <c r="FL287">
        <v>7.8277100000000002E-2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-0.18895780000000001</v>
      </c>
      <c r="FZ287">
        <v>-0.13937179999999999</v>
      </c>
      <c r="GA287">
        <v>-1.85995</v>
      </c>
      <c r="GB287">
        <v>0.3546378</v>
      </c>
      <c r="GC287">
        <v>-0.43050919999999998</v>
      </c>
      <c r="GD287">
        <v>-0.63495170000000001</v>
      </c>
      <c r="GE287">
        <v>-0.58174320000000002</v>
      </c>
      <c r="GF287">
        <v>0.13562759999999999</v>
      </c>
      <c r="GG287">
        <v>0.1445591</v>
      </c>
      <c r="GH287">
        <v>-0.47695569999999998</v>
      </c>
      <c r="GI287">
        <v>0.22748669999999999</v>
      </c>
      <c r="GJ287">
        <v>1</v>
      </c>
      <c r="GK287">
        <v>1</v>
      </c>
      <c r="GL287">
        <v>1</v>
      </c>
      <c r="GM287">
        <v>1</v>
      </c>
      <c r="GN287">
        <v>1</v>
      </c>
      <c r="GO287">
        <v>1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9.5125299999999996E-2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-0.1621649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1</v>
      </c>
      <c r="HQ287">
        <v>1</v>
      </c>
      <c r="HR287">
        <v>1</v>
      </c>
      <c r="HS287">
        <v>1</v>
      </c>
      <c r="HT287">
        <v>1</v>
      </c>
      <c r="HU287">
        <v>1</v>
      </c>
      <c r="HV287">
        <v>1</v>
      </c>
      <c r="HW287">
        <v>1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1</v>
      </c>
      <c r="IJ287">
        <v>1</v>
      </c>
      <c r="IK287">
        <v>1</v>
      </c>
      <c r="IL287">
        <v>1</v>
      </c>
      <c r="IM287">
        <v>1</v>
      </c>
      <c r="IN287">
        <v>1</v>
      </c>
      <c r="IO287">
        <v>1</v>
      </c>
      <c r="IP287">
        <v>1</v>
      </c>
      <c r="IQ287">
        <v>1</v>
      </c>
      <c r="IR287">
        <v>1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1</v>
      </c>
      <c r="JC287">
        <v>1</v>
      </c>
      <c r="JD287">
        <v>1</v>
      </c>
      <c r="JE287">
        <v>1</v>
      </c>
      <c r="JF287">
        <v>1</v>
      </c>
      <c r="JG287">
        <v>1</v>
      </c>
      <c r="JH287">
        <v>1</v>
      </c>
      <c r="JI287">
        <v>1</v>
      </c>
      <c r="JJ287">
        <v>1</v>
      </c>
      <c r="JK287">
        <v>1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1</v>
      </c>
      <c r="JR287">
        <v>1</v>
      </c>
      <c r="JS287">
        <v>1</v>
      </c>
      <c r="JT287">
        <v>1</v>
      </c>
      <c r="JU287">
        <v>1</v>
      </c>
      <c r="JV287">
        <v>1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1</v>
      </c>
      <c r="KE287">
        <v>1</v>
      </c>
      <c r="KF287">
        <v>1</v>
      </c>
      <c r="KG287">
        <v>1</v>
      </c>
      <c r="KH287">
        <v>1</v>
      </c>
      <c r="KI287">
        <v>1</v>
      </c>
      <c r="KJ287">
        <v>1</v>
      </c>
      <c r="KK287">
        <v>1</v>
      </c>
      <c r="KL287">
        <v>1</v>
      </c>
      <c r="KM287">
        <v>1</v>
      </c>
      <c r="KN287">
        <v>1</v>
      </c>
      <c r="KO287">
        <v>1</v>
      </c>
      <c r="KP287">
        <v>1</v>
      </c>
      <c r="KQ287">
        <v>1</v>
      </c>
      <c r="KR287">
        <v>1</v>
      </c>
      <c r="KS287">
        <v>1</v>
      </c>
      <c r="KT287">
        <v>1</v>
      </c>
      <c r="KU287">
        <v>1</v>
      </c>
      <c r="KV287">
        <v>1</v>
      </c>
      <c r="KW287">
        <v>1</v>
      </c>
      <c r="KX287">
        <v>1</v>
      </c>
      <c r="KY287">
        <v>1</v>
      </c>
      <c r="KZ287">
        <v>1</v>
      </c>
      <c r="LA287">
        <v>1</v>
      </c>
      <c r="LB287">
        <v>1</v>
      </c>
      <c r="LC287">
        <v>1</v>
      </c>
      <c r="LD287">
        <v>1</v>
      </c>
      <c r="LE287">
        <v>1</v>
      </c>
      <c r="LF287">
        <v>1</v>
      </c>
      <c r="LG287">
        <v>1</v>
      </c>
      <c r="LH287">
        <v>1</v>
      </c>
      <c r="LI287">
        <v>1</v>
      </c>
      <c r="LJ287">
        <v>1</v>
      </c>
      <c r="LK287">
        <v>1</v>
      </c>
      <c r="LL287">
        <v>1</v>
      </c>
      <c r="LM287">
        <v>1</v>
      </c>
      <c r="LN287">
        <v>1</v>
      </c>
      <c r="LO287">
        <v>1</v>
      </c>
      <c r="LP287">
        <v>1</v>
      </c>
      <c r="LQ287">
        <v>1</v>
      </c>
      <c r="LR287">
        <v>1</v>
      </c>
      <c r="LS287">
        <v>1</v>
      </c>
      <c r="LT287">
        <v>1</v>
      </c>
      <c r="LU287">
        <v>1</v>
      </c>
      <c r="LV287">
        <v>1</v>
      </c>
      <c r="LW287">
        <v>1</v>
      </c>
      <c r="LX287">
        <v>1</v>
      </c>
      <c r="LY287">
        <v>1</v>
      </c>
      <c r="LZ287">
        <v>1</v>
      </c>
      <c r="MA287">
        <v>1</v>
      </c>
      <c r="MB287">
        <v>1</v>
      </c>
      <c r="MC287">
        <v>1</v>
      </c>
      <c r="MD287">
        <v>1</v>
      </c>
      <c r="ME287">
        <v>1</v>
      </c>
      <c r="MF287">
        <v>1</v>
      </c>
      <c r="MG287">
        <v>1</v>
      </c>
      <c r="MH287">
        <v>1</v>
      </c>
      <c r="MI287">
        <v>1</v>
      </c>
      <c r="MJ287">
        <v>1</v>
      </c>
      <c r="MK287">
        <v>1</v>
      </c>
      <c r="ML287">
        <v>1</v>
      </c>
      <c r="MM287">
        <v>1</v>
      </c>
      <c r="MN287">
        <v>1</v>
      </c>
      <c r="MO287">
        <v>1</v>
      </c>
      <c r="MP287">
        <v>1</v>
      </c>
      <c r="MQ287">
        <v>1</v>
      </c>
      <c r="MR287">
        <v>1</v>
      </c>
      <c r="MS287">
        <v>1</v>
      </c>
      <c r="MT287">
        <v>1</v>
      </c>
      <c r="MU287">
        <v>1</v>
      </c>
      <c r="MV287">
        <v>1</v>
      </c>
      <c r="MW287">
        <v>1</v>
      </c>
      <c r="MX287">
        <v>1</v>
      </c>
      <c r="MY287">
        <v>1</v>
      </c>
      <c r="MZ287">
        <v>1</v>
      </c>
      <c r="NA287">
        <v>1</v>
      </c>
      <c r="NB287">
        <v>1</v>
      </c>
      <c r="NC287">
        <v>1</v>
      </c>
      <c r="ND287">
        <v>1</v>
      </c>
      <c r="NE287">
        <v>1</v>
      </c>
      <c r="NF287">
        <v>1</v>
      </c>
      <c r="NG287">
        <v>1</v>
      </c>
      <c r="NH287">
        <v>1</v>
      </c>
      <c r="NI287">
        <v>1</v>
      </c>
      <c r="NJ287">
        <v>1</v>
      </c>
      <c r="NK287">
        <v>1</v>
      </c>
      <c r="NL287">
        <v>1</v>
      </c>
      <c r="NM287">
        <v>1</v>
      </c>
      <c r="NN287">
        <v>1</v>
      </c>
      <c r="NO287">
        <v>1</v>
      </c>
      <c r="NP287">
        <v>100.70180000000001</v>
      </c>
      <c r="NQ287">
        <v>1</v>
      </c>
      <c r="NR287">
        <v>1</v>
      </c>
      <c r="NS287">
        <v>1</v>
      </c>
      <c r="NT287">
        <v>1</v>
      </c>
      <c r="NU287">
        <v>1</v>
      </c>
      <c r="NV287">
        <v>1</v>
      </c>
      <c r="NW287">
        <v>1</v>
      </c>
      <c r="NX287">
        <v>1</v>
      </c>
      <c r="NY287">
        <v>1</v>
      </c>
      <c r="NZ287">
        <v>1</v>
      </c>
      <c r="OA287">
        <v>1</v>
      </c>
      <c r="OB287">
        <v>1</v>
      </c>
      <c r="OC287">
        <v>24.5</v>
      </c>
      <c r="OD287">
        <v>22811.8</v>
      </c>
      <c r="OE287">
        <v>0.48</v>
      </c>
      <c r="OF287">
        <v>104.40900000000001</v>
      </c>
      <c r="OG287">
        <v>22.7</v>
      </c>
      <c r="OH287">
        <v>55.118000000000002</v>
      </c>
    </row>
    <row r="288" spans="1:398">
      <c r="A288">
        <v>27</v>
      </c>
      <c r="B288" t="s">
        <v>118</v>
      </c>
      <c r="C288" t="s">
        <v>119</v>
      </c>
      <c r="D288">
        <v>2010</v>
      </c>
      <c r="E288">
        <v>14.327</v>
      </c>
      <c r="F288">
        <v>0.98750000000000004</v>
      </c>
      <c r="G288">
        <v>461</v>
      </c>
      <c r="H288">
        <v>9.1</v>
      </c>
      <c r="I288">
        <v>87.1</v>
      </c>
      <c r="J288">
        <v>5</v>
      </c>
      <c r="K288">
        <v>100.6</v>
      </c>
      <c r="L288">
        <v>0.2</v>
      </c>
      <c r="M288">
        <v>1.7</v>
      </c>
      <c r="N288">
        <v>50834</v>
      </c>
      <c r="O288">
        <v>4.6900000000000004</v>
      </c>
      <c r="P288">
        <v>0.88</v>
      </c>
      <c r="Q288">
        <v>6462.21</v>
      </c>
      <c r="R288">
        <v>42.2</v>
      </c>
      <c r="S288">
        <v>0.21133099999999999</v>
      </c>
      <c r="T288">
        <v>-0.48054429999999998</v>
      </c>
      <c r="U288">
        <v>-0.70879150000000002</v>
      </c>
      <c r="V288">
        <v>-0.34145639999999999</v>
      </c>
      <c r="W288">
        <v>-1.6396120000000001</v>
      </c>
      <c r="X288">
        <v>0.56298700000000002</v>
      </c>
      <c r="Y288">
        <v>-0.52093769999999995</v>
      </c>
      <c r="Z288">
        <v>-0.61001280000000002</v>
      </c>
      <c r="AA288">
        <v>-1.3073250000000001</v>
      </c>
      <c r="AB288">
        <v>-5.7301400000000002E-2</v>
      </c>
      <c r="AC288">
        <v>-0.44954860000000002</v>
      </c>
      <c r="AD288">
        <v>-0.25640570000000001</v>
      </c>
      <c r="AE288">
        <v>-0.4049352</v>
      </c>
      <c r="AF288">
        <v>0.2115639</v>
      </c>
      <c r="AG288">
        <v>-0.38955600000000001</v>
      </c>
      <c r="AH288">
        <v>-1.9064300000000001</v>
      </c>
      <c r="AI288">
        <v>2.6621459999999999</v>
      </c>
      <c r="AJ288">
        <v>-1.2578799999999999E-2</v>
      </c>
      <c r="AK288">
        <v>6.1333979999999997</v>
      </c>
      <c r="AL288">
        <v>4.4670569999999996</v>
      </c>
      <c r="AM288">
        <v>1.6094379999999999</v>
      </c>
      <c r="AN288">
        <v>4.6111519999999997</v>
      </c>
      <c r="AO288">
        <v>10.836320000000001</v>
      </c>
      <c r="AP288">
        <v>-0.12783340000000001</v>
      </c>
      <c r="AQ288">
        <v>8.7737269999999992</v>
      </c>
      <c r="AR288">
        <v>4.7194700000000003</v>
      </c>
      <c r="AS288">
        <v>2.3321399999999999</v>
      </c>
      <c r="AT288">
        <v>9.5885099999999994</v>
      </c>
      <c r="AU288">
        <v>54.685000000000002</v>
      </c>
      <c r="AV288">
        <v>155.10900000000001</v>
      </c>
      <c r="AW288">
        <v>2.3222299999999998</v>
      </c>
      <c r="AX288" s="17">
        <v>2100000000</v>
      </c>
      <c r="AY288">
        <v>2.9704100000000002</v>
      </c>
      <c r="AZ288">
        <v>0.28000000000000003</v>
      </c>
      <c r="BA288">
        <v>1.5454330000000001</v>
      </c>
      <c r="BB288">
        <v>1.5454326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0.75480199999999997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5.6450000000000001E-4</v>
      </c>
      <c r="CG288">
        <v>0.40544069999999999</v>
      </c>
      <c r="CH288">
        <v>0.122436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-1.624401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0.1643821</v>
      </c>
      <c r="DI288">
        <v>2.6386799999999999</v>
      </c>
      <c r="DJ288">
        <v>1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0.1135234</v>
      </c>
      <c r="DW288">
        <v>-0.45483240000000003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13.968450000000001</v>
      </c>
      <c r="EW288">
        <v>7.1388900000000005E-2</v>
      </c>
      <c r="EX288">
        <v>7.1456400000000003E-2</v>
      </c>
      <c r="EY288">
        <v>7.1378999999999998E-2</v>
      </c>
      <c r="EZ288">
        <v>7.1536799999999998E-2</v>
      </c>
      <c r="FA288">
        <v>7.1315100000000006E-2</v>
      </c>
      <c r="FB288">
        <v>7.1443300000000001E-2</v>
      </c>
      <c r="FC288">
        <v>7.15813E-2</v>
      </c>
      <c r="FD288">
        <v>7.1533600000000003E-2</v>
      </c>
      <c r="FE288">
        <v>7.1351700000000004E-2</v>
      </c>
      <c r="FF288">
        <v>7.1484699999999998E-2</v>
      </c>
      <c r="FG288">
        <v>7.1451600000000004E-2</v>
      </c>
      <c r="FH288">
        <v>7.1370400000000001E-2</v>
      </c>
      <c r="FI288">
        <v>7.1394600000000003E-2</v>
      </c>
      <c r="FJ288">
        <v>7.1312700000000007E-2</v>
      </c>
      <c r="FK288">
        <v>0.21117720000000001</v>
      </c>
      <c r="FL288">
        <v>4.4595799999999998E-2</v>
      </c>
      <c r="FM288">
        <v>1</v>
      </c>
      <c r="FN288">
        <v>1</v>
      </c>
      <c r="FO288">
        <v>1</v>
      </c>
      <c r="FP288">
        <v>1</v>
      </c>
      <c r="FQ288">
        <v>1</v>
      </c>
      <c r="FR288">
        <v>1</v>
      </c>
      <c r="FS288">
        <v>1</v>
      </c>
      <c r="FT288">
        <v>1</v>
      </c>
      <c r="FU288">
        <v>1</v>
      </c>
      <c r="FV288">
        <v>1</v>
      </c>
      <c r="FW288">
        <v>1</v>
      </c>
      <c r="FX288">
        <v>1</v>
      </c>
      <c r="FY288">
        <v>-0.48054429999999998</v>
      </c>
      <c r="FZ288">
        <v>-0.70879150000000002</v>
      </c>
      <c r="GA288">
        <v>-0.34145639999999999</v>
      </c>
      <c r="GB288">
        <v>0.56298700000000002</v>
      </c>
      <c r="GC288">
        <v>-0.61001280000000002</v>
      </c>
      <c r="GD288">
        <v>-0.44954860000000002</v>
      </c>
      <c r="GE288">
        <v>-0.38955600000000001</v>
      </c>
      <c r="GF288">
        <v>-0.25640570000000001</v>
      </c>
      <c r="GG288">
        <v>-0.4049352</v>
      </c>
      <c r="GH288">
        <v>-2.8279640000000001</v>
      </c>
      <c r="GI288">
        <v>7.9973809999999999</v>
      </c>
      <c r="GJ288">
        <v>1</v>
      </c>
      <c r="GK288">
        <v>1</v>
      </c>
      <c r="GL288">
        <v>1</v>
      </c>
      <c r="GM288">
        <v>1</v>
      </c>
      <c r="GN288">
        <v>1</v>
      </c>
      <c r="GO288">
        <v>1</v>
      </c>
      <c r="GP288">
        <v>1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5.9129599999999997E-2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1</v>
      </c>
      <c r="HF288">
        <v>1</v>
      </c>
      <c r="HG288">
        <v>1</v>
      </c>
      <c r="HH288">
        <v>1</v>
      </c>
      <c r="HI288">
        <v>-0.79182989999999998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1</v>
      </c>
      <c r="HQ288">
        <v>1</v>
      </c>
      <c r="HR288">
        <v>1</v>
      </c>
      <c r="HS288">
        <v>1</v>
      </c>
      <c r="HT288">
        <v>1</v>
      </c>
      <c r="HU288">
        <v>1</v>
      </c>
      <c r="HV288">
        <v>1</v>
      </c>
      <c r="HW288">
        <v>1</v>
      </c>
      <c r="HX288">
        <v>1</v>
      </c>
      <c r="HY288">
        <v>1</v>
      </c>
      <c r="HZ288">
        <v>1</v>
      </c>
      <c r="IA288">
        <v>1</v>
      </c>
      <c r="IB288">
        <v>1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1</v>
      </c>
      <c r="IJ288">
        <v>1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1</v>
      </c>
      <c r="IR288">
        <v>1</v>
      </c>
      <c r="IS288">
        <v>1</v>
      </c>
      <c r="IT288">
        <v>1</v>
      </c>
      <c r="IU288">
        <v>1</v>
      </c>
      <c r="IV288">
        <v>1</v>
      </c>
      <c r="IW288">
        <v>1</v>
      </c>
      <c r="IX288">
        <v>1</v>
      </c>
      <c r="IY288">
        <v>1</v>
      </c>
      <c r="IZ288">
        <v>1</v>
      </c>
      <c r="JA288">
        <v>1</v>
      </c>
      <c r="JB288">
        <v>1</v>
      </c>
      <c r="JC288">
        <v>1</v>
      </c>
      <c r="JD288">
        <v>1</v>
      </c>
      <c r="JE288">
        <v>1</v>
      </c>
      <c r="JF288">
        <v>1</v>
      </c>
      <c r="JG288">
        <v>1</v>
      </c>
      <c r="JH288">
        <v>1</v>
      </c>
      <c r="JI288">
        <v>1</v>
      </c>
      <c r="JJ288">
        <v>1</v>
      </c>
      <c r="JK288">
        <v>1</v>
      </c>
      <c r="JL288">
        <v>1</v>
      </c>
      <c r="JM288">
        <v>1</v>
      </c>
      <c r="JN288">
        <v>1</v>
      </c>
      <c r="JO288">
        <v>1</v>
      </c>
      <c r="JP288">
        <v>1</v>
      </c>
      <c r="JQ288">
        <v>1</v>
      </c>
      <c r="JR288">
        <v>1</v>
      </c>
      <c r="JS288">
        <v>1</v>
      </c>
      <c r="JT288">
        <v>1</v>
      </c>
      <c r="JU288">
        <v>1</v>
      </c>
      <c r="JV288">
        <v>1</v>
      </c>
      <c r="JW288">
        <v>1</v>
      </c>
      <c r="JX288">
        <v>1</v>
      </c>
      <c r="JY288">
        <v>1</v>
      </c>
      <c r="JZ288">
        <v>1</v>
      </c>
      <c r="KA288">
        <v>1</v>
      </c>
      <c r="KB288">
        <v>1</v>
      </c>
      <c r="KC288">
        <v>1</v>
      </c>
      <c r="KD288">
        <v>1</v>
      </c>
      <c r="KE288">
        <v>1</v>
      </c>
      <c r="KF288">
        <v>1</v>
      </c>
      <c r="KG288">
        <v>1</v>
      </c>
      <c r="KH288">
        <v>1</v>
      </c>
      <c r="KI288">
        <v>1</v>
      </c>
      <c r="KJ288">
        <v>1</v>
      </c>
      <c r="KK288">
        <v>1</v>
      </c>
      <c r="KL288">
        <v>1</v>
      </c>
      <c r="KM288">
        <v>1</v>
      </c>
      <c r="KN288">
        <v>1</v>
      </c>
      <c r="KO288">
        <v>1</v>
      </c>
      <c r="KP288">
        <v>1</v>
      </c>
      <c r="KQ288">
        <v>1</v>
      </c>
      <c r="KR288">
        <v>1</v>
      </c>
      <c r="KS288">
        <v>1</v>
      </c>
      <c r="KT288">
        <v>1</v>
      </c>
      <c r="KU288">
        <v>1</v>
      </c>
      <c r="KV288">
        <v>1</v>
      </c>
      <c r="KW288">
        <v>1</v>
      </c>
      <c r="KX288">
        <v>1</v>
      </c>
      <c r="KY288">
        <v>1</v>
      </c>
      <c r="KZ288">
        <v>1</v>
      </c>
      <c r="LA288">
        <v>1</v>
      </c>
      <c r="LB288">
        <v>1</v>
      </c>
      <c r="LC288">
        <v>1</v>
      </c>
      <c r="LD288">
        <v>1</v>
      </c>
      <c r="LE288">
        <v>1</v>
      </c>
      <c r="LF288">
        <v>1</v>
      </c>
      <c r="LG288">
        <v>1</v>
      </c>
      <c r="LH288">
        <v>1</v>
      </c>
      <c r="LI288">
        <v>1</v>
      </c>
      <c r="LJ288">
        <v>1</v>
      </c>
      <c r="LK288">
        <v>1</v>
      </c>
      <c r="LL288">
        <v>1</v>
      </c>
      <c r="LM288">
        <v>1</v>
      </c>
      <c r="LN288">
        <v>1</v>
      </c>
      <c r="LO288">
        <v>1</v>
      </c>
      <c r="LP288">
        <v>1</v>
      </c>
      <c r="LQ288">
        <v>1</v>
      </c>
      <c r="LR288">
        <v>1</v>
      </c>
      <c r="LS288">
        <v>1</v>
      </c>
      <c r="LT288">
        <v>1</v>
      </c>
      <c r="LU288">
        <v>1</v>
      </c>
      <c r="LV288">
        <v>1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1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1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1</v>
      </c>
      <c r="MX288">
        <v>1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1</v>
      </c>
      <c r="NF288">
        <v>1</v>
      </c>
      <c r="NG288">
        <v>1</v>
      </c>
      <c r="NH288">
        <v>1</v>
      </c>
      <c r="NI288">
        <v>1</v>
      </c>
      <c r="NJ288">
        <v>1</v>
      </c>
      <c r="NK288">
        <v>1</v>
      </c>
      <c r="NL288">
        <v>1</v>
      </c>
      <c r="NM288">
        <v>1</v>
      </c>
      <c r="NN288">
        <v>1</v>
      </c>
      <c r="NO288">
        <v>1</v>
      </c>
      <c r="NP288">
        <v>91.939509999999999</v>
      </c>
      <c r="NQ288">
        <v>1</v>
      </c>
      <c r="NR288">
        <v>1</v>
      </c>
      <c r="NS288">
        <v>1</v>
      </c>
      <c r="NT288">
        <v>1</v>
      </c>
      <c r="NU288">
        <v>1</v>
      </c>
      <c r="NV288">
        <v>1</v>
      </c>
      <c r="NW288">
        <v>1</v>
      </c>
      <c r="NX288">
        <v>1</v>
      </c>
      <c r="NY288">
        <v>1</v>
      </c>
      <c r="NZ288">
        <v>1</v>
      </c>
      <c r="OA288">
        <v>1</v>
      </c>
      <c r="OB288">
        <v>1</v>
      </c>
      <c r="OC288">
        <v>19.5</v>
      </c>
      <c r="OD288">
        <v>14596.1</v>
      </c>
      <c r="OE288">
        <v>0</v>
      </c>
      <c r="OF288">
        <v>112.10899999999999</v>
      </c>
      <c r="OG288">
        <v>10.3</v>
      </c>
      <c r="OH288">
        <v>54.685000000000002</v>
      </c>
    </row>
    <row r="289" spans="1:398">
      <c r="A289">
        <v>27</v>
      </c>
      <c r="B289" t="s">
        <v>118</v>
      </c>
      <c r="C289" t="s">
        <v>119</v>
      </c>
      <c r="D289">
        <v>2011</v>
      </c>
      <c r="E289">
        <v>13.977</v>
      </c>
      <c r="F289">
        <v>1.0016</v>
      </c>
      <c r="G289">
        <v>479</v>
      </c>
      <c r="H289">
        <v>10.9</v>
      </c>
      <c r="I289">
        <v>86.6</v>
      </c>
      <c r="J289">
        <v>4.7</v>
      </c>
      <c r="K289">
        <v>932.4</v>
      </c>
      <c r="L289">
        <v>0.3</v>
      </c>
      <c r="M289">
        <v>1.6</v>
      </c>
      <c r="N289">
        <v>49517</v>
      </c>
      <c r="O289">
        <v>3.46</v>
      </c>
      <c r="P289">
        <v>0.87</v>
      </c>
      <c r="Q289">
        <v>6393.2</v>
      </c>
      <c r="R289">
        <v>41.8</v>
      </c>
      <c r="S289">
        <v>0.21529799999999999</v>
      </c>
      <c r="T289">
        <v>-0.52306719999999995</v>
      </c>
      <c r="U289">
        <v>-0.69525899999999996</v>
      </c>
      <c r="V289">
        <v>-0.2047921</v>
      </c>
      <c r="W289">
        <v>-1.523741</v>
      </c>
      <c r="X289">
        <v>0.49353720000000001</v>
      </c>
      <c r="Y289">
        <v>-0.56897710000000001</v>
      </c>
      <c r="Z289">
        <v>-0.50147030000000004</v>
      </c>
      <c r="AA289">
        <v>-1.029191</v>
      </c>
      <c r="AB289">
        <v>-0.18922800000000001</v>
      </c>
      <c r="AC289">
        <v>-0.4565418</v>
      </c>
      <c r="AD289">
        <v>-0.30540980000000001</v>
      </c>
      <c r="AE289">
        <v>-0.42767230000000001</v>
      </c>
      <c r="AF289">
        <v>0.19049260000000001</v>
      </c>
      <c r="AG289">
        <v>-0.45361839999999998</v>
      </c>
      <c r="AH289">
        <v>-1.7909189999999999</v>
      </c>
      <c r="AI289">
        <v>2.637413</v>
      </c>
      <c r="AJ289">
        <v>1.5987E-3</v>
      </c>
      <c r="AK289">
        <v>6.1717000000000004</v>
      </c>
      <c r="AL289">
        <v>4.4612999999999996</v>
      </c>
      <c r="AM289">
        <v>1.5475620000000001</v>
      </c>
      <c r="AN289">
        <v>6.8377619999999997</v>
      </c>
      <c r="AO289">
        <v>10.81007</v>
      </c>
      <c r="AP289">
        <v>-0.1392621</v>
      </c>
      <c r="AQ289">
        <v>8.7629900000000003</v>
      </c>
      <c r="AR289">
        <v>4.7208300000000003</v>
      </c>
      <c r="AS289">
        <v>2.3418100000000002</v>
      </c>
      <c r="AT289">
        <v>9.6125299999999996</v>
      </c>
      <c r="AU289">
        <v>54.42</v>
      </c>
      <c r="AV289">
        <v>169.178</v>
      </c>
      <c r="AW289">
        <v>5.4476599999999999</v>
      </c>
      <c r="AX289" s="17">
        <v>5400000000</v>
      </c>
      <c r="AY289">
        <v>3.0204300000000002</v>
      </c>
      <c r="AZ289">
        <v>0.28000000000000003</v>
      </c>
      <c r="BA289">
        <v>1.241269</v>
      </c>
      <c r="BB289">
        <v>1.2412685999999999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-6.8398E-2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7.6710000000000005E-4</v>
      </c>
      <c r="CG289">
        <v>0.41954459999999999</v>
      </c>
      <c r="CH289">
        <v>0.12734999999999999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-1.294141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0.1760177</v>
      </c>
      <c r="DI289">
        <v>1.674801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0.11747249999999999</v>
      </c>
      <c r="DW289">
        <v>-0.3623595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v>13.967610000000001</v>
      </c>
      <c r="EW289">
        <v>7.1397699999999995E-2</v>
      </c>
      <c r="EX289">
        <v>7.1458599999999997E-2</v>
      </c>
      <c r="EY289">
        <v>7.1369299999999997E-2</v>
      </c>
      <c r="EZ289">
        <v>7.1525000000000005E-2</v>
      </c>
      <c r="FA289">
        <v>7.1323399999999995E-2</v>
      </c>
      <c r="FB289">
        <v>7.1457599999999996E-2</v>
      </c>
      <c r="FC289">
        <v>7.1533299999999994E-2</v>
      </c>
      <c r="FD289">
        <v>7.1492200000000006E-2</v>
      </c>
      <c r="FE289">
        <v>7.1373099999999995E-2</v>
      </c>
      <c r="FF289">
        <v>7.1491499999999999E-2</v>
      </c>
      <c r="FG289">
        <v>7.1474999999999997E-2</v>
      </c>
      <c r="FH289">
        <v>7.1380600000000002E-2</v>
      </c>
      <c r="FI289">
        <v>7.1402199999999999E-2</v>
      </c>
      <c r="FJ289">
        <v>7.1320599999999998E-2</v>
      </c>
      <c r="FK289">
        <v>0.21517049999999999</v>
      </c>
      <c r="FL289">
        <v>4.6298300000000001E-2</v>
      </c>
      <c r="FM289">
        <v>1</v>
      </c>
      <c r="FN289">
        <v>1</v>
      </c>
      <c r="FO289">
        <v>1</v>
      </c>
      <c r="FP289">
        <v>1</v>
      </c>
      <c r="FQ289">
        <v>1</v>
      </c>
      <c r="FR289">
        <v>1</v>
      </c>
      <c r="FS289">
        <v>1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-0.52306719999999995</v>
      </c>
      <c r="FZ289">
        <v>-0.69525899999999996</v>
      </c>
      <c r="GA289">
        <v>-0.2047921</v>
      </c>
      <c r="GB289">
        <v>0.49353720000000001</v>
      </c>
      <c r="GC289">
        <v>-0.50147030000000004</v>
      </c>
      <c r="GD289">
        <v>-0.4565418</v>
      </c>
      <c r="GE289">
        <v>-0.45361839999999998</v>
      </c>
      <c r="GF289">
        <v>-0.30540980000000001</v>
      </c>
      <c r="GG289">
        <v>-0.42767230000000001</v>
      </c>
      <c r="GH289">
        <v>-2.658242</v>
      </c>
      <c r="GI289">
        <v>7.0662520000000004</v>
      </c>
      <c r="GJ289">
        <v>1</v>
      </c>
      <c r="GK289">
        <v>1</v>
      </c>
      <c r="GL289">
        <v>1</v>
      </c>
      <c r="GM289">
        <v>1</v>
      </c>
      <c r="GN289">
        <v>1</v>
      </c>
      <c r="GO289">
        <v>1</v>
      </c>
      <c r="GP289">
        <v>1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6.0247700000000001E-2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1</v>
      </c>
      <c r="HG289">
        <v>1</v>
      </c>
      <c r="HH289">
        <v>1</v>
      </c>
      <c r="HI289">
        <v>-0.74430779999999996</v>
      </c>
      <c r="HJ289">
        <v>1</v>
      </c>
      <c r="HK289">
        <v>1</v>
      </c>
      <c r="HL289">
        <v>1</v>
      </c>
      <c r="HM289">
        <v>1</v>
      </c>
      <c r="HN289">
        <v>1</v>
      </c>
      <c r="HO289">
        <v>1</v>
      </c>
      <c r="HP289">
        <v>1</v>
      </c>
      <c r="HQ289">
        <v>1</v>
      </c>
      <c r="HR289">
        <v>1</v>
      </c>
      <c r="HS289">
        <v>1</v>
      </c>
      <c r="HT289">
        <v>1</v>
      </c>
      <c r="HU289">
        <v>1</v>
      </c>
      <c r="HV289">
        <v>1</v>
      </c>
      <c r="HW289">
        <v>1</v>
      </c>
      <c r="HX289">
        <v>1</v>
      </c>
      <c r="HY289">
        <v>1</v>
      </c>
      <c r="HZ289">
        <v>1</v>
      </c>
      <c r="IA289">
        <v>1</v>
      </c>
      <c r="IB289">
        <v>1</v>
      </c>
      <c r="IC289">
        <v>1</v>
      </c>
      <c r="ID289">
        <v>1</v>
      </c>
      <c r="IE289">
        <v>1</v>
      </c>
      <c r="IF289">
        <v>1</v>
      </c>
      <c r="IG289">
        <v>1</v>
      </c>
      <c r="IH289">
        <v>1</v>
      </c>
      <c r="II289">
        <v>1</v>
      </c>
      <c r="IJ289">
        <v>1</v>
      </c>
      <c r="IK289">
        <v>1</v>
      </c>
      <c r="IL289">
        <v>1</v>
      </c>
      <c r="IM289">
        <v>1</v>
      </c>
      <c r="IN289">
        <v>1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1</v>
      </c>
      <c r="IU289">
        <v>1</v>
      </c>
      <c r="IV289">
        <v>1</v>
      </c>
      <c r="IW289">
        <v>1</v>
      </c>
      <c r="IX289">
        <v>1</v>
      </c>
      <c r="IY289">
        <v>1</v>
      </c>
      <c r="IZ289">
        <v>1</v>
      </c>
      <c r="JA289">
        <v>1</v>
      </c>
      <c r="JB289">
        <v>1</v>
      </c>
      <c r="JC289">
        <v>1</v>
      </c>
      <c r="JD289">
        <v>1</v>
      </c>
      <c r="JE289">
        <v>1</v>
      </c>
      <c r="JF289">
        <v>1</v>
      </c>
      <c r="JG289">
        <v>1</v>
      </c>
      <c r="JH289">
        <v>1</v>
      </c>
      <c r="JI289">
        <v>1</v>
      </c>
      <c r="JJ289">
        <v>1</v>
      </c>
      <c r="JK289">
        <v>1</v>
      </c>
      <c r="JL289">
        <v>1</v>
      </c>
      <c r="JM289">
        <v>1</v>
      </c>
      <c r="JN289">
        <v>1</v>
      </c>
      <c r="JO289">
        <v>1</v>
      </c>
      <c r="JP289">
        <v>1</v>
      </c>
      <c r="JQ289">
        <v>1</v>
      </c>
      <c r="JR289">
        <v>1</v>
      </c>
      <c r="JS289">
        <v>1</v>
      </c>
      <c r="JT289">
        <v>1</v>
      </c>
      <c r="JU289">
        <v>1</v>
      </c>
      <c r="JV289">
        <v>1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1</v>
      </c>
      <c r="KD289">
        <v>1</v>
      </c>
      <c r="KE289">
        <v>1</v>
      </c>
      <c r="KF289">
        <v>1</v>
      </c>
      <c r="KG289">
        <v>1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1</v>
      </c>
      <c r="KN289">
        <v>1</v>
      </c>
      <c r="KO289">
        <v>1</v>
      </c>
      <c r="KP289">
        <v>1</v>
      </c>
      <c r="KQ289">
        <v>1</v>
      </c>
      <c r="KR289">
        <v>1</v>
      </c>
      <c r="KS289">
        <v>1</v>
      </c>
      <c r="KT289">
        <v>1</v>
      </c>
      <c r="KU289">
        <v>1</v>
      </c>
      <c r="KV289">
        <v>1</v>
      </c>
      <c r="KW289">
        <v>1</v>
      </c>
      <c r="KX289">
        <v>1</v>
      </c>
      <c r="KY289">
        <v>1</v>
      </c>
      <c r="KZ289">
        <v>1</v>
      </c>
      <c r="LA289">
        <v>1</v>
      </c>
      <c r="LB289">
        <v>1</v>
      </c>
      <c r="LC289">
        <v>1</v>
      </c>
      <c r="LD289">
        <v>1</v>
      </c>
      <c r="LE289">
        <v>1</v>
      </c>
      <c r="LF289">
        <v>1</v>
      </c>
      <c r="LG289">
        <v>1</v>
      </c>
      <c r="LH289">
        <v>1</v>
      </c>
      <c r="LI289">
        <v>1</v>
      </c>
      <c r="LJ289">
        <v>1</v>
      </c>
      <c r="LK289">
        <v>1</v>
      </c>
      <c r="LL289">
        <v>1</v>
      </c>
      <c r="LM289">
        <v>1</v>
      </c>
      <c r="LN289">
        <v>1</v>
      </c>
      <c r="LO289">
        <v>1</v>
      </c>
      <c r="LP289">
        <v>1</v>
      </c>
      <c r="LQ289">
        <v>1</v>
      </c>
      <c r="LR289">
        <v>1</v>
      </c>
      <c r="LS289">
        <v>1</v>
      </c>
      <c r="LT289">
        <v>1</v>
      </c>
      <c r="LU289">
        <v>1</v>
      </c>
      <c r="LV289">
        <v>1</v>
      </c>
      <c r="LW289">
        <v>1</v>
      </c>
      <c r="LX289">
        <v>1</v>
      </c>
      <c r="LY289">
        <v>1</v>
      </c>
      <c r="LZ289">
        <v>1</v>
      </c>
      <c r="MA289">
        <v>1</v>
      </c>
      <c r="MB289">
        <v>1</v>
      </c>
      <c r="MC289">
        <v>1</v>
      </c>
      <c r="MD289">
        <v>1</v>
      </c>
      <c r="ME289">
        <v>1</v>
      </c>
      <c r="MF289">
        <v>1</v>
      </c>
      <c r="MG289">
        <v>1</v>
      </c>
      <c r="MH289">
        <v>1</v>
      </c>
      <c r="MI289">
        <v>1</v>
      </c>
      <c r="MJ289">
        <v>1</v>
      </c>
      <c r="MK289">
        <v>1</v>
      </c>
      <c r="ML289">
        <v>1</v>
      </c>
      <c r="MM289">
        <v>1</v>
      </c>
      <c r="MN289">
        <v>1</v>
      </c>
      <c r="MO289">
        <v>1</v>
      </c>
      <c r="MP289">
        <v>1</v>
      </c>
      <c r="MQ289">
        <v>1</v>
      </c>
      <c r="MR289">
        <v>1</v>
      </c>
      <c r="MS289">
        <v>1</v>
      </c>
      <c r="MT289">
        <v>1</v>
      </c>
      <c r="MU289">
        <v>1</v>
      </c>
      <c r="MV289">
        <v>1</v>
      </c>
      <c r="MW289">
        <v>1</v>
      </c>
      <c r="MX289">
        <v>1</v>
      </c>
      <c r="MY289">
        <v>1</v>
      </c>
      <c r="MZ289">
        <v>1</v>
      </c>
      <c r="NA289">
        <v>1</v>
      </c>
      <c r="NB289">
        <v>1</v>
      </c>
      <c r="NC289">
        <v>1</v>
      </c>
      <c r="ND289">
        <v>1</v>
      </c>
      <c r="NE289">
        <v>1</v>
      </c>
      <c r="NF289">
        <v>1</v>
      </c>
      <c r="NG289">
        <v>1</v>
      </c>
      <c r="NH289">
        <v>1</v>
      </c>
      <c r="NI289">
        <v>1</v>
      </c>
      <c r="NJ289">
        <v>1</v>
      </c>
      <c r="NK289">
        <v>1</v>
      </c>
      <c r="NL289">
        <v>1</v>
      </c>
      <c r="NM289">
        <v>1</v>
      </c>
      <c r="NN289">
        <v>1</v>
      </c>
      <c r="NO289">
        <v>1</v>
      </c>
      <c r="NP289">
        <v>92.400670000000005</v>
      </c>
      <c r="NQ289">
        <v>1</v>
      </c>
      <c r="NR289">
        <v>1</v>
      </c>
      <c r="NS289">
        <v>1</v>
      </c>
      <c r="NT289">
        <v>1</v>
      </c>
      <c r="NU289">
        <v>1</v>
      </c>
      <c r="NV289">
        <v>1</v>
      </c>
      <c r="NW289">
        <v>1</v>
      </c>
      <c r="NX289">
        <v>1</v>
      </c>
      <c r="NY289">
        <v>1</v>
      </c>
      <c r="NZ289">
        <v>1</v>
      </c>
      <c r="OA289">
        <v>1</v>
      </c>
      <c r="OB289">
        <v>1</v>
      </c>
      <c r="OC289">
        <v>20.5</v>
      </c>
      <c r="OD289">
        <v>14950.9</v>
      </c>
      <c r="OE289">
        <v>0</v>
      </c>
      <c r="OF289">
        <v>112.261</v>
      </c>
      <c r="OG289">
        <v>10.4</v>
      </c>
      <c r="OH289">
        <v>54.42</v>
      </c>
    </row>
    <row r="290" spans="1:398">
      <c r="A290">
        <v>27</v>
      </c>
      <c r="B290" t="s">
        <v>118</v>
      </c>
      <c r="C290" t="s">
        <v>119</v>
      </c>
      <c r="D290">
        <v>2012</v>
      </c>
      <c r="E290">
        <v>11.624000000000001</v>
      </c>
      <c r="F290">
        <v>1.1495</v>
      </c>
      <c r="G290">
        <v>491</v>
      </c>
      <c r="H290">
        <v>13.4</v>
      </c>
      <c r="I290">
        <v>87.8</v>
      </c>
      <c r="J290">
        <v>4</v>
      </c>
      <c r="K290">
        <v>819.5</v>
      </c>
      <c r="L290">
        <v>0.4</v>
      </c>
      <c r="M290">
        <v>1.5</v>
      </c>
      <c r="N290">
        <v>43835</v>
      </c>
      <c r="O290">
        <v>2.23</v>
      </c>
      <c r="P290">
        <v>0.85</v>
      </c>
      <c r="Q290">
        <v>6034.78</v>
      </c>
      <c r="R290">
        <v>44.2</v>
      </c>
      <c r="S290">
        <v>0.21771199999999999</v>
      </c>
      <c r="T290">
        <v>-0.80894359999999998</v>
      </c>
      <c r="U290">
        <v>-0.55331200000000003</v>
      </c>
      <c r="V290">
        <v>-0.11368250000000001</v>
      </c>
      <c r="W290">
        <v>-1.3628089999999999</v>
      </c>
      <c r="X290">
        <v>0.66021730000000001</v>
      </c>
      <c r="Y290">
        <v>-0.68106869999999997</v>
      </c>
      <c r="Z290">
        <v>-0.51620270000000001</v>
      </c>
      <c r="AA290">
        <v>-0.75105639999999996</v>
      </c>
      <c r="AB290">
        <v>-0.32115470000000002</v>
      </c>
      <c r="AC290">
        <v>-0.48671310000000001</v>
      </c>
      <c r="AD290">
        <v>-0.4034181</v>
      </c>
      <c r="AE290">
        <v>-0.54575839999999998</v>
      </c>
      <c r="AF290">
        <v>0.31692009999999998</v>
      </c>
      <c r="AG290">
        <v>-0.51768080000000005</v>
      </c>
      <c r="AH290">
        <v>-1.6492500000000001</v>
      </c>
      <c r="AI290">
        <v>2.4530720000000001</v>
      </c>
      <c r="AJ290">
        <v>0.13932710000000001</v>
      </c>
      <c r="AK290">
        <v>6.1964439999999996</v>
      </c>
      <c r="AL290">
        <v>4.4750610000000002</v>
      </c>
      <c r="AM290">
        <v>1.3862939999999999</v>
      </c>
      <c r="AN290">
        <v>6.7086940000000004</v>
      </c>
      <c r="AO290">
        <v>10.688190000000001</v>
      </c>
      <c r="AP290">
        <v>-0.16251889999999999</v>
      </c>
      <c r="AQ290">
        <v>8.7052949999999996</v>
      </c>
      <c r="AR290">
        <v>4.7225299999999999</v>
      </c>
      <c r="AS290">
        <v>2.3513799999999998</v>
      </c>
      <c r="AT290">
        <v>9.6264000000000003</v>
      </c>
      <c r="AU290">
        <v>54.28</v>
      </c>
      <c r="AV290">
        <v>176.96899999999999</v>
      </c>
      <c r="AW290">
        <v>1.87551</v>
      </c>
      <c r="AX290" s="17">
        <v>1800000000</v>
      </c>
      <c r="AY290">
        <v>3.0680499999999999</v>
      </c>
      <c r="AZ290">
        <v>0.28000000000000003</v>
      </c>
      <c r="BA290">
        <v>0.80200159999999998</v>
      </c>
      <c r="BB290">
        <v>0.80200159999999998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-0.891598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1.0480999999999999E-3</v>
      </c>
      <c r="CG290">
        <v>0.41667710000000002</v>
      </c>
      <c r="CH290">
        <v>0.12659799999999999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-1.167427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0.17361989999999999</v>
      </c>
      <c r="DI290">
        <v>1.3628849999999999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0.1166696</v>
      </c>
      <c r="DW290">
        <v>-0.32687949999999999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13.967829999999999</v>
      </c>
      <c r="EW290">
        <v>7.14249E-2</v>
      </c>
      <c r="EX290">
        <v>7.14341E-2</v>
      </c>
      <c r="EY290">
        <v>7.1359300000000001E-2</v>
      </c>
      <c r="EZ290">
        <v>7.1502700000000002E-2</v>
      </c>
      <c r="FA290">
        <v>7.1315699999999996E-2</v>
      </c>
      <c r="FB290">
        <v>7.1480100000000005E-2</v>
      </c>
      <c r="FC290">
        <v>7.1538599999999994E-2</v>
      </c>
      <c r="FD290">
        <v>7.1449499999999999E-2</v>
      </c>
      <c r="FE290">
        <v>7.13892E-2</v>
      </c>
      <c r="FF290">
        <v>7.1500999999999995E-2</v>
      </c>
      <c r="FG290">
        <v>7.1493500000000001E-2</v>
      </c>
      <c r="FH290">
        <v>7.1390700000000001E-2</v>
      </c>
      <c r="FI290">
        <v>7.14167E-2</v>
      </c>
      <c r="FJ290">
        <v>7.1304199999999998E-2</v>
      </c>
      <c r="FK290">
        <v>0.21757860000000001</v>
      </c>
      <c r="FL290">
        <v>4.7340500000000001E-2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1</v>
      </c>
      <c r="FY290">
        <v>-0.80894359999999998</v>
      </c>
      <c r="FZ290">
        <v>-0.55331200000000003</v>
      </c>
      <c r="GA290">
        <v>-0.11368250000000001</v>
      </c>
      <c r="GB290">
        <v>0.66021730000000001</v>
      </c>
      <c r="GC290">
        <v>-0.51620270000000001</v>
      </c>
      <c r="GD290">
        <v>-0.48671310000000001</v>
      </c>
      <c r="GE290">
        <v>-0.51768080000000005</v>
      </c>
      <c r="GF290">
        <v>-0.4034181</v>
      </c>
      <c r="GG290">
        <v>-0.54575839999999998</v>
      </c>
      <c r="GH290">
        <v>-2.4954999999999998</v>
      </c>
      <c r="GI290">
        <v>6.2275200000000002</v>
      </c>
      <c r="GJ290">
        <v>1</v>
      </c>
      <c r="GK290">
        <v>1</v>
      </c>
      <c r="GL290">
        <v>1</v>
      </c>
      <c r="GM290">
        <v>1</v>
      </c>
      <c r="GN290">
        <v>1</v>
      </c>
      <c r="GO290">
        <v>1</v>
      </c>
      <c r="GP290">
        <v>1</v>
      </c>
      <c r="GQ290">
        <v>1</v>
      </c>
      <c r="GR290">
        <v>1</v>
      </c>
      <c r="GS290">
        <v>1</v>
      </c>
      <c r="GT290">
        <v>1</v>
      </c>
      <c r="GU290">
        <v>1</v>
      </c>
      <c r="GV290">
        <v>6.0921999999999997E-2</v>
      </c>
      <c r="GW290">
        <v>1</v>
      </c>
      <c r="GX290">
        <v>1</v>
      </c>
      <c r="GY290">
        <v>1</v>
      </c>
      <c r="GZ290">
        <v>1</v>
      </c>
      <c r="HA290">
        <v>1</v>
      </c>
      <c r="HB290">
        <v>1</v>
      </c>
      <c r="HC290">
        <v>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-0.69874000000000003</v>
      </c>
      <c r="HJ290">
        <v>1</v>
      </c>
      <c r="HK290">
        <v>1</v>
      </c>
      <c r="HL290">
        <v>1</v>
      </c>
      <c r="HM290">
        <v>1</v>
      </c>
      <c r="HN290">
        <v>1</v>
      </c>
      <c r="HO290">
        <v>1</v>
      </c>
      <c r="HP290">
        <v>1</v>
      </c>
      <c r="HQ290">
        <v>1</v>
      </c>
      <c r="HR290">
        <v>1</v>
      </c>
      <c r="HS290">
        <v>1</v>
      </c>
      <c r="HT290">
        <v>1</v>
      </c>
      <c r="HU290">
        <v>1</v>
      </c>
      <c r="HV290">
        <v>1</v>
      </c>
      <c r="HW290">
        <v>1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1</v>
      </c>
      <c r="IE290">
        <v>1</v>
      </c>
      <c r="IF290">
        <v>1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1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1</v>
      </c>
      <c r="IU290">
        <v>1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1</v>
      </c>
      <c r="JC290">
        <v>1</v>
      </c>
      <c r="JD290">
        <v>1</v>
      </c>
      <c r="JE290">
        <v>1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1</v>
      </c>
      <c r="JL290">
        <v>1</v>
      </c>
      <c r="JM290">
        <v>1</v>
      </c>
      <c r="JN290">
        <v>1</v>
      </c>
      <c r="JO290">
        <v>1</v>
      </c>
      <c r="JP290">
        <v>1</v>
      </c>
      <c r="JQ290">
        <v>1</v>
      </c>
      <c r="JR290">
        <v>1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1</v>
      </c>
      <c r="KH290">
        <v>1</v>
      </c>
      <c r="KI290">
        <v>1</v>
      </c>
      <c r="KJ290">
        <v>1</v>
      </c>
      <c r="KK290">
        <v>1</v>
      </c>
      <c r="KL290">
        <v>1</v>
      </c>
      <c r="KM290">
        <v>1</v>
      </c>
      <c r="KN290">
        <v>1</v>
      </c>
      <c r="KO290">
        <v>1</v>
      </c>
      <c r="KP290">
        <v>1</v>
      </c>
      <c r="KQ290">
        <v>1</v>
      </c>
      <c r="KR290">
        <v>1</v>
      </c>
      <c r="KS290">
        <v>1</v>
      </c>
      <c r="KT290">
        <v>1</v>
      </c>
      <c r="KU290">
        <v>1</v>
      </c>
      <c r="KV290">
        <v>1</v>
      </c>
      <c r="KW290">
        <v>1</v>
      </c>
      <c r="KX290">
        <v>1</v>
      </c>
      <c r="KY290">
        <v>1</v>
      </c>
      <c r="KZ290">
        <v>1</v>
      </c>
      <c r="LA290">
        <v>1</v>
      </c>
      <c r="LB290">
        <v>1</v>
      </c>
      <c r="LC290">
        <v>1</v>
      </c>
      <c r="LD290">
        <v>1</v>
      </c>
      <c r="LE290">
        <v>1</v>
      </c>
      <c r="LF290">
        <v>1</v>
      </c>
      <c r="LG290">
        <v>1</v>
      </c>
      <c r="LH290">
        <v>1</v>
      </c>
      <c r="LI290">
        <v>1</v>
      </c>
      <c r="LJ290">
        <v>1</v>
      </c>
      <c r="LK290">
        <v>1</v>
      </c>
      <c r="LL290">
        <v>1</v>
      </c>
      <c r="LM290">
        <v>1</v>
      </c>
      <c r="LN290">
        <v>1</v>
      </c>
      <c r="LO290">
        <v>1</v>
      </c>
      <c r="LP290">
        <v>1</v>
      </c>
      <c r="LQ290">
        <v>1</v>
      </c>
      <c r="LR290">
        <v>1</v>
      </c>
      <c r="LS290">
        <v>1</v>
      </c>
      <c r="LT290">
        <v>1</v>
      </c>
      <c r="LU290">
        <v>1</v>
      </c>
      <c r="LV290">
        <v>1</v>
      </c>
      <c r="LW290">
        <v>1</v>
      </c>
      <c r="LX290">
        <v>1</v>
      </c>
      <c r="LY290">
        <v>1</v>
      </c>
      <c r="LZ290">
        <v>1</v>
      </c>
      <c r="MA290">
        <v>1</v>
      </c>
      <c r="MB290">
        <v>1</v>
      </c>
      <c r="MC290">
        <v>1</v>
      </c>
      <c r="MD290">
        <v>1</v>
      </c>
      <c r="ME290">
        <v>1</v>
      </c>
      <c r="MF290">
        <v>1</v>
      </c>
      <c r="MG290">
        <v>1</v>
      </c>
      <c r="MH290">
        <v>1</v>
      </c>
      <c r="MI290">
        <v>1</v>
      </c>
      <c r="MJ290">
        <v>1</v>
      </c>
      <c r="MK290">
        <v>1</v>
      </c>
      <c r="ML290">
        <v>1</v>
      </c>
      <c r="MM290">
        <v>1</v>
      </c>
      <c r="MN290">
        <v>1</v>
      </c>
      <c r="MO290">
        <v>1</v>
      </c>
      <c r="MP290">
        <v>1</v>
      </c>
      <c r="MQ290">
        <v>1</v>
      </c>
      <c r="MR290">
        <v>1</v>
      </c>
      <c r="MS290">
        <v>1</v>
      </c>
      <c r="MT290">
        <v>1</v>
      </c>
      <c r="MU290">
        <v>1</v>
      </c>
      <c r="MV290">
        <v>1</v>
      </c>
      <c r="MW290">
        <v>1</v>
      </c>
      <c r="MX290">
        <v>1</v>
      </c>
      <c r="MY290">
        <v>1</v>
      </c>
      <c r="MZ290">
        <v>1</v>
      </c>
      <c r="NA290">
        <v>1</v>
      </c>
      <c r="NB290">
        <v>1</v>
      </c>
      <c r="NC290">
        <v>1</v>
      </c>
      <c r="ND290">
        <v>1</v>
      </c>
      <c r="NE290">
        <v>1</v>
      </c>
      <c r="NF290">
        <v>1</v>
      </c>
      <c r="NG290">
        <v>1</v>
      </c>
      <c r="NH290">
        <v>1</v>
      </c>
      <c r="NI290">
        <v>1</v>
      </c>
      <c r="NJ290">
        <v>1</v>
      </c>
      <c r="NK290">
        <v>1</v>
      </c>
      <c r="NL290">
        <v>1</v>
      </c>
      <c r="NM290">
        <v>1</v>
      </c>
      <c r="NN290">
        <v>1</v>
      </c>
      <c r="NO290">
        <v>1</v>
      </c>
      <c r="NP290">
        <v>92.667500000000004</v>
      </c>
      <c r="NQ290">
        <v>1</v>
      </c>
      <c r="NR290">
        <v>1</v>
      </c>
      <c r="NS290">
        <v>1</v>
      </c>
      <c r="NT290">
        <v>1</v>
      </c>
      <c r="NU290">
        <v>1</v>
      </c>
      <c r="NV290">
        <v>1</v>
      </c>
      <c r="NW290">
        <v>1</v>
      </c>
      <c r="NX290">
        <v>1</v>
      </c>
      <c r="NY290">
        <v>1</v>
      </c>
      <c r="NZ290">
        <v>1</v>
      </c>
      <c r="OA290">
        <v>1</v>
      </c>
      <c r="OB290">
        <v>1</v>
      </c>
      <c r="OC290">
        <v>21.5</v>
      </c>
      <c r="OD290">
        <v>15159.7</v>
      </c>
      <c r="OE290">
        <v>0.41</v>
      </c>
      <c r="OF290">
        <v>112.452</v>
      </c>
      <c r="OG290">
        <v>10.5</v>
      </c>
      <c r="OH290">
        <v>54.28</v>
      </c>
    </row>
    <row r="291" spans="1:398">
      <c r="A291">
        <v>27</v>
      </c>
      <c r="B291" t="s">
        <v>118</v>
      </c>
      <c r="C291" t="s">
        <v>119</v>
      </c>
      <c r="D291">
        <v>2013</v>
      </c>
      <c r="E291">
        <v>11.773</v>
      </c>
      <c r="F291">
        <v>1.2014</v>
      </c>
      <c r="G291">
        <v>488</v>
      </c>
      <c r="H291">
        <v>10.8</v>
      </c>
      <c r="I291">
        <v>85.1</v>
      </c>
      <c r="J291">
        <v>4.5</v>
      </c>
      <c r="K291">
        <v>473.4</v>
      </c>
      <c r="L291">
        <v>0.5</v>
      </c>
      <c r="M291">
        <v>1.4</v>
      </c>
      <c r="N291">
        <v>43909</v>
      </c>
      <c r="O291">
        <v>1</v>
      </c>
      <c r="P291">
        <v>0.84</v>
      </c>
      <c r="Q291">
        <v>6212.34</v>
      </c>
      <c r="R291">
        <v>45.8</v>
      </c>
      <c r="S291">
        <v>0.2167</v>
      </c>
      <c r="T291">
        <v>-0.79084100000000002</v>
      </c>
      <c r="U291">
        <v>-0.50350090000000003</v>
      </c>
      <c r="V291">
        <v>-0.1364599</v>
      </c>
      <c r="W291">
        <v>-1.530178</v>
      </c>
      <c r="X291">
        <v>0.285188</v>
      </c>
      <c r="Y291">
        <v>-0.60100319999999996</v>
      </c>
      <c r="Z291">
        <v>-0.56136569999999997</v>
      </c>
      <c r="AA291">
        <v>-0.47292210000000001</v>
      </c>
      <c r="AB291">
        <v>-0.45308130000000002</v>
      </c>
      <c r="AC291">
        <v>-0.48632019999999998</v>
      </c>
      <c r="AD291">
        <v>-0.45242250000000001</v>
      </c>
      <c r="AE291">
        <v>-0.48726009999999997</v>
      </c>
      <c r="AF291">
        <v>0.40120499999999998</v>
      </c>
      <c r="AG291">
        <v>-0.58174320000000002</v>
      </c>
      <c r="AH291">
        <v>-1.5624800000000001</v>
      </c>
      <c r="AI291">
        <v>2.4658090000000001</v>
      </c>
      <c r="AJ291">
        <v>0.1834876</v>
      </c>
      <c r="AK291">
        <v>6.190315</v>
      </c>
      <c r="AL291">
        <v>4.4438269999999997</v>
      </c>
      <c r="AM291">
        <v>1.5040770000000001</v>
      </c>
      <c r="AN291">
        <v>6.1599409999999999</v>
      </c>
      <c r="AO291">
        <v>10.689870000000001</v>
      </c>
      <c r="AP291">
        <v>-0.17435339999999999</v>
      </c>
      <c r="AQ291">
        <v>8.7342919999999999</v>
      </c>
      <c r="AR291">
        <v>4.7236000000000002</v>
      </c>
      <c r="AS291">
        <v>2.3702399999999999</v>
      </c>
      <c r="AT291">
        <v>9.6323299999999996</v>
      </c>
      <c r="AU291">
        <v>54.14</v>
      </c>
      <c r="AV291">
        <v>180.90299999999999</v>
      </c>
      <c r="AW291">
        <v>1.01267</v>
      </c>
      <c r="AX291" s="17">
        <v>1000000000</v>
      </c>
      <c r="AY291">
        <v>3.0680499999999999</v>
      </c>
      <c r="AZ291">
        <v>0.28999999999999998</v>
      </c>
      <c r="BA291">
        <v>0</v>
      </c>
      <c r="BB291">
        <v>0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-1.7148000000000001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7.5449999999999996E-4</v>
      </c>
      <c r="CG291">
        <v>0.41219489999999998</v>
      </c>
      <c r="CH291">
        <v>0.126857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-1.2507379999999999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0.16990469999999999</v>
      </c>
      <c r="DI291">
        <v>1.5643450000000001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0.1195365</v>
      </c>
      <c r="DW291">
        <v>-0.36271399999999998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13.96819</v>
      </c>
      <c r="EW291">
        <v>7.1421600000000002E-2</v>
      </c>
      <c r="EX291">
        <v>7.1424399999999999E-2</v>
      </c>
      <c r="EY291">
        <v>7.1360400000000004E-2</v>
      </c>
      <c r="EZ291">
        <v>7.1523000000000003E-2</v>
      </c>
      <c r="FA291">
        <v>7.1331400000000003E-2</v>
      </c>
      <c r="FB291">
        <v>7.14616E-2</v>
      </c>
      <c r="FC291">
        <v>7.1557499999999996E-2</v>
      </c>
      <c r="FD291">
        <v>7.1408899999999997E-2</v>
      </c>
      <c r="FE291">
        <v>7.1404899999999993E-2</v>
      </c>
      <c r="FF291">
        <v>7.1499099999999996E-2</v>
      </c>
      <c r="FG291">
        <v>7.1512099999999995E-2</v>
      </c>
      <c r="FH291">
        <v>7.1394700000000005E-2</v>
      </c>
      <c r="FI291">
        <v>7.1407600000000002E-2</v>
      </c>
      <c r="FJ291">
        <v>7.1292599999999998E-2</v>
      </c>
      <c r="FK291">
        <v>0.216561</v>
      </c>
      <c r="FL291">
        <v>4.6898700000000001E-2</v>
      </c>
      <c r="FM291">
        <v>1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1</v>
      </c>
      <c r="FU291">
        <v>1</v>
      </c>
      <c r="FV291">
        <v>1</v>
      </c>
      <c r="FW291">
        <v>1</v>
      </c>
      <c r="FX291">
        <v>1</v>
      </c>
      <c r="FY291">
        <v>-0.79084100000000002</v>
      </c>
      <c r="FZ291">
        <v>-0.50350090000000003</v>
      </c>
      <c r="GA291">
        <v>-0.1364599</v>
      </c>
      <c r="GB291">
        <v>0.285188</v>
      </c>
      <c r="GC291">
        <v>-0.56136569999999997</v>
      </c>
      <c r="GD291">
        <v>-0.48632019999999998</v>
      </c>
      <c r="GE291">
        <v>-0.58174320000000002</v>
      </c>
      <c r="GF291">
        <v>-0.45242250000000001</v>
      </c>
      <c r="GG291">
        <v>-0.48726009999999997</v>
      </c>
      <c r="GH291">
        <v>-2.4036970000000002</v>
      </c>
      <c r="GI291">
        <v>5.7777599999999998</v>
      </c>
      <c r="GJ291">
        <v>1</v>
      </c>
      <c r="GK291">
        <v>1</v>
      </c>
      <c r="GL291">
        <v>1</v>
      </c>
      <c r="GM291">
        <v>1</v>
      </c>
      <c r="GN291">
        <v>1</v>
      </c>
      <c r="GO291">
        <v>1</v>
      </c>
      <c r="GP291">
        <v>1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6.2802700000000003E-2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1</v>
      </c>
      <c r="HD291">
        <v>1</v>
      </c>
      <c r="HE291">
        <v>1</v>
      </c>
      <c r="HF291">
        <v>1</v>
      </c>
      <c r="HG291">
        <v>1</v>
      </c>
      <c r="HH291">
        <v>1</v>
      </c>
      <c r="HI291">
        <v>-0.69707209999999997</v>
      </c>
      <c r="HJ291">
        <v>1</v>
      </c>
      <c r="HK291">
        <v>1</v>
      </c>
      <c r="HL291">
        <v>1</v>
      </c>
      <c r="HM291">
        <v>1</v>
      </c>
      <c r="HN291">
        <v>1</v>
      </c>
      <c r="HO291">
        <v>1</v>
      </c>
      <c r="HP291">
        <v>1</v>
      </c>
      <c r="HQ291">
        <v>1</v>
      </c>
      <c r="HR291">
        <v>1</v>
      </c>
      <c r="HS291">
        <v>1</v>
      </c>
      <c r="HT291">
        <v>1</v>
      </c>
      <c r="HU291">
        <v>1</v>
      </c>
      <c r="HV291">
        <v>1</v>
      </c>
      <c r="HW291">
        <v>1</v>
      </c>
      <c r="HX291">
        <v>1</v>
      </c>
      <c r="HY291">
        <v>1</v>
      </c>
      <c r="HZ291">
        <v>1</v>
      </c>
      <c r="IA291">
        <v>1</v>
      </c>
      <c r="IB291">
        <v>1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1</v>
      </c>
      <c r="IT291">
        <v>1</v>
      </c>
      <c r="IU291">
        <v>1</v>
      </c>
      <c r="IV291">
        <v>1</v>
      </c>
      <c r="IW291">
        <v>1</v>
      </c>
      <c r="IX291">
        <v>1</v>
      </c>
      <c r="IY291">
        <v>1</v>
      </c>
      <c r="IZ291">
        <v>1</v>
      </c>
      <c r="JA291">
        <v>1</v>
      </c>
      <c r="JB291">
        <v>1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1</v>
      </c>
      <c r="JJ291">
        <v>1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1</v>
      </c>
      <c r="JQ291">
        <v>1</v>
      </c>
      <c r="JR291">
        <v>1</v>
      </c>
      <c r="JS291">
        <v>1</v>
      </c>
      <c r="JT291">
        <v>1</v>
      </c>
      <c r="JU291">
        <v>1</v>
      </c>
      <c r="JV291">
        <v>1</v>
      </c>
      <c r="JW291">
        <v>1</v>
      </c>
      <c r="JX291">
        <v>1</v>
      </c>
      <c r="JY291">
        <v>1</v>
      </c>
      <c r="JZ291">
        <v>1</v>
      </c>
      <c r="KA291">
        <v>1</v>
      </c>
      <c r="KB291">
        <v>1</v>
      </c>
      <c r="KC291">
        <v>1</v>
      </c>
      <c r="KD291">
        <v>1</v>
      </c>
      <c r="KE291">
        <v>1</v>
      </c>
      <c r="KF291">
        <v>1</v>
      </c>
      <c r="KG291">
        <v>1</v>
      </c>
      <c r="KH291">
        <v>1</v>
      </c>
      <c r="KI291">
        <v>1</v>
      </c>
      <c r="KJ291">
        <v>1</v>
      </c>
      <c r="KK291">
        <v>1</v>
      </c>
      <c r="KL291">
        <v>1</v>
      </c>
      <c r="KM291">
        <v>1</v>
      </c>
      <c r="KN291">
        <v>1</v>
      </c>
      <c r="KO291">
        <v>1</v>
      </c>
      <c r="KP291">
        <v>1</v>
      </c>
      <c r="KQ291">
        <v>1</v>
      </c>
      <c r="KR291">
        <v>1</v>
      </c>
      <c r="KS291">
        <v>1</v>
      </c>
      <c r="KT291">
        <v>1</v>
      </c>
      <c r="KU291">
        <v>1</v>
      </c>
      <c r="KV291">
        <v>1</v>
      </c>
      <c r="KW291">
        <v>1</v>
      </c>
      <c r="KX291">
        <v>1</v>
      </c>
      <c r="KY291">
        <v>1</v>
      </c>
      <c r="KZ291">
        <v>1</v>
      </c>
      <c r="LA291">
        <v>1</v>
      </c>
      <c r="LB291">
        <v>1</v>
      </c>
      <c r="LC291">
        <v>1</v>
      </c>
      <c r="LD291">
        <v>1</v>
      </c>
      <c r="LE291">
        <v>1</v>
      </c>
      <c r="LF291">
        <v>1</v>
      </c>
      <c r="LG291">
        <v>1</v>
      </c>
      <c r="LH291">
        <v>1</v>
      </c>
      <c r="LI291">
        <v>1</v>
      </c>
      <c r="LJ291">
        <v>1</v>
      </c>
      <c r="LK291">
        <v>1</v>
      </c>
      <c r="LL291">
        <v>1</v>
      </c>
      <c r="LM291">
        <v>1</v>
      </c>
      <c r="LN291">
        <v>1</v>
      </c>
      <c r="LO291">
        <v>1</v>
      </c>
      <c r="LP291">
        <v>1</v>
      </c>
      <c r="LQ291">
        <v>1</v>
      </c>
      <c r="LR291">
        <v>1</v>
      </c>
      <c r="LS291">
        <v>1</v>
      </c>
      <c r="LT291">
        <v>1</v>
      </c>
      <c r="LU291">
        <v>1</v>
      </c>
      <c r="LV291">
        <v>1</v>
      </c>
      <c r="LW291">
        <v>1</v>
      </c>
      <c r="LX291">
        <v>1</v>
      </c>
      <c r="LY291">
        <v>1</v>
      </c>
      <c r="LZ291">
        <v>1</v>
      </c>
      <c r="MA291">
        <v>1</v>
      </c>
      <c r="MB291">
        <v>1</v>
      </c>
      <c r="MC291">
        <v>1</v>
      </c>
      <c r="MD291">
        <v>1</v>
      </c>
      <c r="ME291">
        <v>1</v>
      </c>
      <c r="MF291">
        <v>1</v>
      </c>
      <c r="MG291">
        <v>1</v>
      </c>
      <c r="MH291">
        <v>1</v>
      </c>
      <c r="MI291">
        <v>1</v>
      </c>
      <c r="MJ291">
        <v>1</v>
      </c>
      <c r="MK291">
        <v>1</v>
      </c>
      <c r="ML291">
        <v>1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1</v>
      </c>
      <c r="MS291">
        <v>1</v>
      </c>
      <c r="MT291">
        <v>1</v>
      </c>
      <c r="MU291">
        <v>1</v>
      </c>
      <c r="MV291">
        <v>1</v>
      </c>
      <c r="MW291">
        <v>1</v>
      </c>
      <c r="MX291">
        <v>1</v>
      </c>
      <c r="MY291">
        <v>1</v>
      </c>
      <c r="MZ291">
        <v>1</v>
      </c>
      <c r="NA291">
        <v>1</v>
      </c>
      <c r="NB291">
        <v>1</v>
      </c>
      <c r="NC291">
        <v>1</v>
      </c>
      <c r="ND291">
        <v>1</v>
      </c>
      <c r="NE291">
        <v>1</v>
      </c>
      <c r="NF291">
        <v>1</v>
      </c>
      <c r="NG291">
        <v>1</v>
      </c>
      <c r="NH291">
        <v>1</v>
      </c>
      <c r="NI291">
        <v>1</v>
      </c>
      <c r="NJ291">
        <v>1</v>
      </c>
      <c r="NK291">
        <v>1</v>
      </c>
      <c r="NL291">
        <v>1</v>
      </c>
      <c r="NM291">
        <v>1</v>
      </c>
      <c r="NN291">
        <v>1</v>
      </c>
      <c r="NO291">
        <v>1</v>
      </c>
      <c r="NP291">
        <v>92.781750000000002</v>
      </c>
      <c r="NQ291">
        <v>1</v>
      </c>
      <c r="NR291">
        <v>1</v>
      </c>
      <c r="NS291">
        <v>1</v>
      </c>
      <c r="NT291">
        <v>1</v>
      </c>
      <c r="NU291">
        <v>1</v>
      </c>
      <c r="NV291">
        <v>1</v>
      </c>
      <c r="NW291">
        <v>1</v>
      </c>
      <c r="NX291">
        <v>1</v>
      </c>
      <c r="NY291">
        <v>1</v>
      </c>
      <c r="NZ291">
        <v>1</v>
      </c>
      <c r="OA291">
        <v>1</v>
      </c>
      <c r="OB291">
        <v>1</v>
      </c>
      <c r="OC291">
        <v>21.5</v>
      </c>
      <c r="OD291">
        <v>15249.9</v>
      </c>
      <c r="OE291">
        <v>0.18</v>
      </c>
      <c r="OF291">
        <v>112.57299999999999</v>
      </c>
      <c r="OG291">
        <v>10.7</v>
      </c>
      <c r="OH291">
        <v>54.14</v>
      </c>
    </row>
    <row r="292" spans="1:398">
      <c r="A292">
        <v>27</v>
      </c>
      <c r="B292" t="s">
        <v>118</v>
      </c>
      <c r="C292" t="s">
        <v>119</v>
      </c>
      <c r="D292">
        <v>2014</v>
      </c>
      <c r="E292">
        <v>12.504</v>
      </c>
      <c r="F292">
        <v>1.1218999999999999</v>
      </c>
      <c r="G292">
        <v>485</v>
      </c>
      <c r="H292">
        <v>10.4</v>
      </c>
      <c r="I292">
        <v>90.7</v>
      </c>
      <c r="J292">
        <v>4.8</v>
      </c>
      <c r="K292">
        <v>361.6</v>
      </c>
      <c r="L292">
        <v>0.5</v>
      </c>
      <c r="M292">
        <v>1</v>
      </c>
      <c r="N292">
        <v>42938</v>
      </c>
      <c r="O292">
        <v>1.33</v>
      </c>
      <c r="P292">
        <v>0.85</v>
      </c>
      <c r="Q292">
        <v>6309.81</v>
      </c>
      <c r="R292">
        <v>42</v>
      </c>
      <c r="S292">
        <v>0.21487899999999999</v>
      </c>
      <c r="T292">
        <v>-0.7020286</v>
      </c>
      <c r="U292">
        <v>-0.57980109999999996</v>
      </c>
      <c r="V292">
        <v>-0.1592373</v>
      </c>
      <c r="W292">
        <v>-1.555928</v>
      </c>
      <c r="X292">
        <v>1.0630250000000001</v>
      </c>
      <c r="Y292">
        <v>-0.55296389999999995</v>
      </c>
      <c r="Z292">
        <v>-0.57595459999999998</v>
      </c>
      <c r="AA292">
        <v>-0.47292210000000001</v>
      </c>
      <c r="AB292">
        <v>-0.98078770000000004</v>
      </c>
      <c r="AC292">
        <v>-0.49147619999999997</v>
      </c>
      <c r="AD292">
        <v>-0.4034181</v>
      </c>
      <c r="AE292">
        <v>-0.45514700000000002</v>
      </c>
      <c r="AF292">
        <v>0.20102819999999999</v>
      </c>
      <c r="AG292">
        <v>-0.56455569999999999</v>
      </c>
      <c r="AH292">
        <v>-1.7286010000000001</v>
      </c>
      <c r="AI292">
        <v>2.526049</v>
      </c>
      <c r="AJ292">
        <v>0.1150236</v>
      </c>
      <c r="AK292">
        <v>6.1841489999999997</v>
      </c>
      <c r="AL292">
        <v>4.5075570000000003</v>
      </c>
      <c r="AM292">
        <v>1.568616</v>
      </c>
      <c r="AN292">
        <v>5.8905390000000004</v>
      </c>
      <c r="AO292">
        <v>10.66751</v>
      </c>
      <c r="AP292">
        <v>-0.16251889999999999</v>
      </c>
      <c r="AQ292">
        <v>8.7498609999999992</v>
      </c>
      <c r="AR292">
        <v>4.7247399999999997</v>
      </c>
      <c r="AS292">
        <v>2.5014400000000001</v>
      </c>
      <c r="AT292">
        <v>9.6580700000000004</v>
      </c>
      <c r="AU292">
        <v>54</v>
      </c>
      <c r="AV292">
        <v>176.756</v>
      </c>
      <c r="AW292">
        <v>-0.35680299999999998</v>
      </c>
      <c r="AX292" s="17">
        <v>-360000000</v>
      </c>
      <c r="AY292">
        <v>3.0204300000000002</v>
      </c>
      <c r="AZ292">
        <v>0.28999999999999998</v>
      </c>
      <c r="BA292">
        <v>0.28517900000000002</v>
      </c>
      <c r="BB292">
        <v>0.28517899000000002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-1.38629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7.0890000000000005E-4</v>
      </c>
      <c r="CG292">
        <v>0.41023100000000001</v>
      </c>
      <c r="CH292">
        <v>0.12257700000000001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-1.3984289999999999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0.16828940000000001</v>
      </c>
      <c r="DI292">
        <v>1.9556039999999999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1</v>
      </c>
      <c r="DU292">
        <v>1</v>
      </c>
      <c r="DV292">
        <v>0.118967</v>
      </c>
      <c r="DW292">
        <v>-0.40554440000000003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  <c r="EO292">
        <v>1</v>
      </c>
      <c r="EP292">
        <v>1</v>
      </c>
      <c r="EQ292">
        <v>1</v>
      </c>
      <c r="ER292">
        <v>1</v>
      </c>
      <c r="ES292">
        <v>1</v>
      </c>
      <c r="ET292">
        <v>1</v>
      </c>
      <c r="EU292">
        <v>1</v>
      </c>
      <c r="EV292">
        <v>13.969060000000001</v>
      </c>
      <c r="EW292">
        <v>7.1408700000000006E-2</v>
      </c>
      <c r="EX292">
        <v>7.1432700000000002E-2</v>
      </c>
      <c r="EY292">
        <v>7.1359000000000006E-2</v>
      </c>
      <c r="EZ292">
        <v>7.1522199999999994E-2</v>
      </c>
      <c r="FA292">
        <v>7.1293599999999999E-2</v>
      </c>
      <c r="FB292">
        <v>7.1447499999999997E-2</v>
      </c>
      <c r="FC292">
        <v>7.1560200000000004E-2</v>
      </c>
      <c r="FD292">
        <v>7.1404800000000004E-2</v>
      </c>
      <c r="FE292">
        <v>7.1473300000000003E-2</v>
      </c>
      <c r="FF292">
        <v>7.1496500000000004E-2</v>
      </c>
      <c r="FG292">
        <v>7.1502200000000002E-2</v>
      </c>
      <c r="FH292">
        <v>7.1385299999999999E-2</v>
      </c>
      <c r="FI292">
        <v>7.1399500000000005E-2</v>
      </c>
      <c r="FJ292">
        <v>7.1314699999999995E-2</v>
      </c>
      <c r="FK292">
        <v>0.21472269999999999</v>
      </c>
      <c r="FL292">
        <v>4.6105899999999998E-2</v>
      </c>
      <c r="FM292">
        <v>1</v>
      </c>
      <c r="FN292">
        <v>1</v>
      </c>
      <c r="FO292">
        <v>1</v>
      </c>
      <c r="FP292">
        <v>1</v>
      </c>
      <c r="FQ292">
        <v>1</v>
      </c>
      <c r="FR292">
        <v>1</v>
      </c>
      <c r="FS292">
        <v>1</v>
      </c>
      <c r="FT292">
        <v>1</v>
      </c>
      <c r="FU292">
        <v>1</v>
      </c>
      <c r="FV292">
        <v>1</v>
      </c>
      <c r="FW292">
        <v>1</v>
      </c>
      <c r="FX292">
        <v>1</v>
      </c>
      <c r="FY292">
        <v>-0.7020286</v>
      </c>
      <c r="FZ292">
        <v>-0.57980109999999996</v>
      </c>
      <c r="GA292">
        <v>-0.1592373</v>
      </c>
      <c r="GB292">
        <v>1.0630250000000001</v>
      </c>
      <c r="GC292">
        <v>-0.57595459999999998</v>
      </c>
      <c r="GD292">
        <v>-0.49147619999999997</v>
      </c>
      <c r="GE292">
        <v>-0.56455569999999999</v>
      </c>
      <c r="GF292">
        <v>-0.4034181</v>
      </c>
      <c r="GG292">
        <v>-0.45514700000000002</v>
      </c>
      <c r="GH292">
        <v>-2.5949990000000001</v>
      </c>
      <c r="GI292">
        <v>6.7340200000000001</v>
      </c>
      <c r="GJ292">
        <v>1</v>
      </c>
      <c r="GK292">
        <v>1</v>
      </c>
      <c r="GL292">
        <v>1</v>
      </c>
      <c r="GM292">
        <v>1</v>
      </c>
      <c r="GN292">
        <v>1</v>
      </c>
      <c r="GO292">
        <v>1</v>
      </c>
      <c r="GP292">
        <v>1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6.2269600000000001E-2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1</v>
      </c>
      <c r="HC292">
        <v>1</v>
      </c>
      <c r="HD292">
        <v>1</v>
      </c>
      <c r="HE292">
        <v>1</v>
      </c>
      <c r="HF292">
        <v>1</v>
      </c>
      <c r="HG292">
        <v>1</v>
      </c>
      <c r="HH292">
        <v>1</v>
      </c>
      <c r="HI292">
        <v>-0.75254969999999999</v>
      </c>
      <c r="HJ292">
        <v>1</v>
      </c>
      <c r="HK292">
        <v>1</v>
      </c>
      <c r="HL292">
        <v>1</v>
      </c>
      <c r="HM292">
        <v>1</v>
      </c>
      <c r="HN292">
        <v>1</v>
      </c>
      <c r="HO292">
        <v>1</v>
      </c>
      <c r="HP292">
        <v>1</v>
      </c>
      <c r="HQ292">
        <v>1</v>
      </c>
      <c r="HR292">
        <v>1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1</v>
      </c>
      <c r="HY292">
        <v>1</v>
      </c>
      <c r="HZ292">
        <v>1</v>
      </c>
      <c r="IA292">
        <v>1</v>
      </c>
      <c r="IB292">
        <v>1</v>
      </c>
      <c r="IC292">
        <v>1</v>
      </c>
      <c r="ID292">
        <v>1</v>
      </c>
      <c r="IE292">
        <v>1</v>
      </c>
      <c r="IF292">
        <v>1</v>
      </c>
      <c r="IG292">
        <v>1</v>
      </c>
      <c r="IH292">
        <v>1</v>
      </c>
      <c r="II292">
        <v>1</v>
      </c>
      <c r="IJ292">
        <v>1</v>
      </c>
      <c r="IK292">
        <v>1</v>
      </c>
      <c r="IL292">
        <v>1</v>
      </c>
      <c r="IM292">
        <v>1</v>
      </c>
      <c r="IN292">
        <v>1</v>
      </c>
      <c r="IO292">
        <v>1</v>
      </c>
      <c r="IP292">
        <v>1</v>
      </c>
      <c r="IQ292">
        <v>1</v>
      </c>
      <c r="IR292">
        <v>1</v>
      </c>
      <c r="IS292">
        <v>1</v>
      </c>
      <c r="IT292">
        <v>1</v>
      </c>
      <c r="IU292">
        <v>1</v>
      </c>
      <c r="IV292">
        <v>1</v>
      </c>
      <c r="IW292">
        <v>1</v>
      </c>
      <c r="IX292">
        <v>1</v>
      </c>
      <c r="IY292">
        <v>1</v>
      </c>
      <c r="IZ292">
        <v>1</v>
      </c>
      <c r="JA292">
        <v>1</v>
      </c>
      <c r="JB292">
        <v>1</v>
      </c>
      <c r="JC292">
        <v>1</v>
      </c>
      <c r="JD292">
        <v>1</v>
      </c>
      <c r="JE292">
        <v>1</v>
      </c>
      <c r="JF292">
        <v>1</v>
      </c>
      <c r="JG292">
        <v>1</v>
      </c>
      <c r="JH292">
        <v>1</v>
      </c>
      <c r="JI292">
        <v>1</v>
      </c>
      <c r="JJ292">
        <v>1</v>
      </c>
      <c r="JK292">
        <v>1</v>
      </c>
      <c r="JL292">
        <v>1</v>
      </c>
      <c r="JM292">
        <v>1</v>
      </c>
      <c r="JN292">
        <v>1</v>
      </c>
      <c r="JO292">
        <v>1</v>
      </c>
      <c r="JP292">
        <v>1</v>
      </c>
      <c r="JQ292">
        <v>1</v>
      </c>
      <c r="JR292">
        <v>1</v>
      </c>
      <c r="JS292">
        <v>1</v>
      </c>
      <c r="JT292">
        <v>1</v>
      </c>
      <c r="JU292">
        <v>1</v>
      </c>
      <c r="JV292">
        <v>1</v>
      </c>
      <c r="JW292">
        <v>1</v>
      </c>
      <c r="JX292">
        <v>1</v>
      </c>
      <c r="JY292">
        <v>1</v>
      </c>
      <c r="JZ292">
        <v>1</v>
      </c>
      <c r="KA292">
        <v>1</v>
      </c>
      <c r="KB292">
        <v>1</v>
      </c>
      <c r="KC292">
        <v>1</v>
      </c>
      <c r="KD292">
        <v>1</v>
      </c>
      <c r="KE292">
        <v>1</v>
      </c>
      <c r="KF292">
        <v>1</v>
      </c>
      <c r="KG292">
        <v>1</v>
      </c>
      <c r="KH292">
        <v>1</v>
      </c>
      <c r="KI292">
        <v>1</v>
      </c>
      <c r="KJ292">
        <v>1</v>
      </c>
      <c r="KK292">
        <v>1</v>
      </c>
      <c r="KL292">
        <v>1</v>
      </c>
      <c r="KM292">
        <v>1</v>
      </c>
      <c r="KN292">
        <v>1</v>
      </c>
      <c r="KO292">
        <v>1</v>
      </c>
      <c r="KP292">
        <v>1</v>
      </c>
      <c r="KQ292">
        <v>1</v>
      </c>
      <c r="KR292">
        <v>1</v>
      </c>
      <c r="KS292">
        <v>1</v>
      </c>
      <c r="KT292">
        <v>1</v>
      </c>
      <c r="KU292">
        <v>1</v>
      </c>
      <c r="KV292">
        <v>1</v>
      </c>
      <c r="KW292">
        <v>1</v>
      </c>
      <c r="KX292">
        <v>1</v>
      </c>
      <c r="KY292">
        <v>1</v>
      </c>
      <c r="KZ292">
        <v>1</v>
      </c>
      <c r="LA292">
        <v>1</v>
      </c>
      <c r="LB292">
        <v>1</v>
      </c>
      <c r="LC292">
        <v>1</v>
      </c>
      <c r="LD292">
        <v>1</v>
      </c>
      <c r="LE292">
        <v>1</v>
      </c>
      <c r="LF292">
        <v>1</v>
      </c>
      <c r="LG292">
        <v>1</v>
      </c>
      <c r="LH292">
        <v>1</v>
      </c>
      <c r="LI292">
        <v>1</v>
      </c>
      <c r="LJ292">
        <v>1</v>
      </c>
      <c r="LK292">
        <v>1</v>
      </c>
      <c r="LL292">
        <v>1</v>
      </c>
      <c r="LM292">
        <v>1</v>
      </c>
      <c r="LN292">
        <v>1</v>
      </c>
      <c r="LO292">
        <v>1</v>
      </c>
      <c r="LP292">
        <v>1</v>
      </c>
      <c r="LQ292">
        <v>1</v>
      </c>
      <c r="LR292">
        <v>1</v>
      </c>
      <c r="LS292">
        <v>1</v>
      </c>
      <c r="LT292">
        <v>1</v>
      </c>
      <c r="LU292">
        <v>1</v>
      </c>
      <c r="LV292">
        <v>1</v>
      </c>
      <c r="LW292">
        <v>1</v>
      </c>
      <c r="LX292">
        <v>1</v>
      </c>
      <c r="LY292">
        <v>1</v>
      </c>
      <c r="LZ292">
        <v>1</v>
      </c>
      <c r="MA292">
        <v>1</v>
      </c>
      <c r="MB292">
        <v>1</v>
      </c>
      <c r="MC292">
        <v>1</v>
      </c>
      <c r="MD292">
        <v>1</v>
      </c>
      <c r="ME292">
        <v>1</v>
      </c>
      <c r="MF292">
        <v>1</v>
      </c>
      <c r="MG292">
        <v>1</v>
      </c>
      <c r="MH292">
        <v>1</v>
      </c>
      <c r="MI292">
        <v>1</v>
      </c>
      <c r="MJ292">
        <v>1</v>
      </c>
      <c r="MK292">
        <v>1</v>
      </c>
      <c r="ML292">
        <v>1</v>
      </c>
      <c r="MM292">
        <v>1</v>
      </c>
      <c r="MN292">
        <v>1</v>
      </c>
      <c r="MO292">
        <v>1</v>
      </c>
      <c r="MP292">
        <v>1</v>
      </c>
      <c r="MQ292">
        <v>1</v>
      </c>
      <c r="MR292">
        <v>1</v>
      </c>
      <c r="MS292">
        <v>1</v>
      </c>
      <c r="MT292">
        <v>1</v>
      </c>
      <c r="MU292">
        <v>1</v>
      </c>
      <c r="MV292">
        <v>1</v>
      </c>
      <c r="MW292">
        <v>1</v>
      </c>
      <c r="MX292">
        <v>1</v>
      </c>
      <c r="MY292">
        <v>1</v>
      </c>
      <c r="MZ292">
        <v>1</v>
      </c>
      <c r="NA292">
        <v>1</v>
      </c>
      <c r="NB292">
        <v>1</v>
      </c>
      <c r="NC292">
        <v>1</v>
      </c>
      <c r="ND292">
        <v>1</v>
      </c>
      <c r="NE292">
        <v>1</v>
      </c>
      <c r="NF292">
        <v>1</v>
      </c>
      <c r="NG292">
        <v>1</v>
      </c>
      <c r="NH292">
        <v>1</v>
      </c>
      <c r="NI292">
        <v>1</v>
      </c>
      <c r="NJ292">
        <v>1</v>
      </c>
      <c r="NK292">
        <v>1</v>
      </c>
      <c r="NL292">
        <v>1</v>
      </c>
      <c r="NM292">
        <v>1</v>
      </c>
      <c r="NN292">
        <v>1</v>
      </c>
      <c r="NO292">
        <v>1</v>
      </c>
      <c r="NP292">
        <v>93.278369999999995</v>
      </c>
      <c r="NQ292">
        <v>1</v>
      </c>
      <c r="NR292">
        <v>1</v>
      </c>
      <c r="NS292">
        <v>1</v>
      </c>
      <c r="NT292">
        <v>1</v>
      </c>
      <c r="NU292">
        <v>1</v>
      </c>
      <c r="NV292">
        <v>1</v>
      </c>
      <c r="NW292">
        <v>1</v>
      </c>
      <c r="NX292">
        <v>1</v>
      </c>
      <c r="NY292">
        <v>1</v>
      </c>
      <c r="NZ292">
        <v>1</v>
      </c>
      <c r="OA292">
        <v>1</v>
      </c>
      <c r="OB292">
        <v>1</v>
      </c>
      <c r="OC292">
        <v>20.5</v>
      </c>
      <c r="OD292">
        <v>15647.6</v>
      </c>
      <c r="OE292">
        <v>0.25</v>
      </c>
      <c r="OF292">
        <v>112.70099999999999</v>
      </c>
      <c r="OG292">
        <v>12.2</v>
      </c>
      <c r="OH292">
        <v>54</v>
      </c>
    </row>
    <row r="293" spans="1:398">
      <c r="A293">
        <v>27</v>
      </c>
      <c r="B293" t="s">
        <v>118</v>
      </c>
      <c r="C293" t="s">
        <v>119</v>
      </c>
      <c r="D293">
        <v>2015</v>
      </c>
      <c r="E293">
        <v>13.084</v>
      </c>
      <c r="F293">
        <v>1.1835</v>
      </c>
      <c r="G293">
        <v>472</v>
      </c>
      <c r="H293">
        <v>14.9</v>
      </c>
      <c r="I293">
        <v>86.7</v>
      </c>
      <c r="J293">
        <v>5</v>
      </c>
      <c r="K293">
        <v>764.6</v>
      </c>
      <c r="L293">
        <v>0.5</v>
      </c>
      <c r="M293">
        <v>1.1000000000000001</v>
      </c>
      <c r="N293">
        <v>44737</v>
      </c>
      <c r="O293">
        <v>4.25</v>
      </c>
      <c r="P293">
        <v>0.89</v>
      </c>
      <c r="Q293">
        <v>6464.91</v>
      </c>
      <c r="R293">
        <v>42.4</v>
      </c>
      <c r="S293">
        <v>0.224859</v>
      </c>
      <c r="T293">
        <v>-0.63156179999999995</v>
      </c>
      <c r="U293">
        <v>-0.52068049999999999</v>
      </c>
      <c r="V293">
        <v>-0.25793929999999998</v>
      </c>
      <c r="W293">
        <v>-1.2662500000000001</v>
      </c>
      <c r="X293">
        <v>0.50742699999999996</v>
      </c>
      <c r="Y293">
        <v>-0.52093769999999995</v>
      </c>
      <c r="Z293">
        <v>-0.52336669999999996</v>
      </c>
      <c r="AA293">
        <v>-0.47292210000000001</v>
      </c>
      <c r="AB293">
        <v>-0.84886099999999998</v>
      </c>
      <c r="AC293">
        <v>-0.4819235</v>
      </c>
      <c r="AD293">
        <v>-0.20740159999999999</v>
      </c>
      <c r="AE293">
        <v>-0.40404820000000002</v>
      </c>
      <c r="AF293">
        <v>0.22209960000000001</v>
      </c>
      <c r="AG293">
        <v>-0.41247260000000002</v>
      </c>
      <c r="AH293">
        <v>-1.4330020000000001</v>
      </c>
      <c r="AI293">
        <v>2.5713900000000001</v>
      </c>
      <c r="AJ293">
        <v>0.16847619999999999</v>
      </c>
      <c r="AK293">
        <v>6.1569789999999998</v>
      </c>
      <c r="AL293">
        <v>4.4624540000000001</v>
      </c>
      <c r="AM293">
        <v>1.6094379999999999</v>
      </c>
      <c r="AN293">
        <v>6.6393529999999998</v>
      </c>
      <c r="AO293">
        <v>10.70856</v>
      </c>
      <c r="AP293">
        <v>-0.11653380000000001</v>
      </c>
      <c r="AQ293">
        <v>8.7741439999999997</v>
      </c>
      <c r="AR293">
        <v>4.7256400000000003</v>
      </c>
      <c r="AS293">
        <v>2.5952500000000001</v>
      </c>
      <c r="AT293">
        <v>9.7075999999999993</v>
      </c>
      <c r="AU293">
        <v>53.889000000000003</v>
      </c>
      <c r="AV293">
        <v>179.42599999999999</v>
      </c>
      <c r="AW293">
        <v>1.7048700000000001</v>
      </c>
      <c r="AX293" s="17">
        <v>1500000000</v>
      </c>
      <c r="AY293">
        <v>3.0726900000000001</v>
      </c>
      <c r="AZ293">
        <v>0.28999999999999998</v>
      </c>
      <c r="BA293">
        <v>1.4469190000000001</v>
      </c>
      <c r="BB293">
        <v>1.4469190000000001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-0.24846099999999999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1.2137999999999999E-3</v>
      </c>
      <c r="CG293">
        <v>0.42788660000000001</v>
      </c>
      <c r="CH293">
        <v>0.13455600000000001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-0.87119159999999995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0.1830869</v>
      </c>
      <c r="DI293">
        <v>0.7589747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0.12408710000000001</v>
      </c>
      <c r="DW293">
        <v>-0.25264560000000003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13.967029999999999</v>
      </c>
      <c r="EW293">
        <v>7.1412600000000007E-2</v>
      </c>
      <c r="EX293">
        <v>7.1433700000000003E-2</v>
      </c>
      <c r="EY293">
        <v>7.1380200000000005E-2</v>
      </c>
      <c r="EZ293">
        <v>7.1494699999999994E-2</v>
      </c>
      <c r="FA293">
        <v>7.1329199999999995E-2</v>
      </c>
      <c r="FB293">
        <v>7.1451600000000004E-2</v>
      </c>
      <c r="FC293">
        <v>7.1545999999999998E-2</v>
      </c>
      <c r="FD293">
        <v>7.1415500000000007E-2</v>
      </c>
      <c r="FE293">
        <v>7.1464899999999998E-2</v>
      </c>
      <c r="FF293">
        <v>7.15036E-2</v>
      </c>
      <c r="FG293">
        <v>7.1466199999999994E-2</v>
      </c>
      <c r="FH293">
        <v>7.1374900000000005E-2</v>
      </c>
      <c r="FI293">
        <v>7.1403700000000001E-2</v>
      </c>
      <c r="FJ293">
        <v>7.1323200000000003E-2</v>
      </c>
      <c r="FK293">
        <v>0.22474230000000001</v>
      </c>
      <c r="FL293">
        <v>5.0509100000000001E-2</v>
      </c>
      <c r="FM293">
        <v>1</v>
      </c>
      <c r="FN293">
        <v>1</v>
      </c>
      <c r="FO293">
        <v>1</v>
      </c>
      <c r="FP293">
        <v>1</v>
      </c>
      <c r="FQ293">
        <v>1</v>
      </c>
      <c r="FR293">
        <v>1</v>
      </c>
      <c r="FS293">
        <v>1</v>
      </c>
      <c r="FT293">
        <v>1</v>
      </c>
      <c r="FU293">
        <v>1</v>
      </c>
      <c r="FV293">
        <v>1</v>
      </c>
      <c r="FW293">
        <v>1</v>
      </c>
      <c r="FX293">
        <v>1</v>
      </c>
      <c r="FY293">
        <v>-0.63156179999999995</v>
      </c>
      <c r="FZ293">
        <v>-0.52068049999999999</v>
      </c>
      <c r="GA293">
        <v>-0.25793929999999998</v>
      </c>
      <c r="GB293">
        <v>0.50742699999999996</v>
      </c>
      <c r="GC293">
        <v>-0.52336669999999996</v>
      </c>
      <c r="GD293">
        <v>-0.4819235</v>
      </c>
      <c r="GE293">
        <v>-0.41247260000000002</v>
      </c>
      <c r="GF293">
        <v>-0.20740159999999999</v>
      </c>
      <c r="GG293">
        <v>-0.40404820000000002</v>
      </c>
      <c r="GH293">
        <v>-2.1670980000000002</v>
      </c>
      <c r="GI293">
        <v>4.696313</v>
      </c>
      <c r="GJ293">
        <v>1</v>
      </c>
      <c r="GK293">
        <v>1</v>
      </c>
      <c r="GL293">
        <v>1</v>
      </c>
      <c r="GM293">
        <v>1</v>
      </c>
      <c r="GN293">
        <v>1</v>
      </c>
      <c r="GO293">
        <v>1</v>
      </c>
      <c r="GP293">
        <v>1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6.5175300000000005E-2</v>
      </c>
      <c r="GW293">
        <v>1</v>
      </c>
      <c r="GX293">
        <v>1</v>
      </c>
      <c r="GY293">
        <v>1</v>
      </c>
      <c r="GZ293">
        <v>1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1</v>
      </c>
      <c r="HH293">
        <v>1</v>
      </c>
      <c r="HI293">
        <v>-0.62845830000000003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1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1</v>
      </c>
      <c r="IS293">
        <v>1</v>
      </c>
      <c r="IT293">
        <v>1</v>
      </c>
      <c r="IU293">
        <v>1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1</v>
      </c>
      <c r="JC293">
        <v>1</v>
      </c>
      <c r="JD293">
        <v>1</v>
      </c>
      <c r="JE293">
        <v>1</v>
      </c>
      <c r="JF293">
        <v>1</v>
      </c>
      <c r="JG293">
        <v>1</v>
      </c>
      <c r="JH293">
        <v>1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1</v>
      </c>
      <c r="JS293">
        <v>1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1</v>
      </c>
      <c r="JZ293">
        <v>1</v>
      </c>
      <c r="KA293">
        <v>1</v>
      </c>
      <c r="KB293">
        <v>1</v>
      </c>
      <c r="KC293">
        <v>1</v>
      </c>
      <c r="KD293">
        <v>1</v>
      </c>
      <c r="KE293">
        <v>1</v>
      </c>
      <c r="KF293">
        <v>1</v>
      </c>
      <c r="KG293">
        <v>1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1</v>
      </c>
      <c r="KN293">
        <v>1</v>
      </c>
      <c r="KO293">
        <v>1</v>
      </c>
      <c r="KP293">
        <v>1</v>
      </c>
      <c r="KQ293">
        <v>1</v>
      </c>
      <c r="KR293">
        <v>1</v>
      </c>
      <c r="KS293">
        <v>1</v>
      </c>
      <c r="KT293">
        <v>1</v>
      </c>
      <c r="KU293">
        <v>1</v>
      </c>
      <c r="KV293">
        <v>1</v>
      </c>
      <c r="KW293">
        <v>1</v>
      </c>
      <c r="KX293">
        <v>1</v>
      </c>
      <c r="KY293">
        <v>1</v>
      </c>
      <c r="KZ293">
        <v>1</v>
      </c>
      <c r="LA293">
        <v>1</v>
      </c>
      <c r="LB293">
        <v>1</v>
      </c>
      <c r="LC293">
        <v>1</v>
      </c>
      <c r="LD293">
        <v>1</v>
      </c>
      <c r="LE293">
        <v>1</v>
      </c>
      <c r="LF293">
        <v>1</v>
      </c>
      <c r="LG293">
        <v>1</v>
      </c>
      <c r="LH293">
        <v>1</v>
      </c>
      <c r="LI293">
        <v>1</v>
      </c>
      <c r="LJ293">
        <v>1</v>
      </c>
      <c r="LK293">
        <v>1</v>
      </c>
      <c r="LL293">
        <v>1</v>
      </c>
      <c r="LM293">
        <v>1</v>
      </c>
      <c r="LN293">
        <v>1</v>
      </c>
      <c r="LO293">
        <v>1</v>
      </c>
      <c r="LP293">
        <v>1</v>
      </c>
      <c r="LQ293">
        <v>1</v>
      </c>
      <c r="LR293">
        <v>1</v>
      </c>
      <c r="LS293">
        <v>1</v>
      </c>
      <c r="LT293">
        <v>1</v>
      </c>
      <c r="LU293">
        <v>1</v>
      </c>
      <c r="LV293">
        <v>1</v>
      </c>
      <c r="LW293">
        <v>1</v>
      </c>
      <c r="LX293">
        <v>1</v>
      </c>
      <c r="LY293">
        <v>1</v>
      </c>
      <c r="LZ293">
        <v>1</v>
      </c>
      <c r="MA293">
        <v>1</v>
      </c>
      <c r="MB293">
        <v>1</v>
      </c>
      <c r="MC293">
        <v>1</v>
      </c>
      <c r="MD293">
        <v>1</v>
      </c>
      <c r="ME293">
        <v>1</v>
      </c>
      <c r="MF293">
        <v>1</v>
      </c>
      <c r="MG293">
        <v>1</v>
      </c>
      <c r="MH293">
        <v>1</v>
      </c>
      <c r="MI293">
        <v>1</v>
      </c>
      <c r="MJ293">
        <v>1</v>
      </c>
      <c r="MK293">
        <v>1</v>
      </c>
      <c r="ML293">
        <v>1</v>
      </c>
      <c r="MM293">
        <v>1</v>
      </c>
      <c r="MN293">
        <v>1</v>
      </c>
      <c r="MO293">
        <v>1</v>
      </c>
      <c r="MP293">
        <v>1</v>
      </c>
      <c r="MQ293">
        <v>1</v>
      </c>
      <c r="MR293">
        <v>1</v>
      </c>
      <c r="MS293">
        <v>1</v>
      </c>
      <c r="MT293">
        <v>1</v>
      </c>
      <c r="MU293">
        <v>1</v>
      </c>
      <c r="MV293">
        <v>1</v>
      </c>
      <c r="MW293">
        <v>1</v>
      </c>
      <c r="MX293">
        <v>1</v>
      </c>
      <c r="MY293">
        <v>1</v>
      </c>
      <c r="MZ293">
        <v>1</v>
      </c>
      <c r="NA293">
        <v>1</v>
      </c>
      <c r="NB293">
        <v>1</v>
      </c>
      <c r="NC293">
        <v>1</v>
      </c>
      <c r="ND293">
        <v>1</v>
      </c>
      <c r="NE293">
        <v>1</v>
      </c>
      <c r="NF293">
        <v>1</v>
      </c>
      <c r="NG293">
        <v>1</v>
      </c>
      <c r="NH293">
        <v>1</v>
      </c>
      <c r="NI293">
        <v>1</v>
      </c>
      <c r="NJ293">
        <v>1</v>
      </c>
      <c r="NK293">
        <v>1</v>
      </c>
      <c r="NL293">
        <v>1</v>
      </c>
      <c r="NM293">
        <v>1</v>
      </c>
      <c r="NN293">
        <v>1</v>
      </c>
      <c r="NO293">
        <v>1</v>
      </c>
      <c r="NP293">
        <v>94.23751</v>
      </c>
      <c r="NQ293">
        <v>1</v>
      </c>
      <c r="NR293">
        <v>1</v>
      </c>
      <c r="NS293">
        <v>1</v>
      </c>
      <c r="NT293">
        <v>1</v>
      </c>
      <c r="NU293">
        <v>1</v>
      </c>
      <c r="NV293">
        <v>1</v>
      </c>
      <c r="NW293">
        <v>1</v>
      </c>
      <c r="NX293">
        <v>1</v>
      </c>
      <c r="NY293">
        <v>1</v>
      </c>
      <c r="NZ293">
        <v>1</v>
      </c>
      <c r="OA293">
        <v>1</v>
      </c>
      <c r="OB293">
        <v>1</v>
      </c>
      <c r="OC293">
        <v>21.6</v>
      </c>
      <c r="OD293">
        <v>16442.099999999999</v>
      </c>
      <c r="OE293">
        <v>0.78</v>
      </c>
      <c r="OF293">
        <v>112.803</v>
      </c>
      <c r="OG293">
        <v>13.4</v>
      </c>
      <c r="OH293">
        <v>53.889000000000003</v>
      </c>
    </row>
    <row r="294" spans="1:398">
      <c r="A294">
        <v>27</v>
      </c>
      <c r="B294" t="s">
        <v>118</v>
      </c>
      <c r="C294" t="s">
        <v>119</v>
      </c>
      <c r="D294">
        <v>2016</v>
      </c>
      <c r="E294">
        <v>13.548</v>
      </c>
      <c r="F294">
        <v>1.2133</v>
      </c>
      <c r="G294">
        <v>441</v>
      </c>
      <c r="H294">
        <v>23</v>
      </c>
      <c r="I294">
        <v>89.4</v>
      </c>
      <c r="J294">
        <v>5.2</v>
      </c>
      <c r="K294">
        <v>1020.4</v>
      </c>
      <c r="L294">
        <v>0.6</v>
      </c>
      <c r="M294">
        <v>1.1000000000000001</v>
      </c>
      <c r="N294">
        <v>45547</v>
      </c>
      <c r="O294">
        <v>3.26</v>
      </c>
      <c r="P294">
        <v>0.92</v>
      </c>
      <c r="Q294">
        <v>6496.7</v>
      </c>
      <c r="R294">
        <v>42.5</v>
      </c>
      <c r="S294">
        <v>0.24035599999999999</v>
      </c>
      <c r="T294">
        <v>-0.57518829999999999</v>
      </c>
      <c r="U294">
        <v>-0.49208000000000002</v>
      </c>
      <c r="V294">
        <v>-0.49330570000000001</v>
      </c>
      <c r="W294">
        <v>-0.74482910000000002</v>
      </c>
      <c r="X294">
        <v>0.88245620000000002</v>
      </c>
      <c r="Y294">
        <v>-0.4889116</v>
      </c>
      <c r="Z294">
        <v>-0.48998700000000001</v>
      </c>
      <c r="AA294">
        <v>-0.19478770000000001</v>
      </c>
      <c r="AB294">
        <v>-0.84886099999999998</v>
      </c>
      <c r="AC294">
        <v>-0.4776224</v>
      </c>
      <c r="AD294">
        <v>-6.0388900000000002E-2</v>
      </c>
      <c r="AE294">
        <v>-0.39357439999999999</v>
      </c>
      <c r="AF294">
        <v>0.22736729999999999</v>
      </c>
      <c r="AG294">
        <v>-0.46403499999999998</v>
      </c>
      <c r="AH294">
        <v>-1.193856</v>
      </c>
      <c r="AI294">
        <v>2.606239</v>
      </c>
      <c r="AJ294">
        <v>0.19334390000000001</v>
      </c>
      <c r="AK294">
        <v>6.0890449999999996</v>
      </c>
      <c r="AL294">
        <v>4.4931210000000004</v>
      </c>
      <c r="AM294">
        <v>1.6486590000000001</v>
      </c>
      <c r="AN294">
        <v>6.9279500000000001</v>
      </c>
      <c r="AO294">
        <v>10.7265</v>
      </c>
      <c r="AP294">
        <v>-8.33816E-2</v>
      </c>
      <c r="AQ294">
        <v>8.7790490000000005</v>
      </c>
      <c r="AR294">
        <v>4.7269699999999997</v>
      </c>
      <c r="AS294">
        <v>2.5726100000000001</v>
      </c>
      <c r="AT294">
        <v>9.7256</v>
      </c>
      <c r="AU294">
        <v>53.805999999999997</v>
      </c>
      <c r="AV294">
        <v>182.75700000000001</v>
      </c>
      <c r="AW294">
        <v>5.2777099999999999</v>
      </c>
      <c r="AX294" s="17">
        <v>4800000000</v>
      </c>
      <c r="AY294">
        <v>3.02529</v>
      </c>
      <c r="AZ294">
        <v>0.28999999999999998</v>
      </c>
      <c r="BA294">
        <v>1.181727</v>
      </c>
      <c r="BB294">
        <v>1.1817272000000001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-0.55798099999999995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2.1197E-3</v>
      </c>
      <c r="CG294">
        <v>0.4448722</v>
      </c>
      <c r="CH294">
        <v>0.14285300000000001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-0.59819940000000005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0.19791120000000001</v>
      </c>
      <c r="DI294">
        <v>0.35784250000000001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1</v>
      </c>
      <c r="DS294">
        <v>1</v>
      </c>
      <c r="DT294">
        <v>1</v>
      </c>
      <c r="DU294">
        <v>1</v>
      </c>
      <c r="DV294">
        <v>0.12901290000000001</v>
      </c>
      <c r="DW294">
        <v>-0.17347779999999999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  <c r="EO294">
        <v>1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13.96536</v>
      </c>
      <c r="EW294">
        <v>7.1416099999999996E-2</v>
      </c>
      <c r="EX294">
        <v>7.1437899999999999E-2</v>
      </c>
      <c r="EY294">
        <v>7.14143E-2</v>
      </c>
      <c r="EZ294">
        <v>7.1441599999999994E-2</v>
      </c>
      <c r="FA294">
        <v>7.1322200000000002E-2</v>
      </c>
      <c r="FB294">
        <v>7.1454000000000004E-2</v>
      </c>
      <c r="FC294">
        <v>7.1540000000000006E-2</v>
      </c>
      <c r="FD294">
        <v>7.1387599999999996E-2</v>
      </c>
      <c r="FE294">
        <v>7.1473599999999998E-2</v>
      </c>
      <c r="FF294">
        <v>7.1510799999999999E-2</v>
      </c>
      <c r="FG294">
        <v>7.1490200000000004E-2</v>
      </c>
      <c r="FH294">
        <v>7.1368500000000001E-2</v>
      </c>
      <c r="FI294">
        <v>7.14114E-2</v>
      </c>
      <c r="FJ294">
        <v>7.1331900000000004E-2</v>
      </c>
      <c r="FK294">
        <v>0.24023610000000001</v>
      </c>
      <c r="FL294">
        <v>5.7713399999999998E-2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-0.57518829999999999</v>
      </c>
      <c r="FZ294">
        <v>-0.49208000000000002</v>
      </c>
      <c r="GA294">
        <v>-0.49330570000000001</v>
      </c>
      <c r="GB294">
        <v>0.88245620000000002</v>
      </c>
      <c r="GC294">
        <v>-0.48998700000000001</v>
      </c>
      <c r="GD294">
        <v>-0.4776224</v>
      </c>
      <c r="GE294">
        <v>-0.46403499999999998</v>
      </c>
      <c r="GF294">
        <v>-6.0388900000000002E-2</v>
      </c>
      <c r="GG294">
        <v>-0.39357439999999999</v>
      </c>
      <c r="GH294">
        <v>-1.834158</v>
      </c>
      <c r="GI294">
        <v>3.3641350000000001</v>
      </c>
      <c r="GJ294">
        <v>1</v>
      </c>
      <c r="GK294">
        <v>1</v>
      </c>
      <c r="GL294">
        <v>1</v>
      </c>
      <c r="GM294">
        <v>1</v>
      </c>
      <c r="GN294">
        <v>1</v>
      </c>
      <c r="GO294">
        <v>1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6.9668499999999994E-2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1</v>
      </c>
      <c r="HF294">
        <v>1</v>
      </c>
      <c r="HG294">
        <v>1</v>
      </c>
      <c r="HH294">
        <v>1</v>
      </c>
      <c r="HI294">
        <v>-0.53190570000000004</v>
      </c>
      <c r="HJ294">
        <v>1</v>
      </c>
      <c r="HK294">
        <v>1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1</v>
      </c>
      <c r="HR294">
        <v>1</v>
      </c>
      <c r="HS294">
        <v>1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1</v>
      </c>
      <c r="IH294">
        <v>1</v>
      </c>
      <c r="II294">
        <v>1</v>
      </c>
      <c r="IJ294">
        <v>1</v>
      </c>
      <c r="IK294">
        <v>1</v>
      </c>
      <c r="IL294">
        <v>1</v>
      </c>
      <c r="IM294">
        <v>1</v>
      </c>
      <c r="IN294">
        <v>1</v>
      </c>
      <c r="IO294">
        <v>1</v>
      </c>
      <c r="IP294">
        <v>1</v>
      </c>
      <c r="IQ294">
        <v>1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1</v>
      </c>
      <c r="JE294">
        <v>1</v>
      </c>
      <c r="JF294">
        <v>1</v>
      </c>
      <c r="JG294">
        <v>1</v>
      </c>
      <c r="JH294">
        <v>1</v>
      </c>
      <c r="JI294">
        <v>1</v>
      </c>
      <c r="JJ294">
        <v>1</v>
      </c>
      <c r="JK294">
        <v>1</v>
      </c>
      <c r="JL294">
        <v>1</v>
      </c>
      <c r="JM294">
        <v>1</v>
      </c>
      <c r="JN294">
        <v>1</v>
      </c>
      <c r="JO294">
        <v>1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1</v>
      </c>
      <c r="JV294">
        <v>1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1</v>
      </c>
      <c r="KF294">
        <v>1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1</v>
      </c>
      <c r="KN294">
        <v>1</v>
      </c>
      <c r="KO294">
        <v>1</v>
      </c>
      <c r="KP294">
        <v>1</v>
      </c>
      <c r="KQ294">
        <v>1</v>
      </c>
      <c r="KR294">
        <v>1</v>
      </c>
      <c r="KS294">
        <v>1</v>
      </c>
      <c r="KT294">
        <v>1</v>
      </c>
      <c r="KU294">
        <v>1</v>
      </c>
      <c r="KV294">
        <v>1</v>
      </c>
      <c r="KW294">
        <v>1</v>
      </c>
      <c r="KX294">
        <v>1</v>
      </c>
      <c r="KY294">
        <v>1</v>
      </c>
      <c r="KZ294">
        <v>1</v>
      </c>
      <c r="LA294">
        <v>1</v>
      </c>
      <c r="LB294">
        <v>1</v>
      </c>
      <c r="LC294">
        <v>1</v>
      </c>
      <c r="LD294">
        <v>1</v>
      </c>
      <c r="LE294">
        <v>1</v>
      </c>
      <c r="LF294">
        <v>1</v>
      </c>
      <c r="LG294">
        <v>1</v>
      </c>
      <c r="LH294">
        <v>1</v>
      </c>
      <c r="LI294">
        <v>1</v>
      </c>
      <c r="LJ294">
        <v>1</v>
      </c>
      <c r="LK294">
        <v>1</v>
      </c>
      <c r="LL294">
        <v>1</v>
      </c>
      <c r="LM294">
        <v>1</v>
      </c>
      <c r="LN294">
        <v>1</v>
      </c>
      <c r="LO294">
        <v>1</v>
      </c>
      <c r="LP294">
        <v>1</v>
      </c>
      <c r="LQ294">
        <v>1</v>
      </c>
      <c r="LR294">
        <v>1</v>
      </c>
      <c r="LS294">
        <v>1</v>
      </c>
      <c r="LT294">
        <v>1</v>
      </c>
      <c r="LU294">
        <v>1</v>
      </c>
      <c r="LV294">
        <v>1</v>
      </c>
      <c r="LW294">
        <v>1</v>
      </c>
      <c r="LX294">
        <v>1</v>
      </c>
      <c r="LY294">
        <v>1</v>
      </c>
      <c r="LZ294">
        <v>1</v>
      </c>
      <c r="MA294">
        <v>1</v>
      </c>
      <c r="MB294">
        <v>1</v>
      </c>
      <c r="MC294">
        <v>1</v>
      </c>
      <c r="MD294">
        <v>1</v>
      </c>
      <c r="ME294">
        <v>1</v>
      </c>
      <c r="MF294">
        <v>1</v>
      </c>
      <c r="MG294">
        <v>1</v>
      </c>
      <c r="MH294">
        <v>1</v>
      </c>
      <c r="MI294">
        <v>1</v>
      </c>
      <c r="MJ294">
        <v>1</v>
      </c>
      <c r="MK294">
        <v>1</v>
      </c>
      <c r="ML294">
        <v>1</v>
      </c>
      <c r="MM294">
        <v>1</v>
      </c>
      <c r="MN294">
        <v>1</v>
      </c>
      <c r="MO294">
        <v>1</v>
      </c>
      <c r="MP294">
        <v>1</v>
      </c>
      <c r="MQ294">
        <v>1</v>
      </c>
      <c r="MR294">
        <v>1</v>
      </c>
      <c r="MS294">
        <v>1</v>
      </c>
      <c r="MT294">
        <v>1</v>
      </c>
      <c r="MU294">
        <v>1</v>
      </c>
      <c r="MV294">
        <v>1</v>
      </c>
      <c r="MW294">
        <v>1</v>
      </c>
      <c r="MX294">
        <v>1</v>
      </c>
      <c r="MY294">
        <v>1</v>
      </c>
      <c r="MZ294">
        <v>1</v>
      </c>
      <c r="NA294">
        <v>1</v>
      </c>
      <c r="NB294">
        <v>1</v>
      </c>
      <c r="NC294">
        <v>1</v>
      </c>
      <c r="ND294">
        <v>1</v>
      </c>
      <c r="NE294">
        <v>1</v>
      </c>
      <c r="NF294">
        <v>1</v>
      </c>
      <c r="NG294">
        <v>1</v>
      </c>
      <c r="NH294">
        <v>1</v>
      </c>
      <c r="NI294">
        <v>1</v>
      </c>
      <c r="NJ294">
        <v>1</v>
      </c>
      <c r="NK294">
        <v>1</v>
      </c>
      <c r="NL294">
        <v>1</v>
      </c>
      <c r="NM294">
        <v>1</v>
      </c>
      <c r="NN294">
        <v>1</v>
      </c>
      <c r="NO294">
        <v>1</v>
      </c>
      <c r="NP294">
        <v>94.587270000000004</v>
      </c>
      <c r="NQ294">
        <v>1</v>
      </c>
      <c r="NR294">
        <v>1</v>
      </c>
      <c r="NS294">
        <v>1</v>
      </c>
      <c r="NT294">
        <v>1</v>
      </c>
      <c r="NU294">
        <v>1</v>
      </c>
      <c r="NV294">
        <v>1</v>
      </c>
      <c r="NW294">
        <v>1</v>
      </c>
      <c r="NX294">
        <v>1</v>
      </c>
      <c r="NY294">
        <v>1</v>
      </c>
      <c r="NZ294">
        <v>1</v>
      </c>
      <c r="OA294">
        <v>1</v>
      </c>
      <c r="OB294">
        <v>1</v>
      </c>
      <c r="OC294">
        <v>20.6</v>
      </c>
      <c r="OD294">
        <v>16740.7</v>
      </c>
      <c r="OE294">
        <v>0</v>
      </c>
      <c r="OF294">
        <v>112.953</v>
      </c>
      <c r="OG294">
        <v>13.1</v>
      </c>
      <c r="OH294">
        <v>53.805999999999997</v>
      </c>
    </row>
    <row r="295" spans="1:398">
      <c r="A295">
        <v>27</v>
      </c>
      <c r="B295" t="s">
        <v>118</v>
      </c>
      <c r="C295" t="s">
        <v>119</v>
      </c>
      <c r="D295">
        <v>2017</v>
      </c>
      <c r="E295">
        <v>13.75</v>
      </c>
      <c r="F295">
        <v>1.2091000000000001</v>
      </c>
      <c r="G295">
        <v>453</v>
      </c>
      <c r="H295">
        <v>29.8</v>
      </c>
      <c r="I295">
        <v>88.6</v>
      </c>
      <c r="J295">
        <v>4.9000000000000004</v>
      </c>
      <c r="K295">
        <v>1425.9</v>
      </c>
      <c r="L295">
        <v>0.5</v>
      </c>
      <c r="M295">
        <v>1.2</v>
      </c>
      <c r="N295">
        <v>47036</v>
      </c>
      <c r="O295">
        <v>2.27</v>
      </c>
      <c r="P295">
        <v>0.92</v>
      </c>
      <c r="Q295">
        <v>6105.18</v>
      </c>
      <c r="R295">
        <v>42.9</v>
      </c>
      <c r="S295">
        <v>0.24393599999999999</v>
      </c>
      <c r="T295">
        <v>-0.55064650000000004</v>
      </c>
      <c r="U295">
        <v>-0.49611090000000002</v>
      </c>
      <c r="V295">
        <v>-0.4021962</v>
      </c>
      <c r="W295">
        <v>-0.30709340000000002</v>
      </c>
      <c r="X295">
        <v>0.77133620000000003</v>
      </c>
      <c r="Y295">
        <v>-0.53695079999999995</v>
      </c>
      <c r="Z295">
        <v>-0.43707289999999999</v>
      </c>
      <c r="AA295">
        <v>-0.47292210000000001</v>
      </c>
      <c r="AB295">
        <v>-0.71693439999999997</v>
      </c>
      <c r="AC295">
        <v>-0.46971590000000002</v>
      </c>
      <c r="AD295">
        <v>-6.0388900000000002E-2</v>
      </c>
      <c r="AE295">
        <v>-0.52256320000000001</v>
      </c>
      <c r="AF295">
        <v>0.24843860000000001</v>
      </c>
      <c r="AG295">
        <v>-0.51559750000000004</v>
      </c>
      <c r="AH295">
        <v>-1.110816</v>
      </c>
      <c r="AI295">
        <v>2.6210390000000001</v>
      </c>
      <c r="AJ295">
        <v>0.1898763</v>
      </c>
      <c r="AK295">
        <v>6.1158919999999997</v>
      </c>
      <c r="AL295">
        <v>4.4841319999999998</v>
      </c>
      <c r="AM295">
        <v>1.589235</v>
      </c>
      <c r="AN295">
        <v>7.2625580000000003</v>
      </c>
      <c r="AO295">
        <v>10.75867</v>
      </c>
      <c r="AP295">
        <v>-8.33816E-2</v>
      </c>
      <c r="AQ295">
        <v>8.7168930000000007</v>
      </c>
      <c r="AR295">
        <v>4.7285300000000001</v>
      </c>
      <c r="AS295">
        <v>2.5177</v>
      </c>
      <c r="AT295">
        <v>9.7523900000000001</v>
      </c>
      <c r="AU295">
        <v>53.750999999999998</v>
      </c>
      <c r="AV295">
        <v>186.64500000000001</v>
      </c>
      <c r="AW295">
        <v>4.3998600000000003</v>
      </c>
      <c r="AX295" s="17">
        <v>4200000000</v>
      </c>
      <c r="AY295">
        <v>3.0680499999999999</v>
      </c>
      <c r="AZ295">
        <v>0.28999999999999998</v>
      </c>
      <c r="BA295">
        <v>0.81977979999999995</v>
      </c>
      <c r="BB295">
        <v>0.81977981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-0.86750099999999997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2.8741000000000001E-3</v>
      </c>
      <c r="CG295">
        <v>0.44932830000000001</v>
      </c>
      <c r="CH295">
        <v>0.14484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-0.53557650000000001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0.20189589999999999</v>
      </c>
      <c r="DI295">
        <v>0.28684219999999999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1</v>
      </c>
      <c r="DT295">
        <v>1</v>
      </c>
      <c r="DU295">
        <v>1</v>
      </c>
      <c r="DV295">
        <v>0.13030520000000001</v>
      </c>
      <c r="DW295">
        <v>-0.15531719999999999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13.96514</v>
      </c>
      <c r="EW295">
        <v>7.1415300000000001E-2</v>
      </c>
      <c r="EX295">
        <v>7.1440000000000003E-2</v>
      </c>
      <c r="EY295">
        <v>7.14061E-2</v>
      </c>
      <c r="EZ295">
        <v>7.1395299999999995E-2</v>
      </c>
      <c r="FA295">
        <v>7.1329100000000006E-2</v>
      </c>
      <c r="FB295">
        <v>7.1464899999999998E-2</v>
      </c>
      <c r="FC295">
        <v>7.1519399999999997E-2</v>
      </c>
      <c r="FD295">
        <v>7.1426000000000003E-2</v>
      </c>
      <c r="FE295">
        <v>7.1456699999999998E-2</v>
      </c>
      <c r="FF295">
        <v>7.1509299999999998E-2</v>
      </c>
      <c r="FG295">
        <v>7.1507200000000007E-2</v>
      </c>
      <c r="FH295">
        <v>7.1370199999999995E-2</v>
      </c>
      <c r="FI295">
        <v>7.1429300000000001E-2</v>
      </c>
      <c r="FJ295">
        <v>7.13313E-2</v>
      </c>
      <c r="FK295">
        <v>0.24381659999999999</v>
      </c>
      <c r="FL295">
        <v>5.9446499999999999E-2</v>
      </c>
      <c r="FM295">
        <v>1</v>
      </c>
      <c r="FN295">
        <v>1</v>
      </c>
      <c r="FO295">
        <v>1</v>
      </c>
      <c r="FP295">
        <v>1</v>
      </c>
      <c r="FQ295">
        <v>1</v>
      </c>
      <c r="FR295">
        <v>1</v>
      </c>
      <c r="FS295">
        <v>1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-0.55064650000000004</v>
      </c>
      <c r="FZ295">
        <v>-0.49611090000000002</v>
      </c>
      <c r="GA295">
        <v>-0.4021962</v>
      </c>
      <c r="GB295">
        <v>0.77133620000000003</v>
      </c>
      <c r="GC295">
        <v>-0.43707289999999999</v>
      </c>
      <c r="GD295">
        <v>-0.46971590000000002</v>
      </c>
      <c r="GE295">
        <v>-0.51559750000000004</v>
      </c>
      <c r="GF295">
        <v>-6.0388900000000002E-2</v>
      </c>
      <c r="GG295">
        <v>-0.52256320000000001</v>
      </c>
      <c r="GH295">
        <v>-1.709862</v>
      </c>
      <c r="GI295">
        <v>2.9236260000000001</v>
      </c>
      <c r="GJ295">
        <v>1</v>
      </c>
      <c r="GK295">
        <v>1</v>
      </c>
      <c r="GL295">
        <v>1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7.07068E-2</v>
      </c>
      <c r="GW295">
        <v>1</v>
      </c>
      <c r="GX295">
        <v>1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1</v>
      </c>
      <c r="HE295">
        <v>1</v>
      </c>
      <c r="HF295">
        <v>1</v>
      </c>
      <c r="HG295">
        <v>1</v>
      </c>
      <c r="HH295">
        <v>1</v>
      </c>
      <c r="HI295">
        <v>-0.49585980000000002</v>
      </c>
      <c r="HJ295">
        <v>1</v>
      </c>
      <c r="HK295">
        <v>1</v>
      </c>
      <c r="HL295">
        <v>1</v>
      </c>
      <c r="HM295">
        <v>1</v>
      </c>
      <c r="HN295">
        <v>1</v>
      </c>
      <c r="HO295">
        <v>1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1</v>
      </c>
      <c r="HZ295">
        <v>1</v>
      </c>
      <c r="IA295">
        <v>1</v>
      </c>
      <c r="IB295">
        <v>1</v>
      </c>
      <c r="IC295">
        <v>1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1</v>
      </c>
      <c r="IO295">
        <v>1</v>
      </c>
      <c r="IP295">
        <v>1</v>
      </c>
      <c r="IQ295">
        <v>1</v>
      </c>
      <c r="IR295">
        <v>1</v>
      </c>
      <c r="IS295">
        <v>1</v>
      </c>
      <c r="IT295">
        <v>1</v>
      </c>
      <c r="IU295">
        <v>1</v>
      </c>
      <c r="IV295">
        <v>1</v>
      </c>
      <c r="IW295">
        <v>1</v>
      </c>
      <c r="IX295">
        <v>1</v>
      </c>
      <c r="IY295">
        <v>1</v>
      </c>
      <c r="IZ295">
        <v>1</v>
      </c>
      <c r="JA295">
        <v>1</v>
      </c>
      <c r="JB295">
        <v>1</v>
      </c>
      <c r="JC295">
        <v>1</v>
      </c>
      <c r="JD295">
        <v>1</v>
      </c>
      <c r="JE295">
        <v>1</v>
      </c>
      <c r="JF295">
        <v>1</v>
      </c>
      <c r="JG295">
        <v>1</v>
      </c>
      <c r="JH295">
        <v>1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1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1</v>
      </c>
      <c r="JZ295">
        <v>1</v>
      </c>
      <c r="KA295">
        <v>1</v>
      </c>
      <c r="KB295">
        <v>1</v>
      </c>
      <c r="KC295">
        <v>1</v>
      </c>
      <c r="KD295">
        <v>1</v>
      </c>
      <c r="KE295">
        <v>1</v>
      </c>
      <c r="KF295">
        <v>1</v>
      </c>
      <c r="KG295">
        <v>1</v>
      </c>
      <c r="KH295">
        <v>1</v>
      </c>
      <c r="KI295">
        <v>1</v>
      </c>
      <c r="KJ295">
        <v>1</v>
      </c>
      <c r="KK295">
        <v>1</v>
      </c>
      <c r="KL295">
        <v>1</v>
      </c>
      <c r="KM295">
        <v>1</v>
      </c>
      <c r="KN295">
        <v>1</v>
      </c>
      <c r="KO295">
        <v>1</v>
      </c>
      <c r="KP295">
        <v>1</v>
      </c>
      <c r="KQ295">
        <v>1</v>
      </c>
      <c r="KR295">
        <v>1</v>
      </c>
      <c r="KS295">
        <v>1</v>
      </c>
      <c r="KT295">
        <v>1</v>
      </c>
      <c r="KU295">
        <v>1</v>
      </c>
      <c r="KV295">
        <v>1</v>
      </c>
      <c r="KW295">
        <v>1</v>
      </c>
      <c r="KX295">
        <v>1</v>
      </c>
      <c r="KY295">
        <v>1</v>
      </c>
      <c r="KZ295">
        <v>1</v>
      </c>
      <c r="LA295">
        <v>1</v>
      </c>
      <c r="LB295">
        <v>1</v>
      </c>
      <c r="LC295">
        <v>1</v>
      </c>
      <c r="LD295">
        <v>1</v>
      </c>
      <c r="LE295">
        <v>1</v>
      </c>
      <c r="LF295">
        <v>1</v>
      </c>
      <c r="LG295">
        <v>1</v>
      </c>
      <c r="LH295">
        <v>1</v>
      </c>
      <c r="LI295">
        <v>1</v>
      </c>
      <c r="LJ295">
        <v>1</v>
      </c>
      <c r="LK295">
        <v>1</v>
      </c>
      <c r="LL295">
        <v>1</v>
      </c>
      <c r="LM295">
        <v>1</v>
      </c>
      <c r="LN295">
        <v>1</v>
      </c>
      <c r="LO295">
        <v>1</v>
      </c>
      <c r="LP295">
        <v>1</v>
      </c>
      <c r="LQ295">
        <v>1</v>
      </c>
      <c r="LR295">
        <v>1</v>
      </c>
      <c r="LS295">
        <v>1</v>
      </c>
      <c r="LT295">
        <v>1</v>
      </c>
      <c r="LU295">
        <v>1</v>
      </c>
      <c r="LV295">
        <v>1</v>
      </c>
      <c r="LW295">
        <v>1</v>
      </c>
      <c r="LX295">
        <v>1</v>
      </c>
      <c r="LY295">
        <v>1</v>
      </c>
      <c r="LZ295">
        <v>1</v>
      </c>
      <c r="MA295">
        <v>1</v>
      </c>
      <c r="MB295">
        <v>1</v>
      </c>
      <c r="MC295">
        <v>1</v>
      </c>
      <c r="MD295">
        <v>1</v>
      </c>
      <c r="ME295">
        <v>1</v>
      </c>
      <c r="MF295">
        <v>1</v>
      </c>
      <c r="MG295">
        <v>1</v>
      </c>
      <c r="MH295">
        <v>1</v>
      </c>
      <c r="MI295">
        <v>1</v>
      </c>
      <c r="MJ295">
        <v>1</v>
      </c>
      <c r="MK295">
        <v>1</v>
      </c>
      <c r="ML295">
        <v>1</v>
      </c>
      <c r="MM295">
        <v>1</v>
      </c>
      <c r="MN295">
        <v>1</v>
      </c>
      <c r="MO295">
        <v>1</v>
      </c>
      <c r="MP295">
        <v>1</v>
      </c>
      <c r="MQ295">
        <v>1</v>
      </c>
      <c r="MR295">
        <v>1</v>
      </c>
      <c r="MS295">
        <v>1</v>
      </c>
      <c r="MT295">
        <v>1</v>
      </c>
      <c r="MU295">
        <v>1</v>
      </c>
      <c r="MV295">
        <v>1</v>
      </c>
      <c r="MW295">
        <v>1</v>
      </c>
      <c r="MX295">
        <v>1</v>
      </c>
      <c r="MY295">
        <v>1</v>
      </c>
      <c r="MZ295">
        <v>1</v>
      </c>
      <c r="NA295">
        <v>1</v>
      </c>
      <c r="NB295">
        <v>1</v>
      </c>
      <c r="NC295">
        <v>1</v>
      </c>
      <c r="ND295">
        <v>1</v>
      </c>
      <c r="NE295">
        <v>1</v>
      </c>
      <c r="NF295">
        <v>1</v>
      </c>
      <c r="NG295">
        <v>1</v>
      </c>
      <c r="NH295">
        <v>1</v>
      </c>
      <c r="NI295">
        <v>1</v>
      </c>
      <c r="NJ295">
        <v>1</v>
      </c>
      <c r="NK295">
        <v>1</v>
      </c>
      <c r="NL295">
        <v>1</v>
      </c>
      <c r="NM295">
        <v>1</v>
      </c>
      <c r="NN295">
        <v>1</v>
      </c>
      <c r="NO295">
        <v>1</v>
      </c>
      <c r="NP295">
        <v>95.10915</v>
      </c>
      <c r="NQ295">
        <v>1</v>
      </c>
      <c r="NR295">
        <v>1</v>
      </c>
      <c r="NS295">
        <v>1</v>
      </c>
      <c r="NT295">
        <v>1</v>
      </c>
      <c r="NU295">
        <v>1</v>
      </c>
      <c r="NV295">
        <v>1</v>
      </c>
      <c r="NW295">
        <v>1</v>
      </c>
      <c r="NX295">
        <v>1</v>
      </c>
      <c r="NY295">
        <v>1</v>
      </c>
      <c r="NZ295">
        <v>1</v>
      </c>
      <c r="OA295">
        <v>1</v>
      </c>
      <c r="OB295">
        <v>1</v>
      </c>
      <c r="OC295">
        <v>21.5</v>
      </c>
      <c r="OD295">
        <v>17195.3</v>
      </c>
      <c r="OE295">
        <v>0.42</v>
      </c>
      <c r="OF295">
        <v>113.129</v>
      </c>
      <c r="OG295">
        <v>12.4</v>
      </c>
      <c r="OH295">
        <v>53.750999999999998</v>
      </c>
    </row>
    <row r="296" spans="1:398">
      <c r="A296">
        <v>27</v>
      </c>
      <c r="B296" t="s">
        <v>118</v>
      </c>
      <c r="C296" t="s">
        <v>119</v>
      </c>
      <c r="D296">
        <v>2018</v>
      </c>
      <c r="E296">
        <v>14.824999999999999</v>
      </c>
      <c r="F296">
        <v>1.1894</v>
      </c>
      <c r="G296">
        <v>454</v>
      </c>
      <c r="H296">
        <v>36.299999999999997</v>
      </c>
      <c r="I296">
        <v>88.9</v>
      </c>
      <c r="J296">
        <v>4.7</v>
      </c>
      <c r="K296">
        <v>1422.9</v>
      </c>
      <c r="L296">
        <v>0.6</v>
      </c>
      <c r="M296">
        <v>1.3</v>
      </c>
      <c r="N296">
        <v>49438</v>
      </c>
      <c r="O296">
        <v>1.5</v>
      </c>
      <c r="P296">
        <v>0.91</v>
      </c>
      <c r="Q296">
        <v>5581.24</v>
      </c>
      <c r="R296">
        <v>43</v>
      </c>
      <c r="S296">
        <v>0.25300699999999998</v>
      </c>
      <c r="T296">
        <v>-0.42004010000000003</v>
      </c>
      <c r="U296">
        <v>-0.51501799999999998</v>
      </c>
      <c r="V296">
        <v>-0.3946037</v>
      </c>
      <c r="W296">
        <v>0.1113304</v>
      </c>
      <c r="X296">
        <v>0.81300649999999997</v>
      </c>
      <c r="Y296">
        <v>-0.56897710000000001</v>
      </c>
      <c r="Z296">
        <v>-0.43746439999999998</v>
      </c>
      <c r="AA296">
        <v>-0.19478770000000001</v>
      </c>
      <c r="AB296">
        <v>-0.58500799999999997</v>
      </c>
      <c r="AC296">
        <v>-0.45696130000000001</v>
      </c>
      <c r="AD296">
        <v>-0.109393</v>
      </c>
      <c r="AE296">
        <v>-0.69518199999999997</v>
      </c>
      <c r="AF296">
        <v>0.2537063</v>
      </c>
      <c r="AG296">
        <v>-0.55570160000000002</v>
      </c>
      <c r="AH296">
        <v>-0.96599860000000004</v>
      </c>
      <c r="AI296">
        <v>2.6963149999999998</v>
      </c>
      <c r="AJ296">
        <v>0.17344899999999999</v>
      </c>
      <c r="AK296">
        <v>6.1180969999999997</v>
      </c>
      <c r="AL296">
        <v>4.4875119999999997</v>
      </c>
      <c r="AM296">
        <v>1.5475620000000001</v>
      </c>
      <c r="AN296">
        <v>7.2604519999999999</v>
      </c>
      <c r="AO296">
        <v>10.80847</v>
      </c>
      <c r="AP296">
        <v>-9.4310599999999994E-2</v>
      </c>
      <c r="AQ296">
        <v>8.6271660000000008</v>
      </c>
      <c r="AR296">
        <v>4.7299199999999999</v>
      </c>
      <c r="AS296">
        <v>2.5177</v>
      </c>
      <c r="AT296">
        <v>9.7908200000000001</v>
      </c>
      <c r="AU296">
        <v>53.725999999999999</v>
      </c>
      <c r="AV296">
        <v>188.733</v>
      </c>
      <c r="AW296">
        <v>2.1126999999999998</v>
      </c>
      <c r="AX296" s="17">
        <v>2300000000</v>
      </c>
      <c r="AY296">
        <v>3.0819100000000001</v>
      </c>
      <c r="AZ296">
        <v>0.28999999999999998</v>
      </c>
      <c r="BA296">
        <v>0.40546510000000002</v>
      </c>
      <c r="BB296">
        <v>0.40546510000000002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-1.2729699999999999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3.5880999999999999E-3</v>
      </c>
      <c r="CG296">
        <v>0.45837460000000002</v>
      </c>
      <c r="CH296">
        <v>0.14855499999999999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-0.444025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0.2101073</v>
      </c>
      <c r="DI296">
        <v>0.19715820000000001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1</v>
      </c>
      <c r="DV296">
        <v>0.13292860000000001</v>
      </c>
      <c r="DW296">
        <v>-0.1287672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13.964270000000001</v>
      </c>
      <c r="EW296">
        <v>7.1407799999999994E-2</v>
      </c>
      <c r="EX296">
        <v>7.1447800000000006E-2</v>
      </c>
      <c r="EY296">
        <v>7.1410100000000004E-2</v>
      </c>
      <c r="EZ296">
        <v>7.1357299999999999E-2</v>
      </c>
      <c r="FA296">
        <v>7.1332599999999996E-2</v>
      </c>
      <c r="FB296">
        <v>7.1476100000000001E-2</v>
      </c>
      <c r="FC296">
        <v>7.1524099999999993E-2</v>
      </c>
      <c r="FD296">
        <v>7.1394100000000002E-2</v>
      </c>
      <c r="FE296">
        <v>7.1443599999999996E-2</v>
      </c>
      <c r="FF296">
        <v>7.1509400000000001E-2</v>
      </c>
      <c r="FG296">
        <v>7.1524299999999999E-2</v>
      </c>
      <c r="FH296">
        <v>7.1380399999999997E-2</v>
      </c>
      <c r="FI296">
        <v>7.1456500000000006E-2</v>
      </c>
      <c r="FJ296">
        <v>7.1335899999999994E-2</v>
      </c>
      <c r="FK296">
        <v>0.25287280000000001</v>
      </c>
      <c r="FL296">
        <v>6.3944699999999993E-2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</v>
      </c>
      <c r="FX296">
        <v>1</v>
      </c>
      <c r="FY296">
        <v>-0.42004010000000003</v>
      </c>
      <c r="FZ296">
        <v>-0.51501799999999998</v>
      </c>
      <c r="GA296">
        <v>-0.3946037</v>
      </c>
      <c r="GB296">
        <v>0.81300649999999997</v>
      </c>
      <c r="GC296">
        <v>-0.43746439999999998</v>
      </c>
      <c r="GD296">
        <v>-0.45696130000000001</v>
      </c>
      <c r="GE296">
        <v>-0.55570160000000002</v>
      </c>
      <c r="GF296">
        <v>-0.109393</v>
      </c>
      <c r="GG296">
        <v>-0.69518199999999997</v>
      </c>
      <c r="GH296">
        <v>-1.5018389999999999</v>
      </c>
      <c r="GI296">
        <v>2.2555200000000002</v>
      </c>
      <c r="GJ296">
        <v>1</v>
      </c>
      <c r="GK296">
        <v>1</v>
      </c>
      <c r="GL296">
        <v>1</v>
      </c>
      <c r="GM296">
        <v>1</v>
      </c>
      <c r="GN296">
        <v>1</v>
      </c>
      <c r="GO296">
        <v>1</v>
      </c>
      <c r="GP296">
        <v>1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7.3333099999999998E-2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1</v>
      </c>
      <c r="HE296">
        <v>1</v>
      </c>
      <c r="HF296">
        <v>1</v>
      </c>
      <c r="HG296">
        <v>1</v>
      </c>
      <c r="HH296">
        <v>1</v>
      </c>
      <c r="HI296">
        <v>-0.43553330000000001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1</v>
      </c>
      <c r="HQ296">
        <v>1</v>
      </c>
      <c r="HR296">
        <v>1</v>
      </c>
      <c r="HS296">
        <v>1</v>
      </c>
      <c r="HT296">
        <v>1</v>
      </c>
      <c r="HU296">
        <v>1</v>
      </c>
      <c r="HV296">
        <v>1</v>
      </c>
      <c r="HW296">
        <v>1</v>
      </c>
      <c r="HX296">
        <v>1</v>
      </c>
      <c r="HY296">
        <v>1</v>
      </c>
      <c r="HZ296">
        <v>1</v>
      </c>
      <c r="IA296">
        <v>1</v>
      </c>
      <c r="IB296">
        <v>1</v>
      </c>
      <c r="IC296">
        <v>1</v>
      </c>
      <c r="ID296">
        <v>1</v>
      </c>
      <c r="IE296">
        <v>1</v>
      </c>
      <c r="IF296">
        <v>1</v>
      </c>
      <c r="IG296">
        <v>1</v>
      </c>
      <c r="IH296">
        <v>1</v>
      </c>
      <c r="II296">
        <v>1</v>
      </c>
      <c r="IJ296">
        <v>1</v>
      </c>
      <c r="IK296">
        <v>1</v>
      </c>
      <c r="IL296">
        <v>1</v>
      </c>
      <c r="IM296">
        <v>1</v>
      </c>
      <c r="IN296">
        <v>1</v>
      </c>
      <c r="IO296">
        <v>1</v>
      </c>
      <c r="IP296">
        <v>1</v>
      </c>
      <c r="IQ296">
        <v>1</v>
      </c>
      <c r="IR296">
        <v>1</v>
      </c>
      <c r="IS296">
        <v>1</v>
      </c>
      <c r="IT296">
        <v>1</v>
      </c>
      <c r="IU296">
        <v>1</v>
      </c>
      <c r="IV296">
        <v>1</v>
      </c>
      <c r="IW296">
        <v>1</v>
      </c>
      <c r="IX296">
        <v>1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1</v>
      </c>
      <c r="JE296">
        <v>1</v>
      </c>
      <c r="JF296">
        <v>1</v>
      </c>
      <c r="JG296">
        <v>1</v>
      </c>
      <c r="JH296">
        <v>1</v>
      </c>
      <c r="JI296">
        <v>1</v>
      </c>
      <c r="JJ296">
        <v>1</v>
      </c>
      <c r="JK296">
        <v>1</v>
      </c>
      <c r="JL296">
        <v>1</v>
      </c>
      <c r="JM296">
        <v>1</v>
      </c>
      <c r="JN296">
        <v>1</v>
      </c>
      <c r="JO296">
        <v>1</v>
      </c>
      <c r="JP296">
        <v>1</v>
      </c>
      <c r="JQ296">
        <v>1</v>
      </c>
      <c r="JR296">
        <v>1</v>
      </c>
      <c r="JS296">
        <v>1</v>
      </c>
      <c r="JT296">
        <v>1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1</v>
      </c>
      <c r="KF296">
        <v>1</v>
      </c>
      <c r="KG296">
        <v>1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1</v>
      </c>
      <c r="KN296">
        <v>1</v>
      </c>
      <c r="KO296">
        <v>1</v>
      </c>
      <c r="KP296">
        <v>1</v>
      </c>
      <c r="KQ296">
        <v>1</v>
      </c>
      <c r="KR296">
        <v>1</v>
      </c>
      <c r="KS296">
        <v>1</v>
      </c>
      <c r="KT296">
        <v>1</v>
      </c>
      <c r="KU296">
        <v>1</v>
      </c>
      <c r="KV296">
        <v>1</v>
      </c>
      <c r="KW296">
        <v>1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1</v>
      </c>
      <c r="LK296">
        <v>1</v>
      </c>
      <c r="LL296">
        <v>1</v>
      </c>
      <c r="LM296">
        <v>1</v>
      </c>
      <c r="LN296">
        <v>1</v>
      </c>
      <c r="LO296">
        <v>1</v>
      </c>
      <c r="LP296">
        <v>1</v>
      </c>
      <c r="LQ296">
        <v>1</v>
      </c>
      <c r="LR296">
        <v>1</v>
      </c>
      <c r="LS296">
        <v>1</v>
      </c>
      <c r="LT296">
        <v>1</v>
      </c>
      <c r="LU296">
        <v>1</v>
      </c>
      <c r="LV296">
        <v>1</v>
      </c>
      <c r="LW296">
        <v>1</v>
      </c>
      <c r="LX296">
        <v>1</v>
      </c>
      <c r="LY296">
        <v>1</v>
      </c>
      <c r="LZ296">
        <v>1</v>
      </c>
      <c r="MA296">
        <v>1</v>
      </c>
      <c r="MB296">
        <v>1</v>
      </c>
      <c r="MC296">
        <v>1</v>
      </c>
      <c r="MD296">
        <v>1</v>
      </c>
      <c r="ME296">
        <v>1</v>
      </c>
      <c r="MF296">
        <v>1</v>
      </c>
      <c r="MG296">
        <v>1</v>
      </c>
      <c r="MH296">
        <v>1</v>
      </c>
      <c r="MI296">
        <v>1</v>
      </c>
      <c r="MJ296">
        <v>1</v>
      </c>
      <c r="MK296">
        <v>1</v>
      </c>
      <c r="ML296">
        <v>1</v>
      </c>
      <c r="MM296">
        <v>1</v>
      </c>
      <c r="MN296">
        <v>1</v>
      </c>
      <c r="MO296">
        <v>1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1</v>
      </c>
      <c r="MX296">
        <v>1</v>
      </c>
      <c r="MY296">
        <v>1</v>
      </c>
      <c r="MZ296">
        <v>1</v>
      </c>
      <c r="NA296">
        <v>1</v>
      </c>
      <c r="NB296">
        <v>1</v>
      </c>
      <c r="NC296">
        <v>1</v>
      </c>
      <c r="ND296">
        <v>1</v>
      </c>
      <c r="NE296">
        <v>1</v>
      </c>
      <c r="NF296">
        <v>1</v>
      </c>
      <c r="NG296">
        <v>1</v>
      </c>
      <c r="NH296">
        <v>1</v>
      </c>
      <c r="NI296">
        <v>1</v>
      </c>
      <c r="NJ296">
        <v>1</v>
      </c>
      <c r="NK296">
        <v>1</v>
      </c>
      <c r="NL296">
        <v>1</v>
      </c>
      <c r="NM296">
        <v>1</v>
      </c>
      <c r="NN296">
        <v>1</v>
      </c>
      <c r="NO296">
        <v>1</v>
      </c>
      <c r="NP296">
        <v>95.860209999999995</v>
      </c>
      <c r="NQ296">
        <v>1</v>
      </c>
      <c r="NR296">
        <v>1</v>
      </c>
      <c r="NS296">
        <v>1</v>
      </c>
      <c r="NT296">
        <v>1</v>
      </c>
      <c r="NU296">
        <v>1</v>
      </c>
      <c r="NV296">
        <v>1</v>
      </c>
      <c r="NW296">
        <v>1</v>
      </c>
      <c r="NX296">
        <v>1</v>
      </c>
      <c r="NY296">
        <v>1</v>
      </c>
      <c r="NZ296">
        <v>1</v>
      </c>
      <c r="OA296">
        <v>1</v>
      </c>
      <c r="OB296">
        <v>1</v>
      </c>
      <c r="OC296">
        <v>21.8</v>
      </c>
      <c r="OD296">
        <v>17869</v>
      </c>
      <c r="OE296">
        <v>0.28000000000000003</v>
      </c>
      <c r="OF296">
        <v>113.286</v>
      </c>
      <c r="OG296">
        <v>12.4</v>
      </c>
      <c r="OH296">
        <v>53.725999999999999</v>
      </c>
    </row>
    <row r="297" spans="1:398">
      <c r="A297">
        <v>27</v>
      </c>
      <c r="B297" t="s">
        <v>118</v>
      </c>
      <c r="C297" t="s">
        <v>119</v>
      </c>
      <c r="D297">
        <v>2019</v>
      </c>
      <c r="E297">
        <v>13.602</v>
      </c>
      <c r="F297">
        <v>1.3387</v>
      </c>
      <c r="G297">
        <v>455</v>
      </c>
      <c r="H297">
        <v>38.5</v>
      </c>
      <c r="I297">
        <v>91.2</v>
      </c>
      <c r="J297">
        <v>8.3000000000000007</v>
      </c>
      <c r="K297">
        <v>1560.6</v>
      </c>
      <c r="L297">
        <v>0.5</v>
      </c>
      <c r="M297">
        <v>1.3</v>
      </c>
      <c r="N297">
        <v>48995</v>
      </c>
      <c r="O297">
        <v>3.67</v>
      </c>
      <c r="P297">
        <v>0.9</v>
      </c>
      <c r="Q297">
        <v>5057.29</v>
      </c>
      <c r="R297">
        <v>44</v>
      </c>
      <c r="S297">
        <v>0.26331900000000003</v>
      </c>
      <c r="T297">
        <v>-0.56862769999999996</v>
      </c>
      <c r="U297">
        <v>-0.37172729999999998</v>
      </c>
      <c r="V297">
        <v>-0.3870112</v>
      </c>
      <c r="W297">
        <v>0.25295079999999998</v>
      </c>
      <c r="X297">
        <v>1.1324749999999999</v>
      </c>
      <c r="Y297">
        <v>7.4944E-3</v>
      </c>
      <c r="Z297">
        <v>-0.41949570000000003</v>
      </c>
      <c r="AA297">
        <v>-0.47292210000000001</v>
      </c>
      <c r="AB297">
        <v>-0.58500799999999997</v>
      </c>
      <c r="AC297">
        <v>-0.45931359999999999</v>
      </c>
      <c r="AD297">
        <v>-0.15839739999999999</v>
      </c>
      <c r="AE297">
        <v>-0.86780080000000004</v>
      </c>
      <c r="AF297">
        <v>0.3063845</v>
      </c>
      <c r="AG297">
        <v>-0.44268089999999999</v>
      </c>
      <c r="AH297">
        <v>-0.66133140000000001</v>
      </c>
      <c r="AI297">
        <v>2.610217</v>
      </c>
      <c r="AJ297">
        <v>0.29169899999999999</v>
      </c>
      <c r="AK297">
        <v>6.1202969999999999</v>
      </c>
      <c r="AL297">
        <v>4.5130549999999996</v>
      </c>
      <c r="AM297">
        <v>2.1162559999999999</v>
      </c>
      <c r="AN297">
        <v>7.3528260000000003</v>
      </c>
      <c r="AO297">
        <v>10.799469999999999</v>
      </c>
      <c r="AP297">
        <v>-0.1053605</v>
      </c>
      <c r="AQ297">
        <v>8.5285860000000007</v>
      </c>
      <c r="AR297">
        <v>4.7312700000000003</v>
      </c>
      <c r="AS297">
        <v>2.8679000000000001</v>
      </c>
      <c r="AT297">
        <v>9.8119700000000005</v>
      </c>
      <c r="AU297">
        <v>53.728999999999999</v>
      </c>
      <c r="AV297">
        <v>183.72300000000001</v>
      </c>
      <c r="AW297">
        <v>2.15395</v>
      </c>
      <c r="AX297" s="17">
        <v>2300000000</v>
      </c>
      <c r="AY297">
        <v>3.1135100000000002</v>
      </c>
      <c r="AZ297">
        <v>0.28999999999999998</v>
      </c>
      <c r="BA297">
        <v>1.300192</v>
      </c>
      <c r="BB297">
        <v>1.3001916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-0.400478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3.8186000000000001E-3</v>
      </c>
      <c r="CG297">
        <v>0.46819300000000003</v>
      </c>
      <c r="CH297">
        <v>0.16286700000000001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7.4929000000000003E-3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0.2192047</v>
      </c>
      <c r="DI297">
        <v>5.6100000000000002E-5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1</v>
      </c>
      <c r="DR297">
        <v>1</v>
      </c>
      <c r="DS297">
        <v>1</v>
      </c>
      <c r="DT297">
        <v>1</v>
      </c>
      <c r="DU297">
        <v>1</v>
      </c>
      <c r="DV297">
        <v>0.13577600000000001</v>
      </c>
      <c r="DW297">
        <v>2.173E-3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13.962569999999999</v>
      </c>
      <c r="EW297">
        <v>7.1430999999999994E-2</v>
      </c>
      <c r="EX297">
        <v>7.1434200000000003E-2</v>
      </c>
      <c r="EY297">
        <v>7.1418499999999996E-2</v>
      </c>
      <c r="EZ297">
        <v>7.1352600000000002E-2</v>
      </c>
      <c r="FA297">
        <v>7.1328600000000006E-2</v>
      </c>
      <c r="FB297">
        <v>7.1376700000000001E-2</v>
      </c>
      <c r="FC297">
        <v>7.1525699999999998E-2</v>
      </c>
      <c r="FD297">
        <v>7.1440000000000003E-2</v>
      </c>
      <c r="FE297">
        <v>7.1452600000000005E-2</v>
      </c>
      <c r="FF297">
        <v>7.1519100000000002E-2</v>
      </c>
      <c r="FG297">
        <v>7.1498500000000006E-2</v>
      </c>
      <c r="FH297">
        <v>7.1394899999999997E-2</v>
      </c>
      <c r="FI297">
        <v>7.1488599999999999E-2</v>
      </c>
      <c r="FJ297">
        <v>7.1338899999999997E-2</v>
      </c>
      <c r="FK297">
        <v>0.26318720000000001</v>
      </c>
      <c r="FL297">
        <v>6.9267499999999996E-2</v>
      </c>
      <c r="FM297">
        <v>1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1</v>
      </c>
      <c r="FY297">
        <v>-0.56862769999999996</v>
      </c>
      <c r="FZ297">
        <v>-0.37172729999999998</v>
      </c>
      <c r="GA297">
        <v>-0.3870112</v>
      </c>
      <c r="GB297">
        <v>1.1324749999999999</v>
      </c>
      <c r="GC297">
        <v>-0.41949570000000003</v>
      </c>
      <c r="GD297">
        <v>-0.45931359999999999</v>
      </c>
      <c r="GE297">
        <v>-0.44268089999999999</v>
      </c>
      <c r="GF297">
        <v>-0.15839739999999999</v>
      </c>
      <c r="GG297">
        <v>-0.86780080000000004</v>
      </c>
      <c r="GH297">
        <v>-1.0702130000000001</v>
      </c>
      <c r="GI297">
        <v>1.1453549999999999</v>
      </c>
      <c r="GJ297">
        <v>1</v>
      </c>
      <c r="GK297">
        <v>1</v>
      </c>
      <c r="GL297">
        <v>1</v>
      </c>
      <c r="GM297">
        <v>1</v>
      </c>
      <c r="GN297">
        <v>1</v>
      </c>
      <c r="GO297">
        <v>1</v>
      </c>
      <c r="GP297">
        <v>1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7.6324299999999998E-2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-0.31036170000000002</v>
      </c>
      <c r="HJ297">
        <v>1</v>
      </c>
      <c r="HK297">
        <v>1</v>
      </c>
      <c r="HL297">
        <v>1</v>
      </c>
      <c r="HM297">
        <v>1</v>
      </c>
      <c r="HN297">
        <v>1</v>
      </c>
      <c r="HO297">
        <v>1</v>
      </c>
      <c r="HP297">
        <v>1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1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1</v>
      </c>
      <c r="IR297">
        <v>1</v>
      </c>
      <c r="IS297">
        <v>1</v>
      </c>
      <c r="IT297">
        <v>1</v>
      </c>
      <c r="IU297">
        <v>1</v>
      </c>
      <c r="IV297">
        <v>1</v>
      </c>
      <c r="IW297">
        <v>1</v>
      </c>
      <c r="IX297">
        <v>1</v>
      </c>
      <c r="IY297">
        <v>1</v>
      </c>
      <c r="IZ297">
        <v>1</v>
      </c>
      <c r="JA297">
        <v>1</v>
      </c>
      <c r="JB297">
        <v>1</v>
      </c>
      <c r="JC297">
        <v>1</v>
      </c>
      <c r="JD297">
        <v>1</v>
      </c>
      <c r="JE297">
        <v>1</v>
      </c>
      <c r="JF297">
        <v>1</v>
      </c>
      <c r="JG297">
        <v>1</v>
      </c>
      <c r="JH297">
        <v>1</v>
      </c>
      <c r="JI297">
        <v>1</v>
      </c>
      <c r="JJ297">
        <v>1</v>
      </c>
      <c r="JK297">
        <v>1</v>
      </c>
      <c r="JL297">
        <v>1</v>
      </c>
      <c r="JM297">
        <v>1</v>
      </c>
      <c r="JN297">
        <v>1</v>
      </c>
      <c r="JO297">
        <v>1</v>
      </c>
      <c r="JP297">
        <v>1</v>
      </c>
      <c r="JQ297">
        <v>1</v>
      </c>
      <c r="JR297">
        <v>1</v>
      </c>
      <c r="JS297">
        <v>1</v>
      </c>
      <c r="JT297">
        <v>1</v>
      </c>
      <c r="JU297">
        <v>1</v>
      </c>
      <c r="JV297">
        <v>1</v>
      </c>
      <c r="JW297">
        <v>1</v>
      </c>
      <c r="JX297">
        <v>1</v>
      </c>
      <c r="JY297">
        <v>1</v>
      </c>
      <c r="JZ297">
        <v>1</v>
      </c>
      <c r="KA297">
        <v>1</v>
      </c>
      <c r="KB297">
        <v>1</v>
      </c>
      <c r="KC297">
        <v>1</v>
      </c>
      <c r="KD297">
        <v>1</v>
      </c>
      <c r="KE297">
        <v>1</v>
      </c>
      <c r="KF297">
        <v>1</v>
      </c>
      <c r="KG297">
        <v>1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1</v>
      </c>
      <c r="KN297">
        <v>1</v>
      </c>
      <c r="KO297">
        <v>1</v>
      </c>
      <c r="KP297">
        <v>1</v>
      </c>
      <c r="KQ297">
        <v>1</v>
      </c>
      <c r="KR297">
        <v>1</v>
      </c>
      <c r="KS297">
        <v>1</v>
      </c>
      <c r="KT297">
        <v>1</v>
      </c>
      <c r="KU297">
        <v>1</v>
      </c>
      <c r="KV297">
        <v>1</v>
      </c>
      <c r="KW297">
        <v>1</v>
      </c>
      <c r="KX297">
        <v>1</v>
      </c>
      <c r="KY297">
        <v>1</v>
      </c>
      <c r="KZ297">
        <v>1</v>
      </c>
      <c r="LA297">
        <v>1</v>
      </c>
      <c r="LB297">
        <v>1</v>
      </c>
      <c r="LC297">
        <v>1</v>
      </c>
      <c r="LD297">
        <v>1</v>
      </c>
      <c r="LE297">
        <v>1</v>
      </c>
      <c r="LF297">
        <v>1</v>
      </c>
      <c r="LG297">
        <v>1</v>
      </c>
      <c r="LH297">
        <v>1</v>
      </c>
      <c r="LI297">
        <v>1</v>
      </c>
      <c r="LJ297">
        <v>1</v>
      </c>
      <c r="LK297">
        <v>1</v>
      </c>
      <c r="LL297">
        <v>1</v>
      </c>
      <c r="LM297">
        <v>1</v>
      </c>
      <c r="LN297">
        <v>1</v>
      </c>
      <c r="LO297">
        <v>1</v>
      </c>
      <c r="LP297">
        <v>1</v>
      </c>
      <c r="LQ297">
        <v>1</v>
      </c>
      <c r="LR297">
        <v>1</v>
      </c>
      <c r="LS297">
        <v>1</v>
      </c>
      <c r="LT297">
        <v>1</v>
      </c>
      <c r="LU297">
        <v>1</v>
      </c>
      <c r="LV297">
        <v>1</v>
      </c>
      <c r="LW297">
        <v>1</v>
      </c>
      <c r="LX297">
        <v>1</v>
      </c>
      <c r="LY297">
        <v>1</v>
      </c>
      <c r="LZ297">
        <v>1</v>
      </c>
      <c r="MA297">
        <v>1</v>
      </c>
      <c r="MB297">
        <v>1</v>
      </c>
      <c r="MC297">
        <v>1</v>
      </c>
      <c r="MD297">
        <v>1</v>
      </c>
      <c r="ME297">
        <v>1</v>
      </c>
      <c r="MF297">
        <v>1</v>
      </c>
      <c r="MG297">
        <v>1</v>
      </c>
      <c r="MH297">
        <v>1</v>
      </c>
      <c r="MI297">
        <v>1</v>
      </c>
      <c r="MJ297">
        <v>1</v>
      </c>
      <c r="MK297">
        <v>1</v>
      </c>
      <c r="ML297">
        <v>1</v>
      </c>
      <c r="MM297">
        <v>1</v>
      </c>
      <c r="MN297">
        <v>1</v>
      </c>
      <c r="MO297">
        <v>1</v>
      </c>
      <c r="MP297">
        <v>1</v>
      </c>
      <c r="MQ297">
        <v>1</v>
      </c>
      <c r="MR297">
        <v>1</v>
      </c>
      <c r="MS297">
        <v>1</v>
      </c>
      <c r="MT297">
        <v>1</v>
      </c>
      <c r="MU297">
        <v>1</v>
      </c>
      <c r="MV297">
        <v>1</v>
      </c>
      <c r="MW297">
        <v>1</v>
      </c>
      <c r="MX297">
        <v>1</v>
      </c>
      <c r="MY297">
        <v>1</v>
      </c>
      <c r="MZ297">
        <v>1</v>
      </c>
      <c r="NA297">
        <v>1</v>
      </c>
      <c r="NB297">
        <v>1</v>
      </c>
      <c r="NC297">
        <v>1</v>
      </c>
      <c r="ND297">
        <v>1</v>
      </c>
      <c r="NE297">
        <v>1</v>
      </c>
      <c r="NF297">
        <v>1</v>
      </c>
      <c r="NG297">
        <v>1</v>
      </c>
      <c r="NH297">
        <v>1</v>
      </c>
      <c r="NI297">
        <v>1</v>
      </c>
      <c r="NJ297">
        <v>1</v>
      </c>
      <c r="NK297">
        <v>1</v>
      </c>
      <c r="NL297">
        <v>1</v>
      </c>
      <c r="NM297">
        <v>1</v>
      </c>
      <c r="NN297">
        <v>1</v>
      </c>
      <c r="NO297">
        <v>1</v>
      </c>
      <c r="NP297">
        <v>96.274839999999998</v>
      </c>
      <c r="NQ297">
        <v>1</v>
      </c>
      <c r="NR297">
        <v>1</v>
      </c>
      <c r="NS297">
        <v>1</v>
      </c>
      <c r="NT297">
        <v>1</v>
      </c>
      <c r="NU297">
        <v>1</v>
      </c>
      <c r="NV297">
        <v>1</v>
      </c>
      <c r="NW297">
        <v>1</v>
      </c>
      <c r="NX297">
        <v>1</v>
      </c>
      <c r="NY297">
        <v>1</v>
      </c>
      <c r="NZ297">
        <v>1</v>
      </c>
      <c r="OA297">
        <v>1</v>
      </c>
      <c r="OB297">
        <v>1</v>
      </c>
      <c r="OC297">
        <v>22.5</v>
      </c>
      <c r="OD297">
        <v>18251</v>
      </c>
      <c r="OE297">
        <v>0.67</v>
      </c>
      <c r="OF297">
        <v>113.43899999999999</v>
      </c>
      <c r="OG297">
        <v>17.600000000000001</v>
      </c>
      <c r="OH297">
        <v>53.728999999999999</v>
      </c>
    </row>
    <row r="298" spans="1:398">
      <c r="A298">
        <v>27</v>
      </c>
      <c r="B298" t="s">
        <v>118</v>
      </c>
      <c r="C298" t="s">
        <v>119</v>
      </c>
      <c r="D298">
        <v>2020</v>
      </c>
      <c r="E298">
        <v>12.706</v>
      </c>
      <c r="F298">
        <v>1.3376999999999999</v>
      </c>
      <c r="G298">
        <v>443</v>
      </c>
      <c r="H298">
        <v>45.3</v>
      </c>
      <c r="I298">
        <v>92.6</v>
      </c>
      <c r="J298">
        <v>10.3</v>
      </c>
      <c r="K298">
        <v>1296.5</v>
      </c>
      <c r="L298">
        <v>0.5</v>
      </c>
      <c r="M298">
        <v>1.2</v>
      </c>
      <c r="N298">
        <v>51486</v>
      </c>
      <c r="O298">
        <v>5.84</v>
      </c>
      <c r="P298">
        <v>0.88</v>
      </c>
      <c r="Q298">
        <v>4533.3500000000004</v>
      </c>
      <c r="R298">
        <v>42.7</v>
      </c>
      <c r="S298">
        <v>0.269011</v>
      </c>
      <c r="T298">
        <v>-0.67748660000000005</v>
      </c>
      <c r="U298">
        <v>-0.37268709999999999</v>
      </c>
      <c r="V298">
        <v>-0.47812080000000001</v>
      </c>
      <c r="W298">
        <v>0.69068640000000003</v>
      </c>
      <c r="X298">
        <v>1.3269340000000001</v>
      </c>
      <c r="Y298">
        <v>0.3277562</v>
      </c>
      <c r="Z298">
        <v>-0.45395839999999998</v>
      </c>
      <c r="AA298">
        <v>-0.47292210000000001</v>
      </c>
      <c r="AB298">
        <v>-0.71693439999999997</v>
      </c>
      <c r="AC298">
        <v>-0.4460865</v>
      </c>
      <c r="AD298">
        <v>-0.25640570000000001</v>
      </c>
      <c r="AE298">
        <v>-1.0404199999999999</v>
      </c>
      <c r="AF298">
        <v>0.237903</v>
      </c>
      <c r="AG298">
        <v>-0.32966030000000002</v>
      </c>
      <c r="AH298">
        <v>-0.41599639999999999</v>
      </c>
      <c r="AI298">
        <v>2.5420739999999999</v>
      </c>
      <c r="AJ298">
        <v>0.29095169999999998</v>
      </c>
      <c r="AK298">
        <v>6.0935699999999997</v>
      </c>
      <c r="AL298">
        <v>4.528289</v>
      </c>
      <c r="AM298">
        <v>2.332144</v>
      </c>
      <c r="AN298">
        <v>7.1674239999999996</v>
      </c>
      <c r="AO298">
        <v>10.84906</v>
      </c>
      <c r="AP298">
        <v>-0.12783340000000001</v>
      </c>
      <c r="AQ298">
        <v>8.4192149999999994</v>
      </c>
      <c r="AR298">
        <v>4.7321200000000001</v>
      </c>
      <c r="AS298">
        <v>2.8679000000000001</v>
      </c>
      <c r="AT298">
        <v>9.7849199999999996</v>
      </c>
      <c r="AU298">
        <v>53.76</v>
      </c>
      <c r="AV298">
        <v>167.53399999999999</v>
      </c>
      <c r="AW298">
        <v>-1.05976</v>
      </c>
      <c r="AX298" s="17">
        <v>-1100000000</v>
      </c>
      <c r="AY298">
        <v>3.1354899999999999</v>
      </c>
      <c r="AZ298">
        <v>0.28999999999999998</v>
      </c>
      <c r="BA298">
        <v>1.764731</v>
      </c>
      <c r="BB298">
        <v>1.7647307999999999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0.47201100000000001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4.5526000000000004E-3</v>
      </c>
      <c r="CG298">
        <v>0.4706301</v>
      </c>
      <c r="CH298">
        <v>0.16980200000000001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0.3103785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0.22149269999999999</v>
      </c>
      <c r="DI298">
        <v>9.6334799999999998E-2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0.13648270000000001</v>
      </c>
      <c r="DW298">
        <v>9.0009800000000001E-2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13.962</v>
      </c>
      <c r="EW298">
        <v>7.14447E-2</v>
      </c>
      <c r="EX298">
        <v>7.1437700000000007E-2</v>
      </c>
      <c r="EY298">
        <v>7.1431499999999995E-2</v>
      </c>
      <c r="EZ298">
        <v>7.1314199999999994E-2</v>
      </c>
      <c r="FA298">
        <v>7.1324299999999993E-2</v>
      </c>
      <c r="FB298">
        <v>7.1325799999999995E-2</v>
      </c>
      <c r="FC298">
        <v>7.1542499999999995E-2</v>
      </c>
      <c r="FD298">
        <v>7.1443199999999998E-2</v>
      </c>
      <c r="FE298">
        <v>7.1473499999999995E-2</v>
      </c>
      <c r="FF298">
        <v>7.1517600000000001E-2</v>
      </c>
      <c r="FG298">
        <v>7.1469099999999994E-2</v>
      </c>
      <c r="FH298">
        <v>7.1408700000000006E-2</v>
      </c>
      <c r="FI298">
        <v>7.1515800000000004E-2</v>
      </c>
      <c r="FJ298">
        <v>7.1351300000000006E-2</v>
      </c>
      <c r="FK298">
        <v>0.26884669999999999</v>
      </c>
      <c r="FL298">
        <v>7.2278499999999996E-2</v>
      </c>
      <c r="FM298">
        <v>1</v>
      </c>
      <c r="FN298">
        <v>1</v>
      </c>
      <c r="FO298">
        <v>1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1</v>
      </c>
      <c r="FV298">
        <v>1</v>
      </c>
      <c r="FW298">
        <v>1</v>
      </c>
      <c r="FX298">
        <v>1</v>
      </c>
      <c r="FY298">
        <v>-0.67748660000000005</v>
      </c>
      <c r="FZ298">
        <v>-0.37268709999999999</v>
      </c>
      <c r="GA298">
        <v>-0.47812080000000001</v>
      </c>
      <c r="GB298">
        <v>1.3269340000000001</v>
      </c>
      <c r="GC298">
        <v>-0.45395839999999998</v>
      </c>
      <c r="GD298">
        <v>-0.4460865</v>
      </c>
      <c r="GE298">
        <v>-0.32966030000000002</v>
      </c>
      <c r="GF298">
        <v>-0.25640570000000001</v>
      </c>
      <c r="GG298">
        <v>-1.0404199999999999</v>
      </c>
      <c r="GH298">
        <v>-0.69286179999999997</v>
      </c>
      <c r="GI298">
        <v>0.48005750000000003</v>
      </c>
      <c r="GJ298">
        <v>1</v>
      </c>
      <c r="GK298">
        <v>1</v>
      </c>
      <c r="GL298">
        <v>1</v>
      </c>
      <c r="GM298">
        <v>1</v>
      </c>
      <c r="GN298">
        <v>1</v>
      </c>
      <c r="GO298">
        <v>1</v>
      </c>
      <c r="GP298">
        <v>1</v>
      </c>
      <c r="GQ298">
        <v>1</v>
      </c>
      <c r="GR298">
        <v>1</v>
      </c>
      <c r="GS298">
        <v>1</v>
      </c>
      <c r="GT298">
        <v>1</v>
      </c>
      <c r="GU298">
        <v>1</v>
      </c>
      <c r="GV298">
        <v>7.7965499999999993E-2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1</v>
      </c>
      <c r="HE298">
        <v>1</v>
      </c>
      <c r="HF298">
        <v>1</v>
      </c>
      <c r="HG298">
        <v>1</v>
      </c>
      <c r="HH298">
        <v>1</v>
      </c>
      <c r="HI298">
        <v>-0.20092989999999999</v>
      </c>
      <c r="HJ298">
        <v>1</v>
      </c>
      <c r="HK298">
        <v>1</v>
      </c>
      <c r="HL298">
        <v>1</v>
      </c>
      <c r="HM298">
        <v>1</v>
      </c>
      <c r="HN298">
        <v>1</v>
      </c>
      <c r="HO298">
        <v>1</v>
      </c>
      <c r="HP298">
        <v>1</v>
      </c>
      <c r="HQ298">
        <v>1</v>
      </c>
      <c r="HR298">
        <v>1</v>
      </c>
      <c r="HS298">
        <v>1</v>
      </c>
      <c r="HT298">
        <v>1</v>
      </c>
      <c r="HU298">
        <v>1</v>
      </c>
      <c r="HV298">
        <v>1</v>
      </c>
      <c r="HW298">
        <v>1</v>
      </c>
      <c r="HX298">
        <v>1</v>
      </c>
      <c r="HY298">
        <v>1</v>
      </c>
      <c r="HZ298">
        <v>1</v>
      </c>
      <c r="IA298">
        <v>1</v>
      </c>
      <c r="IB298">
        <v>1</v>
      </c>
      <c r="IC298">
        <v>1</v>
      </c>
      <c r="ID298">
        <v>1</v>
      </c>
      <c r="IE298">
        <v>1</v>
      </c>
      <c r="IF298">
        <v>1</v>
      </c>
      <c r="IG298">
        <v>1</v>
      </c>
      <c r="IH298">
        <v>1</v>
      </c>
      <c r="II298">
        <v>1</v>
      </c>
      <c r="IJ298">
        <v>1</v>
      </c>
      <c r="IK298">
        <v>1</v>
      </c>
      <c r="IL298">
        <v>1</v>
      </c>
      <c r="IM298">
        <v>1</v>
      </c>
      <c r="IN298">
        <v>1</v>
      </c>
      <c r="IO298">
        <v>1</v>
      </c>
      <c r="IP298">
        <v>1</v>
      </c>
      <c r="IQ298">
        <v>1</v>
      </c>
      <c r="IR298">
        <v>1</v>
      </c>
      <c r="IS298">
        <v>1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1</v>
      </c>
      <c r="JI298">
        <v>1</v>
      </c>
      <c r="JJ298">
        <v>1</v>
      </c>
      <c r="JK298">
        <v>1</v>
      </c>
      <c r="JL298">
        <v>1</v>
      </c>
      <c r="JM298">
        <v>1</v>
      </c>
      <c r="JN298">
        <v>1</v>
      </c>
      <c r="JO298">
        <v>1</v>
      </c>
      <c r="JP298">
        <v>1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1</v>
      </c>
      <c r="KE298">
        <v>1</v>
      </c>
      <c r="KF298">
        <v>1</v>
      </c>
      <c r="KG298">
        <v>1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1</v>
      </c>
      <c r="KN298">
        <v>1</v>
      </c>
      <c r="KO298">
        <v>1</v>
      </c>
      <c r="KP298">
        <v>1</v>
      </c>
      <c r="KQ298">
        <v>1</v>
      </c>
      <c r="KR298">
        <v>1</v>
      </c>
      <c r="KS298">
        <v>1</v>
      </c>
      <c r="KT298">
        <v>1</v>
      </c>
      <c r="KU298">
        <v>1</v>
      </c>
      <c r="KV298">
        <v>1</v>
      </c>
      <c r="KW298">
        <v>1</v>
      </c>
      <c r="KX298">
        <v>1</v>
      </c>
      <c r="KY298">
        <v>1</v>
      </c>
      <c r="KZ298">
        <v>1</v>
      </c>
      <c r="LA298">
        <v>1</v>
      </c>
      <c r="LB298">
        <v>1</v>
      </c>
      <c r="LC298">
        <v>1</v>
      </c>
      <c r="LD298">
        <v>1</v>
      </c>
      <c r="LE298">
        <v>1</v>
      </c>
      <c r="LF298">
        <v>1</v>
      </c>
      <c r="LG298">
        <v>1</v>
      </c>
      <c r="LH298">
        <v>1</v>
      </c>
      <c r="LI298">
        <v>1</v>
      </c>
      <c r="LJ298">
        <v>1</v>
      </c>
      <c r="LK298">
        <v>1</v>
      </c>
      <c r="LL298">
        <v>1</v>
      </c>
      <c r="LM298">
        <v>1</v>
      </c>
      <c r="LN298">
        <v>1</v>
      </c>
      <c r="LO298">
        <v>1</v>
      </c>
      <c r="LP298">
        <v>1</v>
      </c>
      <c r="LQ298">
        <v>1</v>
      </c>
      <c r="LR298">
        <v>1</v>
      </c>
      <c r="LS298">
        <v>1</v>
      </c>
      <c r="LT298">
        <v>1</v>
      </c>
      <c r="LU298">
        <v>1</v>
      </c>
      <c r="LV298">
        <v>1</v>
      </c>
      <c r="LW298">
        <v>1</v>
      </c>
      <c r="LX298">
        <v>1</v>
      </c>
      <c r="LY298">
        <v>1</v>
      </c>
      <c r="LZ298">
        <v>1</v>
      </c>
      <c r="MA298">
        <v>1</v>
      </c>
      <c r="MB298">
        <v>1</v>
      </c>
      <c r="MC298">
        <v>1</v>
      </c>
      <c r="MD298">
        <v>1</v>
      </c>
      <c r="ME298">
        <v>1</v>
      </c>
      <c r="MF298">
        <v>1</v>
      </c>
      <c r="MG298">
        <v>1</v>
      </c>
      <c r="MH298">
        <v>1</v>
      </c>
      <c r="MI298">
        <v>1</v>
      </c>
      <c r="MJ298">
        <v>1</v>
      </c>
      <c r="MK298">
        <v>1</v>
      </c>
      <c r="ML298">
        <v>1</v>
      </c>
      <c r="MM298">
        <v>1</v>
      </c>
      <c r="MN298">
        <v>1</v>
      </c>
      <c r="MO298">
        <v>1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1</v>
      </c>
      <c r="MW298">
        <v>1</v>
      </c>
      <c r="MX298">
        <v>1</v>
      </c>
      <c r="MY298">
        <v>1</v>
      </c>
      <c r="MZ298">
        <v>1</v>
      </c>
      <c r="NA298">
        <v>1</v>
      </c>
      <c r="NB298">
        <v>1</v>
      </c>
      <c r="NC298">
        <v>1</v>
      </c>
      <c r="ND298">
        <v>1</v>
      </c>
      <c r="NE298">
        <v>1</v>
      </c>
      <c r="NF298">
        <v>1</v>
      </c>
      <c r="NG298">
        <v>1</v>
      </c>
      <c r="NH298">
        <v>1</v>
      </c>
      <c r="NI298">
        <v>1</v>
      </c>
      <c r="NJ298">
        <v>1</v>
      </c>
      <c r="NK298">
        <v>1</v>
      </c>
      <c r="NL298">
        <v>1</v>
      </c>
      <c r="NM298">
        <v>1</v>
      </c>
      <c r="NN298">
        <v>1</v>
      </c>
      <c r="NO298">
        <v>1</v>
      </c>
      <c r="NP298">
        <v>95.744730000000004</v>
      </c>
      <c r="NQ298">
        <v>1</v>
      </c>
      <c r="NR298">
        <v>1</v>
      </c>
      <c r="NS298">
        <v>1</v>
      </c>
      <c r="NT298">
        <v>1</v>
      </c>
      <c r="NU298">
        <v>1</v>
      </c>
      <c r="NV298">
        <v>1</v>
      </c>
      <c r="NW298">
        <v>1</v>
      </c>
      <c r="NX298">
        <v>1</v>
      </c>
      <c r="NY298">
        <v>1</v>
      </c>
      <c r="NZ298">
        <v>1</v>
      </c>
      <c r="OA298">
        <v>1</v>
      </c>
      <c r="OB298">
        <v>1</v>
      </c>
      <c r="OC298">
        <v>23</v>
      </c>
      <c r="OD298">
        <v>17763.900000000001</v>
      </c>
      <c r="OE298">
        <v>0</v>
      </c>
      <c r="OF298">
        <v>113.536</v>
      </c>
      <c r="OG298">
        <v>17.600000000000001</v>
      </c>
      <c r="OH298">
        <v>53.76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D974-8BF3-894B-9A98-0FB744C61422}">
  <dimension ref="A1:AA298"/>
  <sheetViews>
    <sheetView topLeftCell="K1" workbookViewId="0">
      <selection activeCell="T1" sqref="T1:T1048576"/>
    </sheetView>
  </sheetViews>
  <sheetFormatPr baseColWidth="10" defaultRowHeight="15"/>
  <cols>
    <col min="5" max="6" width="10.83203125" style="161"/>
    <col min="7" max="7" width="10.83203125" style="160"/>
    <col min="8" max="8" width="10.83203125" style="161"/>
    <col min="9" max="19" width="10.83203125" style="160"/>
    <col min="20" max="20" width="10.83203125" style="227"/>
    <col min="21" max="27" width="10.83203125" style="160"/>
  </cols>
  <sheetData>
    <row r="1" spans="1:27">
      <c r="A1" t="s">
        <v>91</v>
      </c>
      <c r="B1" t="s">
        <v>92</v>
      </c>
      <c r="C1" t="s">
        <v>93</v>
      </c>
      <c r="D1" t="s">
        <v>87</v>
      </c>
      <c r="E1" s="161" t="s">
        <v>84</v>
      </c>
      <c r="F1" s="161" t="s">
        <v>83</v>
      </c>
      <c r="G1" s="160" t="s">
        <v>94</v>
      </c>
      <c r="H1" s="161" t="s">
        <v>95</v>
      </c>
      <c r="I1" s="160" t="s">
        <v>96</v>
      </c>
      <c r="J1" s="160" t="s">
        <v>86</v>
      </c>
      <c r="K1" s="160" t="s">
        <v>82</v>
      </c>
      <c r="L1" s="160" t="s">
        <v>97</v>
      </c>
      <c r="M1" s="160" t="s">
        <v>98</v>
      </c>
      <c r="N1" s="160" t="s">
        <v>99</v>
      </c>
      <c r="O1" s="160" t="s">
        <v>100</v>
      </c>
      <c r="P1" s="160" t="s">
        <v>101</v>
      </c>
      <c r="Q1" s="160" t="s">
        <v>102</v>
      </c>
      <c r="R1" s="160" t="s">
        <v>103</v>
      </c>
      <c r="S1" s="160" t="s">
        <v>104</v>
      </c>
      <c r="T1" s="227" t="s">
        <v>109</v>
      </c>
      <c r="U1" s="160" t="s">
        <v>110</v>
      </c>
      <c r="V1" s="160" t="s">
        <v>111</v>
      </c>
      <c r="W1" s="160" t="s">
        <v>107</v>
      </c>
      <c r="X1" s="160" t="s">
        <v>108</v>
      </c>
      <c r="Y1" s="160" t="s">
        <v>106</v>
      </c>
      <c r="Z1" s="160" t="s">
        <v>57</v>
      </c>
      <c r="AA1" s="160" t="s">
        <v>55</v>
      </c>
    </row>
    <row r="2" spans="1:27">
      <c r="A2">
        <v>1</v>
      </c>
      <c r="B2" t="s">
        <v>52</v>
      </c>
      <c r="C2" t="s">
        <v>51</v>
      </c>
      <c r="D2">
        <v>2010</v>
      </c>
      <c r="E2" s="161">
        <v>-5.6454000000000004</v>
      </c>
      <c r="F2" s="162">
        <v>-22000000000</v>
      </c>
      <c r="G2" s="160">
        <v>0.66</v>
      </c>
      <c r="H2" s="161">
        <v>79.924800000000005</v>
      </c>
      <c r="I2" s="160">
        <v>57.399000000000001</v>
      </c>
      <c r="J2" s="160">
        <v>3.3843899999999998</v>
      </c>
      <c r="K2" s="160">
        <v>10.669779999999999</v>
      </c>
      <c r="L2" s="160">
        <v>3.1964670000000002</v>
      </c>
      <c r="M2" s="160">
        <v>0.73974450000000003</v>
      </c>
      <c r="N2" s="160">
        <v>6.3315020000000004</v>
      </c>
      <c r="O2" s="160">
        <v>4.380776</v>
      </c>
      <c r="P2" s="160">
        <v>1.9169229999999999</v>
      </c>
      <c r="Q2" s="160">
        <v>7.1882619999999999</v>
      </c>
      <c r="R2" s="160">
        <v>4.6051700000000002</v>
      </c>
      <c r="S2" s="160">
        <v>8.9504040000000007</v>
      </c>
      <c r="T2" s="227">
        <v>0.20701418999999999</v>
      </c>
      <c r="U2" s="160">
        <v>1.6</v>
      </c>
      <c r="V2" s="160">
        <v>2.0999998999999998</v>
      </c>
      <c r="W2" s="160">
        <v>47157</v>
      </c>
      <c r="X2" s="160">
        <v>41.5</v>
      </c>
      <c r="Y2" s="160">
        <v>59.4</v>
      </c>
      <c r="Z2" s="160">
        <v>4.6185799999999997</v>
      </c>
      <c r="AA2" s="160">
        <v>3.437208</v>
      </c>
    </row>
    <row r="3" spans="1:27">
      <c r="A3">
        <v>1</v>
      </c>
      <c r="B3" t="s">
        <v>52</v>
      </c>
      <c r="C3" t="s">
        <v>51</v>
      </c>
      <c r="D3">
        <v>2011</v>
      </c>
      <c r="E3" s="161">
        <v>5.3581300000000001</v>
      </c>
      <c r="F3" s="162">
        <v>23000000000</v>
      </c>
      <c r="G3" s="160">
        <v>0.66</v>
      </c>
      <c r="H3" s="161">
        <v>85.986900000000006</v>
      </c>
      <c r="I3" s="160">
        <v>57.115000000000002</v>
      </c>
      <c r="J3" s="160">
        <v>3.4177270000000002</v>
      </c>
      <c r="K3" s="160">
        <v>10.695259999999999</v>
      </c>
      <c r="L3" s="160">
        <v>3.2561330000000002</v>
      </c>
      <c r="M3" s="160">
        <v>0.71044669999999999</v>
      </c>
      <c r="N3" s="160">
        <v>6.350886</v>
      </c>
      <c r="O3" s="160">
        <v>4.4006030000000003</v>
      </c>
      <c r="P3" s="160">
        <v>1.931521</v>
      </c>
      <c r="Q3" s="160">
        <v>7.5773780000000004</v>
      </c>
      <c r="R3" s="160">
        <v>4.6151200000000001</v>
      </c>
      <c r="S3" s="160">
        <v>8.9215730000000004</v>
      </c>
      <c r="T3" s="227">
        <v>0.64185387000000005</v>
      </c>
      <c r="U3" s="160">
        <v>1.6</v>
      </c>
      <c r="V3" s="160">
        <v>2.0999998999999998</v>
      </c>
      <c r="W3" s="160">
        <v>47178</v>
      </c>
      <c r="X3" s="160">
        <v>41.3</v>
      </c>
      <c r="Y3" s="160">
        <v>56.7</v>
      </c>
      <c r="Z3" s="160">
        <v>4.6219489999999999</v>
      </c>
      <c r="AA3" s="160">
        <v>3.453157</v>
      </c>
    </row>
    <row r="4" spans="1:27">
      <c r="A4">
        <v>1</v>
      </c>
      <c r="B4" t="s">
        <v>52</v>
      </c>
      <c r="C4" t="s">
        <v>51</v>
      </c>
      <c r="D4">
        <v>2012</v>
      </c>
      <c r="E4" s="161">
        <v>1.2829999999999999</v>
      </c>
      <c r="F4" s="162">
        <v>5200000000</v>
      </c>
      <c r="G4" s="160">
        <v>0.62</v>
      </c>
      <c r="H4" s="161">
        <v>84.849100000000007</v>
      </c>
      <c r="I4" s="160">
        <v>57.146999999999998</v>
      </c>
      <c r="J4" s="160">
        <v>3.4499879999999998</v>
      </c>
      <c r="K4" s="160">
        <v>10.69697</v>
      </c>
      <c r="L4" s="160">
        <v>3.2009970000000001</v>
      </c>
      <c r="M4" s="160">
        <v>0.76941349999999997</v>
      </c>
      <c r="N4" s="160">
        <v>6.3613020000000002</v>
      </c>
      <c r="O4" s="160">
        <v>4.3820269999999999</v>
      </c>
      <c r="P4" s="160">
        <v>2.0668630000000001</v>
      </c>
      <c r="Q4" s="160">
        <v>7.6187420000000001</v>
      </c>
      <c r="R4" s="160">
        <v>4.5747109999999997</v>
      </c>
      <c r="S4" s="160">
        <v>8.8689499999999999</v>
      </c>
      <c r="T4" s="227">
        <v>0.30748471999999999</v>
      </c>
      <c r="U4" s="160">
        <v>1.6</v>
      </c>
      <c r="V4" s="160">
        <v>2.0999998999999998</v>
      </c>
      <c r="W4" s="160">
        <v>47954</v>
      </c>
      <c r="X4" s="160">
        <v>42.9</v>
      </c>
      <c r="Y4" s="160">
        <v>57.7</v>
      </c>
      <c r="Z4" s="160">
        <v>4.6265109999999998</v>
      </c>
      <c r="AA4" s="160">
        <v>3.5380569999999998</v>
      </c>
    </row>
    <row r="5" spans="1:27">
      <c r="A5">
        <v>1</v>
      </c>
      <c r="B5" t="s">
        <v>52</v>
      </c>
      <c r="C5" t="s">
        <v>51</v>
      </c>
      <c r="D5">
        <v>2013</v>
      </c>
      <c r="E5" s="161">
        <v>-0.30263299999999999</v>
      </c>
      <c r="F5" s="162">
        <v>-1300000000</v>
      </c>
      <c r="G5" s="160">
        <v>0.62</v>
      </c>
      <c r="H5" s="161">
        <v>84.024699999999996</v>
      </c>
      <c r="I5" s="160">
        <v>57.335999999999999</v>
      </c>
      <c r="J5" s="160">
        <v>3.4812400000000001</v>
      </c>
      <c r="K5" s="160">
        <v>10.688560000000001</v>
      </c>
      <c r="L5" s="160">
        <v>3.1710289999999999</v>
      </c>
      <c r="M5" s="160">
        <v>0.79095420000000005</v>
      </c>
      <c r="N5" s="160">
        <v>6.3595740000000003</v>
      </c>
      <c r="O5" s="160">
        <v>4.3694480000000002</v>
      </c>
      <c r="P5" s="160">
        <v>2.2082739999999998</v>
      </c>
      <c r="Q5" s="160">
        <v>7.6730840000000002</v>
      </c>
      <c r="R5" s="160">
        <v>4.5951199999999996</v>
      </c>
      <c r="S5" s="160">
        <v>8.8386300000000002</v>
      </c>
      <c r="T5" s="227">
        <v>0.20701418999999999</v>
      </c>
      <c r="U5" s="160">
        <v>1.6</v>
      </c>
      <c r="V5" s="160">
        <v>2.0999998999999998</v>
      </c>
      <c r="W5" s="160">
        <v>48925</v>
      </c>
      <c r="X5" s="160">
        <v>42.7</v>
      </c>
      <c r="Y5" s="160">
        <v>57.7</v>
      </c>
      <c r="Z5" s="160">
        <v>4.6324059999999996</v>
      </c>
      <c r="AA5" s="160">
        <v>3.5438540000000001</v>
      </c>
    </row>
    <row r="6" spans="1:27">
      <c r="A6">
        <v>1</v>
      </c>
      <c r="B6" t="s">
        <v>52</v>
      </c>
      <c r="C6" t="s">
        <v>51</v>
      </c>
      <c r="D6">
        <v>2014</v>
      </c>
      <c r="E6" s="161">
        <v>0.38955699999999999</v>
      </c>
      <c r="F6" s="162">
        <v>1700000000</v>
      </c>
      <c r="G6" s="160">
        <v>0.6</v>
      </c>
      <c r="H6" s="161">
        <v>82.155799999999999</v>
      </c>
      <c r="I6" s="160">
        <v>57.526000000000003</v>
      </c>
      <c r="J6" s="160">
        <v>3.4275150000000001</v>
      </c>
      <c r="K6" s="160">
        <v>10.688269999999999</v>
      </c>
      <c r="L6" s="160">
        <v>3.1902710000000001</v>
      </c>
      <c r="M6" s="160">
        <v>0.77315909999999999</v>
      </c>
      <c r="N6" s="160">
        <v>6.3368260000000003</v>
      </c>
      <c r="O6" s="160">
        <v>4.377014</v>
      </c>
      <c r="P6" s="160">
        <v>2.292535</v>
      </c>
      <c r="Q6" s="160">
        <v>7.7096669999999996</v>
      </c>
      <c r="R6" s="160">
        <v>4.6051700000000002</v>
      </c>
      <c r="S6" s="160">
        <v>8.7896129999999992</v>
      </c>
      <c r="T6" s="227">
        <v>0.19062039</v>
      </c>
      <c r="U6" s="160">
        <v>1.6</v>
      </c>
      <c r="V6" s="160">
        <v>2.0999998999999998</v>
      </c>
      <c r="W6" s="160">
        <v>48172</v>
      </c>
      <c r="X6" s="160">
        <v>40.6</v>
      </c>
      <c r="Y6" s="160">
        <v>56.3</v>
      </c>
      <c r="Z6" s="160">
        <v>4.6402190000000001</v>
      </c>
      <c r="AA6" s="160">
        <v>3.575151</v>
      </c>
    </row>
    <row r="7" spans="1:27">
      <c r="A7">
        <v>1</v>
      </c>
      <c r="B7" t="s">
        <v>52</v>
      </c>
      <c r="C7" t="s">
        <v>51</v>
      </c>
      <c r="D7">
        <v>2015</v>
      </c>
      <c r="E7" s="161">
        <v>-1.8041</v>
      </c>
      <c r="F7" s="162">
        <v>-6800000000</v>
      </c>
      <c r="G7" s="160">
        <v>0.61</v>
      </c>
      <c r="H7" s="161">
        <v>81.353499999999997</v>
      </c>
      <c r="I7" s="160">
        <v>57.715000000000003</v>
      </c>
      <c r="J7" s="160">
        <v>3.4657360000000001</v>
      </c>
      <c r="K7" s="160">
        <v>10.690020000000001</v>
      </c>
      <c r="L7" s="160">
        <v>3.151624</v>
      </c>
      <c r="M7" s="160">
        <v>0.8178396</v>
      </c>
      <c r="N7" s="160">
        <v>6.3279370000000004</v>
      </c>
      <c r="O7" s="160">
        <v>4.395683</v>
      </c>
      <c r="P7" s="160">
        <v>2.4159139999999999</v>
      </c>
      <c r="Q7" s="160">
        <v>7.6790200000000004</v>
      </c>
      <c r="R7" s="160">
        <v>4.6249729999999998</v>
      </c>
      <c r="S7" s="160">
        <v>8.7972409999999996</v>
      </c>
      <c r="T7" s="227">
        <v>0.20701418999999999</v>
      </c>
      <c r="U7" s="160">
        <v>1.5</v>
      </c>
      <c r="V7" s="160">
        <v>2.0999998999999998</v>
      </c>
      <c r="W7" s="160">
        <v>48252</v>
      </c>
      <c r="X7" s="160">
        <v>42.4</v>
      </c>
      <c r="Y7" s="160">
        <v>56.9</v>
      </c>
      <c r="Z7" s="160">
        <v>4.6514329999999999</v>
      </c>
      <c r="AA7" s="160">
        <v>3.549617</v>
      </c>
    </row>
    <row r="8" spans="1:27">
      <c r="A8">
        <v>1</v>
      </c>
      <c r="B8" t="s">
        <v>52</v>
      </c>
      <c r="C8" t="s">
        <v>51</v>
      </c>
      <c r="D8">
        <v>2016</v>
      </c>
      <c r="E8" s="161">
        <v>-7.2398999999999996</v>
      </c>
      <c r="F8" s="162">
        <v>-29000000000</v>
      </c>
      <c r="G8" s="160">
        <v>0.62</v>
      </c>
      <c r="H8" s="161">
        <v>78.688599999999994</v>
      </c>
      <c r="I8" s="160">
        <v>57.905000000000001</v>
      </c>
      <c r="J8" s="160">
        <v>3.4468079999999999</v>
      </c>
      <c r="K8" s="160">
        <v>10.700150000000001</v>
      </c>
      <c r="L8" s="160">
        <v>3.1667399999999999</v>
      </c>
      <c r="M8" s="160">
        <v>0.81863379999999997</v>
      </c>
      <c r="N8" s="160">
        <v>6.3350540000000004</v>
      </c>
      <c r="O8" s="160">
        <v>4.4042770000000004</v>
      </c>
      <c r="P8" s="160">
        <v>2.4765380000000001</v>
      </c>
      <c r="Q8" s="160">
        <v>7.7769120000000003</v>
      </c>
      <c r="R8" s="160">
        <v>4.6347290000000001</v>
      </c>
      <c r="S8" s="160">
        <v>8.7733410000000003</v>
      </c>
      <c r="T8" s="227">
        <v>-0.12783338</v>
      </c>
      <c r="U8" s="160">
        <v>1.5</v>
      </c>
      <c r="V8" s="160">
        <v>2.0999998999999998</v>
      </c>
      <c r="W8" s="160">
        <v>48376</v>
      </c>
      <c r="X8" s="160">
        <v>43.1</v>
      </c>
      <c r="Y8" s="160">
        <v>57.6</v>
      </c>
      <c r="Z8" s="160">
        <v>4.6622409999999999</v>
      </c>
      <c r="AA8" s="160">
        <v>3.5438540000000001</v>
      </c>
    </row>
    <row r="9" spans="1:27">
      <c r="A9">
        <v>1</v>
      </c>
      <c r="B9" t="s">
        <v>52</v>
      </c>
      <c r="C9" t="s">
        <v>51</v>
      </c>
      <c r="D9">
        <v>2017</v>
      </c>
      <c r="E9" s="161">
        <v>3.3818000000000001</v>
      </c>
      <c r="F9" s="162">
        <v>14000000000</v>
      </c>
      <c r="G9" s="160">
        <v>0.61</v>
      </c>
      <c r="H9" s="161">
        <v>82.853499999999997</v>
      </c>
      <c r="I9" s="160">
        <v>58.094000000000001</v>
      </c>
      <c r="J9" s="160">
        <v>3.4719669999999998</v>
      </c>
      <c r="K9" s="160">
        <v>10.715669999999999</v>
      </c>
      <c r="L9" s="160">
        <v>3.1628560000000001</v>
      </c>
      <c r="M9" s="160">
        <v>0.83806970000000003</v>
      </c>
      <c r="N9" s="160">
        <v>6.3456359999999998</v>
      </c>
      <c r="O9" s="160">
        <v>4.3845229999999997</v>
      </c>
      <c r="P9" s="160">
        <v>2.4849070000000002</v>
      </c>
      <c r="Q9" s="160">
        <v>7.9801260000000003</v>
      </c>
      <c r="R9" s="160">
        <v>4.6051700000000002</v>
      </c>
      <c r="S9" s="160">
        <v>8.8188809999999993</v>
      </c>
      <c r="T9" s="227">
        <v>-0.49429631000000002</v>
      </c>
      <c r="U9" s="160">
        <v>1.5</v>
      </c>
      <c r="V9" s="160">
        <v>2.2000000000000002</v>
      </c>
      <c r="W9" s="160">
        <v>50091</v>
      </c>
      <c r="X9" s="160">
        <v>44.2</v>
      </c>
      <c r="Y9" s="160">
        <v>57.8</v>
      </c>
      <c r="Z9" s="160">
        <v>4.669187</v>
      </c>
      <c r="AA9" s="160">
        <v>3.5263610000000001</v>
      </c>
    </row>
    <row r="10" spans="1:27">
      <c r="A10">
        <v>1</v>
      </c>
      <c r="B10" t="s">
        <v>52</v>
      </c>
      <c r="C10" t="s">
        <v>51</v>
      </c>
      <c r="D10">
        <v>2018</v>
      </c>
      <c r="E10" s="161">
        <v>-6.1511899999999997</v>
      </c>
      <c r="F10" s="162">
        <v>-28000000000</v>
      </c>
      <c r="G10" s="160">
        <v>0.63</v>
      </c>
      <c r="H10" s="161">
        <v>83.639399999999995</v>
      </c>
      <c r="I10" s="160">
        <v>58.296999999999997</v>
      </c>
      <c r="J10" s="160">
        <v>3.4719669999999998</v>
      </c>
      <c r="K10" s="160">
        <v>10.735340000000001</v>
      </c>
      <c r="L10" s="160">
        <v>3.175843</v>
      </c>
      <c r="M10" s="160">
        <v>0.85912759999999999</v>
      </c>
      <c r="N10" s="160">
        <v>6.3613020000000002</v>
      </c>
      <c r="O10" s="160">
        <v>4.379524</v>
      </c>
      <c r="P10" s="160">
        <v>2.4681000000000002</v>
      </c>
      <c r="Q10" s="160">
        <v>8.0789989999999996</v>
      </c>
      <c r="R10" s="160">
        <v>4.6347290000000001</v>
      </c>
      <c r="S10" s="160">
        <v>8.7669049999999995</v>
      </c>
      <c r="T10" s="227">
        <v>0.38526242999999999</v>
      </c>
      <c r="U10" s="160">
        <v>1.4</v>
      </c>
      <c r="V10" s="160">
        <v>1.9</v>
      </c>
      <c r="W10" s="160">
        <v>47466</v>
      </c>
      <c r="X10" s="160">
        <v>44.5</v>
      </c>
      <c r="Y10" s="160">
        <v>57.7</v>
      </c>
      <c r="Z10" s="160">
        <v>4.6740620000000002</v>
      </c>
      <c r="AA10" s="160">
        <v>3.5292970000000001</v>
      </c>
    </row>
    <row r="11" spans="1:27">
      <c r="A11">
        <v>1</v>
      </c>
      <c r="B11" t="s">
        <v>52</v>
      </c>
      <c r="C11" t="s">
        <v>51</v>
      </c>
      <c r="D11">
        <v>2019</v>
      </c>
      <c r="E11" s="161">
        <v>-2.85256</v>
      </c>
      <c r="F11" s="162">
        <v>-13000000000</v>
      </c>
      <c r="G11" s="160">
        <v>0.61</v>
      </c>
      <c r="H11" s="161">
        <v>82.040999999999997</v>
      </c>
      <c r="I11" s="160">
        <v>58.515000000000001</v>
      </c>
      <c r="J11" s="160">
        <v>3.499533</v>
      </c>
      <c r="K11" s="160">
        <v>10.748290000000001</v>
      </c>
      <c r="L11" s="160">
        <v>3.1605259999999999</v>
      </c>
      <c r="M11" s="160">
        <v>0.85637090000000005</v>
      </c>
      <c r="N11" s="160">
        <v>6.3767269999999998</v>
      </c>
      <c r="O11" s="160">
        <v>4.4054989999999998</v>
      </c>
      <c r="P11" s="160">
        <v>2.4423469999999998</v>
      </c>
      <c r="Q11" s="160">
        <v>8.0477019999999992</v>
      </c>
      <c r="R11" s="160">
        <v>4.6347290000000001</v>
      </c>
      <c r="S11" s="160">
        <v>8.7120770000000007</v>
      </c>
      <c r="T11" s="227">
        <v>0.67803353</v>
      </c>
      <c r="U11" s="160">
        <v>1.4</v>
      </c>
      <c r="V11" s="160">
        <v>1.9</v>
      </c>
      <c r="W11" s="160">
        <v>48075</v>
      </c>
      <c r="X11" s="160">
        <v>44.4</v>
      </c>
      <c r="Y11" s="160">
        <v>58.2</v>
      </c>
      <c r="Z11" s="160">
        <v>4.6785040000000002</v>
      </c>
      <c r="AA11" s="160">
        <v>3.5263610000000001</v>
      </c>
    </row>
    <row r="12" spans="1:27">
      <c r="A12">
        <v>1</v>
      </c>
      <c r="B12" t="s">
        <v>52</v>
      </c>
      <c r="C12" t="s">
        <v>51</v>
      </c>
      <c r="D12">
        <v>2020</v>
      </c>
      <c r="E12" s="161">
        <v>-2.7633200000000002</v>
      </c>
      <c r="F12" s="162">
        <v>-12000000000</v>
      </c>
      <c r="G12" s="160">
        <v>0.62</v>
      </c>
      <c r="H12" s="161">
        <v>78.699100000000001</v>
      </c>
      <c r="I12" s="160">
        <v>58.747999999999998</v>
      </c>
      <c r="J12" s="160">
        <v>3.514526</v>
      </c>
      <c r="K12" s="160">
        <v>10.678879999999999</v>
      </c>
      <c r="L12" s="160">
        <v>3.1030160000000002</v>
      </c>
      <c r="M12" s="160">
        <v>0.78083749999999996</v>
      </c>
      <c r="N12" s="160">
        <v>6.7262329999999997</v>
      </c>
      <c r="O12" s="160">
        <v>4.4067189999999998</v>
      </c>
      <c r="P12" s="160">
        <v>2.4336129999999998</v>
      </c>
      <c r="Q12" s="160">
        <v>7.9766300000000001</v>
      </c>
      <c r="R12" s="160">
        <v>-0.65392649999999997</v>
      </c>
      <c r="S12" s="160">
        <v>8.6540689999999998</v>
      </c>
      <c r="T12" s="227">
        <v>-0.31471071</v>
      </c>
      <c r="U12" s="160">
        <v>1.4</v>
      </c>
      <c r="V12" s="160">
        <v>2.0999998999999998</v>
      </c>
      <c r="W12" s="160">
        <v>49423</v>
      </c>
      <c r="X12" s="160">
        <v>44.3</v>
      </c>
      <c r="Y12" s="160">
        <v>62.3</v>
      </c>
      <c r="Z12" s="160">
        <v>4.6826590000000001</v>
      </c>
      <c r="AA12" s="160">
        <v>3.5779480000000001</v>
      </c>
    </row>
    <row r="13" spans="1:27">
      <c r="A13">
        <v>2</v>
      </c>
      <c r="B13" t="s">
        <v>50</v>
      </c>
      <c r="C13" t="s">
        <v>49</v>
      </c>
      <c r="D13">
        <v>2010</v>
      </c>
      <c r="E13" s="161">
        <v>26.0596</v>
      </c>
      <c r="F13" s="162">
        <v>130000000000</v>
      </c>
      <c r="G13" s="160">
        <v>0.66</v>
      </c>
      <c r="H13" s="161">
        <v>165.893</v>
      </c>
      <c r="I13" s="160">
        <v>97.650999999999996</v>
      </c>
      <c r="J13" s="160">
        <v>3.3843899999999998</v>
      </c>
      <c r="K13" s="160">
        <v>10.59643</v>
      </c>
      <c r="L13" s="160">
        <v>2.6157159999999999</v>
      </c>
      <c r="M13" s="160">
        <v>0.95404880000000003</v>
      </c>
      <c r="N13" s="160">
        <v>6.1737859999999998</v>
      </c>
      <c r="O13" s="160">
        <v>4.3845229999999997</v>
      </c>
      <c r="P13" s="160">
        <v>2.6026899999999999</v>
      </c>
      <c r="Q13" s="160">
        <v>9.0838699999999992</v>
      </c>
      <c r="R13" s="160">
        <v>4.6051700000000002</v>
      </c>
      <c r="S13" s="160">
        <v>9.0046990000000005</v>
      </c>
      <c r="T13" s="227">
        <v>0.25464218999999999</v>
      </c>
      <c r="U13" s="160">
        <v>2.0999998999999998</v>
      </c>
      <c r="V13" s="160">
        <v>1.5999999</v>
      </c>
      <c r="W13" s="160">
        <v>60327</v>
      </c>
      <c r="X13" s="160">
        <v>72.5</v>
      </c>
      <c r="Y13" s="160">
        <v>54.8</v>
      </c>
      <c r="Z13" s="160">
        <v>5.883877</v>
      </c>
      <c r="AA13" s="160">
        <v>1.824549</v>
      </c>
    </row>
    <row r="14" spans="1:27">
      <c r="A14">
        <v>2</v>
      </c>
      <c r="B14" t="s">
        <v>50</v>
      </c>
      <c r="C14" t="s">
        <v>49</v>
      </c>
      <c r="D14">
        <v>2011</v>
      </c>
      <c r="E14" s="161">
        <v>31.0367</v>
      </c>
      <c r="F14" s="162">
        <v>160000000000</v>
      </c>
      <c r="G14" s="160">
        <v>0.66</v>
      </c>
      <c r="H14" s="161">
        <v>178.798</v>
      </c>
      <c r="I14" s="160">
        <v>97.697999999999993</v>
      </c>
      <c r="J14" s="160">
        <v>3.4011969999999998</v>
      </c>
      <c r="K14" s="160">
        <v>10.602539999999999</v>
      </c>
      <c r="L14" s="160">
        <v>2.7416779999999998</v>
      </c>
      <c r="M14" s="160">
        <v>0.90105519999999995</v>
      </c>
      <c r="N14" s="160">
        <v>6.1463289999999997</v>
      </c>
      <c r="O14" s="160">
        <v>4.3528549999999999</v>
      </c>
      <c r="P14" s="160">
        <v>2.6672280000000002</v>
      </c>
      <c r="Q14" s="160">
        <v>9.0269460000000006</v>
      </c>
      <c r="R14" s="160">
        <v>4.6443909999999997</v>
      </c>
      <c r="S14" s="160">
        <v>8.974475</v>
      </c>
      <c r="T14" s="227">
        <v>-0.27443686</v>
      </c>
      <c r="U14" s="160">
        <v>1.8</v>
      </c>
      <c r="V14" s="160">
        <v>1.6999998999999999</v>
      </c>
      <c r="W14" s="160">
        <v>61814</v>
      </c>
      <c r="X14" s="160">
        <v>71.3</v>
      </c>
      <c r="Y14" s="160">
        <v>54.4</v>
      </c>
      <c r="Z14" s="160">
        <v>5.8968870000000004</v>
      </c>
      <c r="AA14" s="160">
        <v>1.902107</v>
      </c>
    </row>
    <row r="15" spans="1:27">
      <c r="A15">
        <v>2</v>
      </c>
      <c r="B15" t="s">
        <v>50</v>
      </c>
      <c r="C15" t="s">
        <v>49</v>
      </c>
      <c r="D15">
        <v>2012</v>
      </c>
      <c r="E15" s="161">
        <v>2.36957</v>
      </c>
      <c r="F15" s="162">
        <v>12000000000</v>
      </c>
      <c r="G15" s="160">
        <v>0.66</v>
      </c>
      <c r="H15" s="161">
        <v>177.577</v>
      </c>
      <c r="I15" s="160">
        <v>97.744</v>
      </c>
      <c r="J15" s="160">
        <v>3.4339870000000001</v>
      </c>
      <c r="K15" s="160">
        <v>10.5985</v>
      </c>
      <c r="L15" s="160">
        <v>2.643974</v>
      </c>
      <c r="M15" s="160">
        <v>0.98618980000000001</v>
      </c>
      <c r="N15" s="160">
        <v>6.1224930000000004</v>
      </c>
      <c r="O15" s="160">
        <v>4.3618240000000004</v>
      </c>
      <c r="P15" s="160">
        <v>2.8507060000000002</v>
      </c>
      <c r="Q15" s="160">
        <v>8.9834530000000008</v>
      </c>
      <c r="R15" s="160">
        <v>4.6539599999999997</v>
      </c>
      <c r="S15" s="160">
        <v>8.9473129999999994</v>
      </c>
      <c r="T15" s="227">
        <v>-0.22314353000000001</v>
      </c>
      <c r="U15" s="160">
        <v>1.5</v>
      </c>
      <c r="V15" s="160">
        <v>1.8</v>
      </c>
      <c r="W15" s="160">
        <v>63376</v>
      </c>
      <c r="X15" s="160">
        <v>72.2</v>
      </c>
      <c r="Y15" s="160">
        <v>53.4</v>
      </c>
      <c r="Z15" s="160">
        <v>5.9030899999999997</v>
      </c>
      <c r="AA15" s="160">
        <v>2.04122</v>
      </c>
    </row>
    <row r="16" spans="1:27">
      <c r="A16">
        <v>2</v>
      </c>
      <c r="B16" t="s">
        <v>50</v>
      </c>
      <c r="C16" t="s">
        <v>49</v>
      </c>
      <c r="D16">
        <v>2013</v>
      </c>
      <c r="E16" s="161">
        <v>-5.6556199999999999</v>
      </c>
      <c r="F16" s="162">
        <v>-30000000000</v>
      </c>
      <c r="G16" s="160">
        <v>0.66</v>
      </c>
      <c r="H16" s="161">
        <v>175.62299999999999</v>
      </c>
      <c r="I16" s="160">
        <v>97.789000000000001</v>
      </c>
      <c r="J16" s="160">
        <v>3.4177270000000002</v>
      </c>
      <c r="K16" s="160">
        <v>10.596830000000001</v>
      </c>
      <c r="L16" s="160">
        <v>2.593537</v>
      </c>
      <c r="M16" s="160">
        <v>1.003789</v>
      </c>
      <c r="N16" s="160">
        <v>6.1202969999999999</v>
      </c>
      <c r="O16" s="160">
        <v>4.3707130000000003</v>
      </c>
      <c r="P16" s="160">
        <v>2.8507060000000002</v>
      </c>
      <c r="Q16" s="160">
        <v>9.0584000000000007</v>
      </c>
      <c r="R16" s="160">
        <v>4.7004799999999998</v>
      </c>
      <c r="S16" s="160">
        <v>8.9715340000000001</v>
      </c>
      <c r="T16" s="227">
        <v>0.32208350000000002</v>
      </c>
      <c r="U16" s="160">
        <v>1.2</v>
      </c>
      <c r="V16" s="160">
        <v>1.9</v>
      </c>
      <c r="W16" s="160">
        <v>62572</v>
      </c>
      <c r="X16" s="160">
        <v>72.099999999999994</v>
      </c>
      <c r="Y16" s="160">
        <v>52.8</v>
      </c>
      <c r="Z16" s="160">
        <v>5.9078030000000004</v>
      </c>
      <c r="AA16" s="160">
        <v>2.1162559999999999</v>
      </c>
    </row>
    <row r="17" spans="1:27">
      <c r="A17">
        <v>2</v>
      </c>
      <c r="B17" t="s">
        <v>50</v>
      </c>
      <c r="C17" t="s">
        <v>49</v>
      </c>
      <c r="D17">
        <v>2014</v>
      </c>
      <c r="E17" s="161">
        <v>-2.8264399999999998</v>
      </c>
      <c r="F17" s="162">
        <v>-15000000000</v>
      </c>
      <c r="G17" s="160">
        <v>0.64</v>
      </c>
      <c r="H17" s="161">
        <v>172.10300000000001</v>
      </c>
      <c r="I17" s="160">
        <v>97.832999999999998</v>
      </c>
      <c r="J17" s="160">
        <v>3.3877739999999998</v>
      </c>
      <c r="K17" s="160">
        <v>10.60989</v>
      </c>
      <c r="L17" s="160">
        <v>2.6733899999999999</v>
      </c>
      <c r="M17" s="160">
        <v>1.021695</v>
      </c>
      <c r="N17" s="160">
        <v>6.0980740000000004</v>
      </c>
      <c r="O17" s="160">
        <v>4.3399010000000002</v>
      </c>
      <c r="P17" s="160">
        <v>2.8848009999999999</v>
      </c>
      <c r="Q17" s="160">
        <v>9.4207140000000003</v>
      </c>
      <c r="R17" s="160">
        <v>4.7361979999999999</v>
      </c>
      <c r="S17" s="160">
        <v>8.9624740000000003</v>
      </c>
      <c r="T17" s="227">
        <v>7.6961080000000001E-2</v>
      </c>
      <c r="U17" s="160">
        <v>1.2</v>
      </c>
      <c r="V17" s="160">
        <v>1.7</v>
      </c>
      <c r="W17" s="160">
        <v>60314</v>
      </c>
      <c r="X17" s="160">
        <v>71.5</v>
      </c>
      <c r="Y17" s="160">
        <v>53.8</v>
      </c>
      <c r="Z17" s="160">
        <v>5.9122399999999997</v>
      </c>
      <c r="AA17" s="160">
        <v>2.2082739999999998</v>
      </c>
    </row>
    <row r="18" spans="1:27">
      <c r="A18">
        <v>2</v>
      </c>
      <c r="B18" t="s">
        <v>50</v>
      </c>
      <c r="C18" t="s">
        <v>49</v>
      </c>
      <c r="D18">
        <v>2015</v>
      </c>
      <c r="E18" s="161">
        <v>-4.2326100000000002</v>
      </c>
      <c r="F18" s="162">
        <v>-20000000000</v>
      </c>
      <c r="G18" s="160">
        <v>0.68</v>
      </c>
      <c r="H18" s="161">
        <v>167.52600000000001</v>
      </c>
      <c r="I18" s="160">
        <v>97.876000000000005</v>
      </c>
      <c r="J18" s="160">
        <v>3.4144429999999999</v>
      </c>
      <c r="K18" s="160">
        <v>10.618729999999999</v>
      </c>
      <c r="L18" s="160">
        <v>2.6759400000000002</v>
      </c>
      <c r="M18" s="160">
        <v>1.0497719999999999</v>
      </c>
      <c r="N18" s="160">
        <v>6.077642</v>
      </c>
      <c r="O18" s="160">
        <v>4.3489870000000002</v>
      </c>
      <c r="P18" s="160">
        <v>2.895912</v>
      </c>
      <c r="Q18" s="160">
        <v>9.2841009999999997</v>
      </c>
      <c r="R18" s="160">
        <v>4.7621739999999999</v>
      </c>
      <c r="S18" s="160">
        <v>8.9599899999999995</v>
      </c>
      <c r="T18" s="227">
        <v>0.53649342</v>
      </c>
      <c r="U18" s="160">
        <v>1.2</v>
      </c>
      <c r="V18" s="160">
        <v>1.7</v>
      </c>
      <c r="W18" s="160">
        <v>62338</v>
      </c>
      <c r="X18" s="160">
        <v>71.400000000000006</v>
      </c>
      <c r="Y18" s="160">
        <v>53.5</v>
      </c>
      <c r="Z18" s="160">
        <v>5.9180359999999999</v>
      </c>
      <c r="AA18" s="160">
        <v>2.24071</v>
      </c>
    </row>
    <row r="19" spans="1:27">
      <c r="A19">
        <v>2</v>
      </c>
      <c r="B19" t="s">
        <v>50</v>
      </c>
      <c r="C19" t="s">
        <v>49</v>
      </c>
      <c r="D19">
        <v>2016</v>
      </c>
      <c r="E19" s="161">
        <v>12.1319</v>
      </c>
      <c r="F19" s="162">
        <v>58000000000</v>
      </c>
      <c r="G19" s="160">
        <v>0.65</v>
      </c>
      <c r="H19" s="161">
        <v>163.94499999999999</v>
      </c>
      <c r="I19" s="160">
        <v>97.918999999999997</v>
      </c>
      <c r="J19" s="160">
        <v>3.3741690000000002</v>
      </c>
      <c r="K19" s="160">
        <v>10.625540000000001</v>
      </c>
      <c r="L19" s="160">
        <v>2.6396289999999998</v>
      </c>
      <c r="M19" s="160">
        <v>1.062398</v>
      </c>
      <c r="N19" s="160">
        <v>6.0520889999999996</v>
      </c>
      <c r="O19" s="160">
        <v>4.2835869999999998</v>
      </c>
      <c r="P19" s="160">
        <v>2.895912</v>
      </c>
      <c r="Q19" s="160">
        <v>8.9697580000000006</v>
      </c>
      <c r="R19" s="160">
        <v>4.7361979999999999</v>
      </c>
      <c r="S19" s="160">
        <v>8.9742920000000002</v>
      </c>
      <c r="T19" s="227">
        <v>0.35767441999999999</v>
      </c>
      <c r="U19" s="160">
        <v>1.7</v>
      </c>
      <c r="V19" s="160">
        <v>1.8</v>
      </c>
      <c r="W19" s="160">
        <v>61463</v>
      </c>
      <c r="X19" s="160">
        <v>72.900000000000006</v>
      </c>
      <c r="Y19" s="160">
        <v>53.5</v>
      </c>
      <c r="Z19" s="160">
        <v>5.9230970000000003</v>
      </c>
      <c r="AA19" s="160">
        <v>2.2192029999999998</v>
      </c>
    </row>
    <row r="20" spans="1:27">
      <c r="A20">
        <v>2</v>
      </c>
      <c r="B20" t="s">
        <v>50</v>
      </c>
      <c r="C20" t="s">
        <v>49</v>
      </c>
      <c r="D20">
        <v>2017</v>
      </c>
      <c r="E20" s="161">
        <v>-7.4442399999999997</v>
      </c>
      <c r="F20" s="162">
        <v>-37000000000</v>
      </c>
      <c r="G20" s="160">
        <v>0.7</v>
      </c>
      <c r="H20" s="161">
        <v>167.46899999999999</v>
      </c>
      <c r="I20" s="160">
        <v>97.960999999999999</v>
      </c>
      <c r="J20" s="160">
        <v>3.407842</v>
      </c>
      <c r="K20" s="160">
        <v>10.63632</v>
      </c>
      <c r="L20" s="160">
        <v>2.5975649999999999</v>
      </c>
      <c r="M20" s="160">
        <v>1.055844</v>
      </c>
      <c r="N20" s="160">
        <v>6.0210229999999996</v>
      </c>
      <c r="O20" s="160">
        <v>4.3188199999999997</v>
      </c>
      <c r="P20" s="160">
        <v>2.944439</v>
      </c>
      <c r="Q20" s="160">
        <v>9.2065830000000002</v>
      </c>
      <c r="R20" s="160">
        <v>4.7791230000000002</v>
      </c>
      <c r="S20" s="160">
        <v>8.9697899999999997</v>
      </c>
      <c r="T20" s="227">
        <v>0.53062825999999996</v>
      </c>
      <c r="U20" s="160">
        <v>1.4</v>
      </c>
      <c r="V20" s="160">
        <v>1.8</v>
      </c>
      <c r="W20" s="160">
        <v>62281</v>
      </c>
      <c r="X20" s="160">
        <v>72</v>
      </c>
      <c r="Y20" s="160">
        <v>53.9</v>
      </c>
      <c r="Z20" s="160">
        <v>5.9269499999999997</v>
      </c>
      <c r="AA20" s="160">
        <v>2.2721260000000001</v>
      </c>
    </row>
    <row r="21" spans="1:27">
      <c r="A21">
        <v>2</v>
      </c>
      <c r="B21" t="s">
        <v>50</v>
      </c>
      <c r="C21" t="s">
        <v>49</v>
      </c>
      <c r="D21">
        <v>2018</v>
      </c>
      <c r="E21" s="161">
        <v>-7.6665000000000001</v>
      </c>
      <c r="F21" s="162">
        <v>-42000000000</v>
      </c>
      <c r="G21" s="160">
        <v>0.66</v>
      </c>
      <c r="H21" s="161">
        <v>170.16900000000001</v>
      </c>
      <c r="I21" s="160">
        <v>98.001000000000005</v>
      </c>
      <c r="J21" s="160">
        <v>3.4209999999999998</v>
      </c>
      <c r="K21" s="160">
        <v>10.650370000000001</v>
      </c>
      <c r="L21" s="160">
        <v>2.7027030000000001</v>
      </c>
      <c r="M21" s="160">
        <v>1.1117919999999999</v>
      </c>
      <c r="N21" s="160">
        <v>6.037871</v>
      </c>
      <c r="O21" s="160">
        <v>4.2835869999999998</v>
      </c>
      <c r="P21" s="160">
        <v>3.0252910000000002</v>
      </c>
      <c r="Q21" s="160">
        <v>9.3799399999999995</v>
      </c>
      <c r="R21" s="160">
        <v>4.75359</v>
      </c>
      <c r="S21" s="160">
        <v>8.8839869999999994</v>
      </c>
      <c r="T21" s="227">
        <v>0.34358969</v>
      </c>
      <c r="U21" s="160">
        <v>1.4</v>
      </c>
      <c r="V21" s="160">
        <v>1.7</v>
      </c>
      <c r="W21" s="160">
        <v>63234</v>
      </c>
      <c r="X21" s="160">
        <v>72.7</v>
      </c>
      <c r="Y21" s="160">
        <v>54.4</v>
      </c>
      <c r="Z21" s="160">
        <v>5.92624</v>
      </c>
      <c r="AA21" s="160">
        <v>2.370244</v>
      </c>
    </row>
    <row r="22" spans="1:27">
      <c r="A22">
        <v>2</v>
      </c>
      <c r="B22" t="s">
        <v>50</v>
      </c>
      <c r="C22" t="s">
        <v>49</v>
      </c>
      <c r="D22">
        <v>2019</v>
      </c>
      <c r="E22" s="161">
        <v>-1.9725299999999999</v>
      </c>
      <c r="F22" s="162">
        <v>-11000000000</v>
      </c>
      <c r="G22" s="160">
        <v>0.66</v>
      </c>
      <c r="H22" s="161">
        <v>163.172</v>
      </c>
      <c r="I22" s="160">
        <v>98.040999999999997</v>
      </c>
      <c r="J22" s="160">
        <v>3.453157</v>
      </c>
      <c r="K22" s="160">
        <v>10.6691</v>
      </c>
      <c r="L22" s="160">
        <v>2.5511620000000002</v>
      </c>
      <c r="M22" s="160">
        <v>1.092695</v>
      </c>
      <c r="N22" s="160">
        <v>6.0185930000000001</v>
      </c>
      <c r="O22" s="160">
        <v>4.2598589999999996</v>
      </c>
      <c r="P22" s="160">
        <v>3.0204249999999999</v>
      </c>
      <c r="Q22" s="160">
        <v>9.1520539999999997</v>
      </c>
      <c r="R22" s="160">
        <v>4.7706850000000003</v>
      </c>
      <c r="S22" s="160">
        <v>8.790127</v>
      </c>
      <c r="T22" s="227">
        <v>0.30748471999999999</v>
      </c>
      <c r="U22" s="160">
        <v>1.6</v>
      </c>
      <c r="V22" s="160">
        <v>1.8</v>
      </c>
      <c r="W22" s="160">
        <v>62091</v>
      </c>
      <c r="X22" s="160">
        <v>72.5</v>
      </c>
      <c r="Y22" s="160">
        <v>54.7</v>
      </c>
      <c r="Z22" s="160">
        <v>5.9316129999999996</v>
      </c>
      <c r="AA22" s="160">
        <v>2.3223880000000001</v>
      </c>
    </row>
    <row r="23" spans="1:27">
      <c r="A23">
        <v>2</v>
      </c>
      <c r="B23" t="s">
        <v>50</v>
      </c>
      <c r="C23" t="s">
        <v>49</v>
      </c>
      <c r="D23">
        <v>2020</v>
      </c>
      <c r="E23" s="161">
        <v>-5.7423500000000001</v>
      </c>
      <c r="F23" s="162">
        <v>-30000000000</v>
      </c>
      <c r="G23" s="160">
        <v>0.63</v>
      </c>
      <c r="H23" s="161">
        <v>154.56399999999999</v>
      </c>
      <c r="I23" s="160">
        <v>98.078999999999994</v>
      </c>
      <c r="J23" s="160">
        <v>3.4719669999999998</v>
      </c>
      <c r="K23" s="160">
        <v>10.615679999999999</v>
      </c>
      <c r="L23" s="160">
        <v>2.5637949999999998</v>
      </c>
      <c r="M23" s="160">
        <v>1.1259030000000001</v>
      </c>
      <c r="N23" s="160">
        <v>6.0137150000000004</v>
      </c>
      <c r="O23" s="160">
        <v>4.2972859999999997</v>
      </c>
      <c r="P23" s="160">
        <v>3.1311369999999998</v>
      </c>
      <c r="Q23" s="160">
        <v>8.8982150000000004</v>
      </c>
      <c r="R23" s="160">
        <v>4.7621739999999999</v>
      </c>
      <c r="S23" s="160">
        <v>8.6865349999999992</v>
      </c>
      <c r="T23" s="227">
        <v>-0.73396921000000004</v>
      </c>
      <c r="U23" s="160">
        <v>1.5</v>
      </c>
      <c r="V23" s="160">
        <v>1.9</v>
      </c>
      <c r="W23" s="160">
        <v>63816</v>
      </c>
      <c r="X23" s="160">
        <v>72.3</v>
      </c>
      <c r="Y23" s="160">
        <v>51.4</v>
      </c>
      <c r="Z23" s="160">
        <v>5.9359229999999998</v>
      </c>
      <c r="AA23" s="160">
        <v>2.5095990000000001</v>
      </c>
    </row>
    <row r="24" spans="1:27">
      <c r="A24">
        <v>3</v>
      </c>
      <c r="B24" t="s">
        <v>48</v>
      </c>
      <c r="C24" t="s">
        <v>47</v>
      </c>
      <c r="D24">
        <v>2010</v>
      </c>
      <c r="E24" s="161">
        <v>3.6305499999999999</v>
      </c>
      <c r="F24" s="162">
        <v>1800000000</v>
      </c>
      <c r="G24" s="160">
        <v>0.37</v>
      </c>
      <c r="H24" s="161">
        <v>90.902600000000007</v>
      </c>
      <c r="I24" s="160">
        <v>72.302000000000007</v>
      </c>
      <c r="J24" s="160">
        <v>2.5649489999999999</v>
      </c>
      <c r="K24" s="160">
        <v>8.7694369999999999</v>
      </c>
      <c r="L24" s="160">
        <v>2.6043180000000001</v>
      </c>
      <c r="M24" s="160">
        <v>-1.035074</v>
      </c>
      <c r="N24" s="160">
        <v>6.3578419999999998</v>
      </c>
      <c r="O24" s="160">
        <v>4.3618240000000004</v>
      </c>
      <c r="P24" s="160">
        <v>0.74193730000000002</v>
      </c>
      <c r="Q24" s="160">
        <v>6.0860919999999998</v>
      </c>
      <c r="R24" s="160">
        <v>4.6051700000000002</v>
      </c>
      <c r="S24" s="160">
        <v>8.9634049999999998</v>
      </c>
      <c r="T24" s="227">
        <v>-1.9661128999999999</v>
      </c>
      <c r="U24" s="160">
        <v>0.69999999000000002</v>
      </c>
      <c r="V24" s="160">
        <v>1.4</v>
      </c>
      <c r="W24" s="160">
        <v>49981</v>
      </c>
      <c r="X24" s="160">
        <v>15.9</v>
      </c>
      <c r="Y24" s="160">
        <v>24.5</v>
      </c>
      <c r="Z24" s="160">
        <v>4.2213370000000001</v>
      </c>
      <c r="AA24" s="160">
        <v>2.6602589999999999</v>
      </c>
    </row>
    <row r="25" spans="1:27">
      <c r="A25">
        <v>3</v>
      </c>
      <c r="B25" t="s">
        <v>48</v>
      </c>
      <c r="C25" t="s">
        <v>47</v>
      </c>
      <c r="D25">
        <v>2011</v>
      </c>
      <c r="E25" s="161">
        <v>3.64378</v>
      </c>
      <c r="F25" s="162">
        <v>2100000000</v>
      </c>
      <c r="G25" s="160">
        <v>0.36</v>
      </c>
      <c r="H25" s="161">
        <v>105.288</v>
      </c>
      <c r="I25" s="160">
        <v>72.638000000000005</v>
      </c>
      <c r="J25" s="160">
        <v>2.6741489999999999</v>
      </c>
      <c r="K25" s="160">
        <v>8.7965350000000004</v>
      </c>
      <c r="L25" s="160">
        <v>2.677454</v>
      </c>
      <c r="M25" s="160">
        <v>-1.1162669999999999</v>
      </c>
      <c r="N25" s="160">
        <v>6.3153579999999998</v>
      </c>
      <c r="O25" s="160">
        <v>4.4103709999999996</v>
      </c>
      <c r="P25" s="160">
        <v>0.58778660000000005</v>
      </c>
      <c r="Q25" s="160">
        <v>7.0134660000000002</v>
      </c>
      <c r="R25" s="160">
        <v>4.5747109999999997</v>
      </c>
      <c r="S25" s="160">
        <v>8.8878880000000002</v>
      </c>
      <c r="T25" s="227">
        <v>-1.9661128999999999</v>
      </c>
      <c r="U25" s="160">
        <v>0.59999999000000004</v>
      </c>
      <c r="V25" s="160">
        <v>1.4</v>
      </c>
      <c r="W25" s="160">
        <v>49886</v>
      </c>
      <c r="X25" s="160">
        <v>15</v>
      </c>
      <c r="Y25" s="160">
        <v>26.2</v>
      </c>
      <c r="Z25" s="160">
        <v>4.214925</v>
      </c>
      <c r="AA25" s="160">
        <v>2.5802170000000002</v>
      </c>
    </row>
    <row r="26" spans="1:27">
      <c r="A26">
        <v>3</v>
      </c>
      <c r="B26" t="s">
        <v>48</v>
      </c>
      <c r="C26" t="s">
        <v>47</v>
      </c>
      <c r="D26">
        <v>2012</v>
      </c>
      <c r="E26" s="161">
        <v>3.2937400000000001</v>
      </c>
      <c r="F26" s="162">
        <v>1800000000</v>
      </c>
      <c r="G26" s="160">
        <v>0.36</v>
      </c>
      <c r="H26" s="161">
        <v>109.40900000000001</v>
      </c>
      <c r="I26" s="160">
        <v>72.974999999999994</v>
      </c>
      <c r="J26" s="160">
        <v>2.8332130000000002</v>
      </c>
      <c r="K26" s="160">
        <v>8.8097879999999993</v>
      </c>
      <c r="L26" s="160">
        <v>2.6692399999999998</v>
      </c>
      <c r="M26" s="160">
        <v>-1.069151</v>
      </c>
      <c r="N26" s="160">
        <v>6.3952619999999998</v>
      </c>
      <c r="O26" s="160">
        <v>4.4308170000000002</v>
      </c>
      <c r="P26" s="160">
        <v>0.58778660000000005</v>
      </c>
      <c r="Q26" s="160">
        <v>7.3065309999999997</v>
      </c>
      <c r="R26" s="160">
        <v>4.5951199999999996</v>
      </c>
      <c r="S26" s="160">
        <v>8.9627970000000001</v>
      </c>
      <c r="T26" s="227">
        <v>-1.8309578</v>
      </c>
      <c r="U26" s="160">
        <v>0.5</v>
      </c>
      <c r="V26" s="160">
        <v>1.4</v>
      </c>
      <c r="W26" s="160">
        <v>50643</v>
      </c>
      <c r="X26" s="160">
        <v>15.2</v>
      </c>
      <c r="Y26" s="160">
        <v>25</v>
      </c>
      <c r="Z26" s="160">
        <v>4.2091339999999997</v>
      </c>
      <c r="AA26" s="160">
        <v>2.747271</v>
      </c>
    </row>
    <row r="27" spans="1:27">
      <c r="A27">
        <v>3</v>
      </c>
      <c r="B27" t="s">
        <v>48</v>
      </c>
      <c r="C27" t="s">
        <v>47</v>
      </c>
      <c r="D27">
        <v>2013</v>
      </c>
      <c r="E27" s="161">
        <v>3.5612599999999999</v>
      </c>
      <c r="F27" s="162">
        <v>2000000000</v>
      </c>
      <c r="G27" s="160">
        <v>0.37</v>
      </c>
      <c r="H27" s="161">
        <v>114.377</v>
      </c>
      <c r="I27" s="160">
        <v>73.313000000000002</v>
      </c>
      <c r="J27" s="160">
        <v>2.8332130000000002</v>
      </c>
      <c r="K27" s="160">
        <v>8.8099430000000005</v>
      </c>
      <c r="L27" s="160">
        <v>2.7271339999999999</v>
      </c>
      <c r="M27" s="160">
        <v>-1.0395890000000001</v>
      </c>
      <c r="N27" s="160">
        <v>6.3935909999999998</v>
      </c>
      <c r="O27" s="160">
        <v>4.4248469999999998</v>
      </c>
      <c r="P27" s="160">
        <v>0.91629079999999996</v>
      </c>
      <c r="Q27" s="160">
        <v>6.6600630000000001</v>
      </c>
      <c r="R27" s="160">
        <v>4.6051700000000002</v>
      </c>
      <c r="S27" s="160">
        <v>9.0293869999999998</v>
      </c>
      <c r="T27" s="227">
        <v>-1.6958028000000001</v>
      </c>
      <c r="U27" s="160">
        <v>0.40000001000000002</v>
      </c>
      <c r="V27" s="160">
        <v>1.4</v>
      </c>
      <c r="W27" s="160">
        <v>49110</v>
      </c>
      <c r="X27" s="160">
        <v>15.7</v>
      </c>
      <c r="Y27" s="160">
        <v>28.5</v>
      </c>
      <c r="Z27" s="160">
        <v>4.2035369999999999</v>
      </c>
      <c r="AA27" s="160">
        <v>2.9014220000000002</v>
      </c>
    </row>
    <row r="28" spans="1:27">
      <c r="A28">
        <v>3</v>
      </c>
      <c r="B28" t="s">
        <v>48</v>
      </c>
      <c r="C28" t="s">
        <v>47</v>
      </c>
      <c r="D28">
        <v>2014</v>
      </c>
      <c r="E28" s="161">
        <v>1.9133</v>
      </c>
      <c r="F28" s="162">
        <v>1100000000</v>
      </c>
      <c r="G28" s="160">
        <v>0.35</v>
      </c>
      <c r="H28" s="161">
        <v>111.789</v>
      </c>
      <c r="I28" s="160">
        <v>73.650999999999996</v>
      </c>
      <c r="J28" s="160">
        <v>2.8390780000000002</v>
      </c>
      <c r="K28" s="160">
        <v>8.8250759999999993</v>
      </c>
      <c r="L28" s="160">
        <v>2.8074129999999999</v>
      </c>
      <c r="M28" s="160">
        <v>-1.1217779999999999</v>
      </c>
      <c r="N28" s="160">
        <v>6.3171650000000001</v>
      </c>
      <c r="O28" s="160">
        <v>4.4414740000000004</v>
      </c>
      <c r="P28" s="160">
        <v>0.99325180000000002</v>
      </c>
      <c r="Q28" s="160">
        <v>7.0214410000000003</v>
      </c>
      <c r="R28" s="160">
        <v>4.6443909999999997</v>
      </c>
      <c r="S28" s="160">
        <v>9.0042790000000004</v>
      </c>
      <c r="T28" s="227">
        <v>-1.5606477000000001</v>
      </c>
      <c r="U28" s="160">
        <v>0.60000001999999997</v>
      </c>
      <c r="V28" s="160">
        <v>1.5</v>
      </c>
      <c r="W28" s="160">
        <v>48335</v>
      </c>
      <c r="X28" s="160">
        <v>14.5</v>
      </c>
      <c r="Y28" s="160">
        <v>23.1</v>
      </c>
      <c r="Z28" s="160">
        <v>4.1978530000000003</v>
      </c>
      <c r="AA28" s="160">
        <v>2.8390780000000002</v>
      </c>
    </row>
    <row r="29" spans="1:27">
      <c r="A29">
        <v>3</v>
      </c>
      <c r="B29" t="s">
        <v>48</v>
      </c>
      <c r="C29" t="s">
        <v>47</v>
      </c>
      <c r="D29">
        <v>2015</v>
      </c>
      <c r="E29" s="161">
        <v>4.3717800000000002</v>
      </c>
      <c r="F29" s="162">
        <v>2200000000</v>
      </c>
      <c r="G29" s="160">
        <v>0.36</v>
      </c>
      <c r="H29" s="161">
        <v>107.408</v>
      </c>
      <c r="I29" s="160">
        <v>73.989999999999995</v>
      </c>
      <c r="J29" s="160">
        <v>2.8848009999999999</v>
      </c>
      <c r="K29" s="160">
        <v>8.8648679999999995</v>
      </c>
      <c r="L29" s="160">
        <v>2.8671030000000002</v>
      </c>
      <c r="M29" s="160">
        <v>-1.205641</v>
      </c>
      <c r="N29" s="160">
        <v>6.2304820000000003</v>
      </c>
      <c r="O29" s="160">
        <v>4.4496849999999997</v>
      </c>
      <c r="P29" s="160">
        <v>1.131402</v>
      </c>
      <c r="Q29" s="160">
        <v>7.4752830000000001</v>
      </c>
      <c r="R29" s="160">
        <v>4.7004799999999998</v>
      </c>
      <c r="S29" s="160">
        <v>9.0469860000000004</v>
      </c>
      <c r="T29" s="227">
        <v>-2.6592600000000002</v>
      </c>
      <c r="U29" s="160">
        <v>0.69999999000000002</v>
      </c>
      <c r="V29" s="160">
        <v>1.6</v>
      </c>
      <c r="W29" s="160">
        <v>48132</v>
      </c>
      <c r="X29" s="160">
        <v>14.1</v>
      </c>
      <c r="Y29" s="160">
        <v>29.4</v>
      </c>
      <c r="Z29" s="160">
        <v>4.1914709999999999</v>
      </c>
      <c r="AA29" s="160">
        <v>2.8848009999999999</v>
      </c>
    </row>
    <row r="30" spans="1:27">
      <c r="A30">
        <v>3</v>
      </c>
      <c r="B30" t="s">
        <v>48</v>
      </c>
      <c r="C30" t="s">
        <v>47</v>
      </c>
      <c r="D30">
        <v>2016</v>
      </c>
      <c r="E30" s="161">
        <v>2.7581799999999999</v>
      </c>
      <c r="F30" s="162">
        <v>1500000000</v>
      </c>
      <c r="G30" s="160">
        <v>0.37</v>
      </c>
      <c r="H30" s="161">
        <v>102.855</v>
      </c>
      <c r="I30" s="160">
        <v>74.328999999999994</v>
      </c>
      <c r="J30" s="160">
        <v>2.8449089999999999</v>
      </c>
      <c r="K30" s="160">
        <v>8.9016990000000007</v>
      </c>
      <c r="L30" s="160">
        <v>2.8635709999999999</v>
      </c>
      <c r="M30" s="160">
        <v>-1.050394</v>
      </c>
      <c r="N30" s="160">
        <v>6.131227</v>
      </c>
      <c r="O30" s="160">
        <v>4.4006030000000003</v>
      </c>
      <c r="P30" s="160">
        <v>1.458615</v>
      </c>
      <c r="Q30" s="160">
        <v>7.9964180000000002</v>
      </c>
      <c r="R30" s="160">
        <v>4.7184990000000004</v>
      </c>
      <c r="S30" s="160">
        <v>8.9802959999999992</v>
      </c>
      <c r="T30" s="227">
        <v>-2.9957322999999998</v>
      </c>
      <c r="U30" s="160">
        <v>0.60000001999999997</v>
      </c>
      <c r="V30" s="160">
        <v>1.5</v>
      </c>
      <c r="W30" s="160">
        <v>51013</v>
      </c>
      <c r="X30" s="160">
        <v>16.100000000000001</v>
      </c>
      <c r="Y30" s="160">
        <v>31.8</v>
      </c>
      <c r="Z30" s="160">
        <v>4.1844580000000002</v>
      </c>
      <c r="AA30" s="160">
        <v>2.8735650000000001</v>
      </c>
    </row>
    <row r="31" spans="1:27">
      <c r="A31">
        <v>3</v>
      </c>
      <c r="B31" t="s">
        <v>48</v>
      </c>
      <c r="C31" t="s">
        <v>47</v>
      </c>
      <c r="D31">
        <v>2017</v>
      </c>
      <c r="E31" s="161">
        <v>3.38442</v>
      </c>
      <c r="F31" s="162">
        <v>2000000000</v>
      </c>
      <c r="G31" s="160">
        <v>0.37</v>
      </c>
      <c r="H31" s="161">
        <v>110.643</v>
      </c>
      <c r="I31" s="160">
        <v>74.668999999999997</v>
      </c>
      <c r="J31" s="160">
        <v>2.8848009999999999</v>
      </c>
      <c r="K31" s="160">
        <v>8.9360929999999996</v>
      </c>
      <c r="L31" s="160">
        <v>2.8511690000000001</v>
      </c>
      <c r="M31" s="160">
        <v>-1.054691</v>
      </c>
      <c r="N31" s="160">
        <v>6.0822190000000003</v>
      </c>
      <c r="O31" s="160">
        <v>4.4272390000000001</v>
      </c>
      <c r="P31" s="160">
        <v>1.223776</v>
      </c>
      <c r="Q31" s="160">
        <v>7.8398399999999997</v>
      </c>
      <c r="R31" s="160">
        <v>4.7184990000000004</v>
      </c>
      <c r="S31" s="160">
        <v>8.9699899999999992</v>
      </c>
      <c r="T31" s="227">
        <v>-3.5065578999999998</v>
      </c>
      <c r="U31" s="160">
        <v>0.69999999000000002</v>
      </c>
      <c r="V31" s="160">
        <v>1.7</v>
      </c>
      <c r="W31" s="160">
        <v>51855</v>
      </c>
      <c r="X31" s="160">
        <v>16.8</v>
      </c>
      <c r="Y31" s="160">
        <v>34.6</v>
      </c>
      <c r="Z31" s="160">
        <v>4.1771539999999998</v>
      </c>
      <c r="AA31" s="160">
        <v>2.8390780000000002</v>
      </c>
    </row>
    <row r="32" spans="1:27">
      <c r="A32">
        <v>3</v>
      </c>
      <c r="B32" t="s">
        <v>48</v>
      </c>
      <c r="C32" t="s">
        <v>47</v>
      </c>
      <c r="D32">
        <v>2018</v>
      </c>
      <c r="E32" s="161">
        <v>2.7302499999999998</v>
      </c>
      <c r="F32" s="162">
        <v>1800000000</v>
      </c>
      <c r="G32" s="160">
        <v>0.37</v>
      </c>
      <c r="H32" s="161">
        <v>107.82</v>
      </c>
      <c r="I32" s="160">
        <v>75.007999999999996</v>
      </c>
      <c r="J32" s="160">
        <v>2.906901</v>
      </c>
      <c r="K32" s="160">
        <v>8.9684889999999999</v>
      </c>
      <c r="L32" s="160">
        <v>2.9655819999999999</v>
      </c>
      <c r="M32" s="160">
        <v>-1.0535429999999999</v>
      </c>
      <c r="N32" s="160">
        <v>6.1114670000000002</v>
      </c>
      <c r="O32" s="160">
        <v>4.3944489999999998</v>
      </c>
      <c r="P32" s="160">
        <v>0.87546880000000005</v>
      </c>
      <c r="Q32" s="160">
        <v>7.9366960000000004</v>
      </c>
      <c r="R32" s="160">
        <v>4.7621739999999999</v>
      </c>
      <c r="S32" s="160">
        <v>8.8490669999999998</v>
      </c>
      <c r="T32" s="227">
        <v>-2.6592600000000002</v>
      </c>
      <c r="U32" s="160">
        <v>0.69999999000000002</v>
      </c>
      <c r="V32" s="160">
        <v>1.6</v>
      </c>
      <c r="W32" s="160">
        <v>52418</v>
      </c>
      <c r="X32" s="160">
        <v>15.7</v>
      </c>
      <c r="Y32" s="160">
        <v>31.5</v>
      </c>
      <c r="Z32" s="160">
        <v>4.1699330000000003</v>
      </c>
      <c r="AA32" s="160">
        <v>2.97553</v>
      </c>
    </row>
    <row r="33" spans="1:27">
      <c r="A33">
        <v>3</v>
      </c>
      <c r="B33" t="s">
        <v>48</v>
      </c>
      <c r="C33" t="s">
        <v>47</v>
      </c>
      <c r="D33">
        <v>2019</v>
      </c>
      <c r="E33" s="161">
        <v>3.2364799999999998</v>
      </c>
      <c r="F33" s="162">
        <v>2200000000</v>
      </c>
      <c r="G33" s="160">
        <v>0.37</v>
      </c>
      <c r="H33" s="161">
        <v>103.455</v>
      </c>
      <c r="I33" s="160">
        <v>75.346999999999994</v>
      </c>
      <c r="J33" s="160">
        <v>2.9338570000000002</v>
      </c>
      <c r="K33" s="160">
        <v>9.0127159999999993</v>
      </c>
      <c r="L33" s="160">
        <v>3.0076610000000001</v>
      </c>
      <c r="M33" s="160">
        <v>-1.0219290000000001</v>
      </c>
      <c r="N33" s="160">
        <v>6.0661079999999998</v>
      </c>
      <c r="O33" s="160">
        <v>4.4188400000000003</v>
      </c>
      <c r="P33" s="160">
        <v>1.3862939999999999</v>
      </c>
      <c r="Q33" s="160">
        <v>7.4303509999999999</v>
      </c>
      <c r="R33" s="160">
        <v>4.8040209999999997</v>
      </c>
      <c r="S33" s="160">
        <v>8.7114829999999994</v>
      </c>
      <c r="T33" s="227">
        <v>-1.8119620999999999</v>
      </c>
      <c r="U33" s="160">
        <v>0.69999999000000002</v>
      </c>
      <c r="V33" s="160">
        <v>1.7</v>
      </c>
      <c r="W33" s="160">
        <v>53871</v>
      </c>
      <c r="X33" s="160">
        <v>16.399999999999999</v>
      </c>
      <c r="Y33" s="160">
        <v>34.6</v>
      </c>
      <c r="Z33" s="160">
        <v>4.1628939999999997</v>
      </c>
      <c r="AA33" s="160">
        <v>2.960105</v>
      </c>
    </row>
    <row r="34" spans="1:27">
      <c r="A34">
        <v>3</v>
      </c>
      <c r="B34" t="s">
        <v>48</v>
      </c>
      <c r="C34" t="s">
        <v>47</v>
      </c>
      <c r="D34">
        <v>2020</v>
      </c>
      <c r="E34" s="161">
        <v>4.6815699999999998</v>
      </c>
      <c r="F34" s="162">
        <v>3300000000</v>
      </c>
      <c r="G34" s="160">
        <v>0.38</v>
      </c>
      <c r="H34" s="161">
        <v>94.758200000000002</v>
      </c>
      <c r="I34" s="160">
        <v>75.686000000000007</v>
      </c>
      <c r="J34" s="160">
        <v>2.960105</v>
      </c>
      <c r="K34" s="160">
        <v>8.9860319999999998</v>
      </c>
      <c r="L34" s="160">
        <v>3.0480399999999999</v>
      </c>
      <c r="M34" s="160">
        <v>-1.0463990000000001</v>
      </c>
      <c r="N34" s="160">
        <v>6.0354809999999999</v>
      </c>
      <c r="O34" s="160">
        <v>4.4260440000000001</v>
      </c>
      <c r="P34" s="160">
        <v>1.7578579999999999</v>
      </c>
      <c r="Q34" s="160">
        <v>7.7446570000000001</v>
      </c>
      <c r="R34" s="160">
        <v>4.7621739999999999</v>
      </c>
      <c r="S34" s="160">
        <v>8.5519049999999996</v>
      </c>
      <c r="T34" s="227">
        <v>-0.96466421999999996</v>
      </c>
      <c r="U34" s="160">
        <v>0.60000001999999997</v>
      </c>
      <c r="V34" s="160">
        <v>1.6</v>
      </c>
      <c r="W34" s="160">
        <v>51751</v>
      </c>
      <c r="X34" s="160">
        <v>16</v>
      </c>
      <c r="Y34" s="160">
        <v>35.200000000000003</v>
      </c>
      <c r="Z34" s="160">
        <v>4.156892</v>
      </c>
      <c r="AA34" s="160">
        <v>3.0492729999999999</v>
      </c>
    </row>
    <row r="35" spans="1:27">
      <c r="A35">
        <v>4</v>
      </c>
      <c r="B35" t="s">
        <v>46</v>
      </c>
      <c r="C35" t="s">
        <v>45</v>
      </c>
      <c r="D35">
        <v>2010</v>
      </c>
      <c r="E35" s="161">
        <v>120.279</v>
      </c>
      <c r="F35" s="162">
        <v>31000000000</v>
      </c>
      <c r="G35" s="160">
        <v>0.61</v>
      </c>
      <c r="H35" s="161">
        <v>38.647399999999998</v>
      </c>
      <c r="I35" s="160">
        <v>67.551000000000002</v>
      </c>
      <c r="J35" s="160">
        <v>2.8622010000000002</v>
      </c>
      <c r="K35" s="160">
        <v>10.169309999999999</v>
      </c>
      <c r="L35" s="160">
        <v>3.4379469999999999</v>
      </c>
      <c r="M35" s="160">
        <v>-0.16770879999999999</v>
      </c>
      <c r="N35" s="160">
        <v>6.5279579999999999</v>
      </c>
      <c r="O35" s="160">
        <v>4.2710949999999999</v>
      </c>
      <c r="P35" s="160">
        <v>0.69314719999999996</v>
      </c>
      <c r="Q35" s="160">
        <v>2.867899</v>
      </c>
      <c r="R35" s="160">
        <v>4.6051700000000002</v>
      </c>
      <c r="S35" s="160">
        <v>8.9930509999999995</v>
      </c>
      <c r="T35" s="227">
        <v>0.89789143999999999</v>
      </c>
      <c r="U35" s="160">
        <v>0.60000001999999997</v>
      </c>
      <c r="V35" s="160">
        <v>1.3</v>
      </c>
      <c r="W35" s="160">
        <v>6003</v>
      </c>
      <c r="X35" s="160">
        <v>24.7</v>
      </c>
      <c r="Y35" s="160">
        <v>11.2</v>
      </c>
      <c r="Z35" s="160">
        <v>4.8044960000000003</v>
      </c>
      <c r="AA35" s="160">
        <v>1.871802</v>
      </c>
    </row>
    <row r="36" spans="1:27">
      <c r="A36">
        <v>4</v>
      </c>
      <c r="B36" t="s">
        <v>46</v>
      </c>
      <c r="C36" t="s">
        <v>45</v>
      </c>
      <c r="D36">
        <v>2011</v>
      </c>
      <c r="E36" s="161">
        <v>146.32300000000001</v>
      </c>
      <c r="F36" s="162">
        <v>40000000000</v>
      </c>
      <c r="G36" s="160">
        <v>0.56999999999999995</v>
      </c>
      <c r="H36" s="161">
        <v>37.971800000000002</v>
      </c>
      <c r="I36" s="160">
        <v>67.406000000000006</v>
      </c>
      <c r="J36" s="160">
        <v>2.9177710000000001</v>
      </c>
      <c r="K36" s="160">
        <v>10.14795</v>
      </c>
      <c r="L36" s="160">
        <v>3.3604449999999999</v>
      </c>
      <c r="M36" s="160">
        <v>-0.14502580000000001</v>
      </c>
      <c r="N36" s="160">
        <v>6.5337889999999996</v>
      </c>
      <c r="O36" s="160">
        <v>4.3681809999999999</v>
      </c>
      <c r="P36" s="160">
        <v>0.64185389999999998</v>
      </c>
      <c r="Q36" s="160">
        <v>1.686399</v>
      </c>
      <c r="R36" s="160">
        <v>4.6249729999999998</v>
      </c>
      <c r="S36" s="160">
        <v>8.8993110000000009</v>
      </c>
      <c r="T36" s="227">
        <v>0.75141603000000001</v>
      </c>
      <c r="U36" s="160">
        <v>0.60000001999999997</v>
      </c>
      <c r="V36" s="160">
        <v>1.3</v>
      </c>
      <c r="W36" s="160">
        <v>5625</v>
      </c>
      <c r="X36" s="160">
        <v>22.5</v>
      </c>
      <c r="Y36" s="160">
        <v>11.2</v>
      </c>
      <c r="Z36" s="160">
        <v>4.820919</v>
      </c>
      <c r="AA36" s="160">
        <v>2.0281479999999998</v>
      </c>
    </row>
    <row r="37" spans="1:27">
      <c r="A37">
        <v>4</v>
      </c>
      <c r="B37" t="s">
        <v>46</v>
      </c>
      <c r="C37" t="s">
        <v>45</v>
      </c>
      <c r="D37">
        <v>2012</v>
      </c>
      <c r="E37" s="161">
        <v>279.36099999999999</v>
      </c>
      <c r="F37" s="162">
        <v>70000000000</v>
      </c>
      <c r="G37" s="160">
        <v>0.55000000000000004</v>
      </c>
      <c r="H37" s="161">
        <v>36.075499999999998</v>
      </c>
      <c r="I37" s="160">
        <v>67.260999999999996</v>
      </c>
      <c r="J37" s="160">
        <v>3.0204249999999999</v>
      </c>
      <c r="K37" s="160">
        <v>10.097630000000001</v>
      </c>
      <c r="L37" s="160">
        <v>3.0298440000000002</v>
      </c>
      <c r="M37" s="160">
        <v>0.12962370000000001</v>
      </c>
      <c r="N37" s="160">
        <v>6.5439119999999997</v>
      </c>
      <c r="O37" s="160">
        <v>4.4612999999999996</v>
      </c>
      <c r="P37" s="160">
        <v>0.69314719999999996</v>
      </c>
      <c r="R37" s="160">
        <v>4.6443909999999997</v>
      </c>
      <c r="S37" s="160">
        <v>8.9634839999999993</v>
      </c>
      <c r="T37" s="227">
        <v>0.60494062000000004</v>
      </c>
      <c r="U37" s="160">
        <v>0.60000001999999997</v>
      </c>
      <c r="V37" s="160">
        <v>1.3</v>
      </c>
      <c r="W37" s="160">
        <v>5582</v>
      </c>
      <c r="X37" s="160">
        <v>26.5</v>
      </c>
      <c r="Y37" s="160">
        <v>12.8</v>
      </c>
      <c r="Z37" s="160">
        <v>4.8372739999999999</v>
      </c>
      <c r="AA37" s="160">
        <v>2.1517620000000002</v>
      </c>
    </row>
    <row r="38" spans="1:27">
      <c r="A38">
        <v>4</v>
      </c>
      <c r="B38" t="s">
        <v>46</v>
      </c>
      <c r="C38" t="s">
        <v>45</v>
      </c>
      <c r="D38">
        <v>2013</v>
      </c>
      <c r="E38" s="161">
        <v>108.375</v>
      </c>
      <c r="F38" s="162">
        <v>26000000000</v>
      </c>
      <c r="G38" s="160">
        <v>0.49</v>
      </c>
      <c r="H38" s="161">
        <v>34.779200000000003</v>
      </c>
      <c r="I38" s="160">
        <v>67.137</v>
      </c>
      <c r="J38" s="160">
        <v>3.0204249999999999</v>
      </c>
      <c r="K38" s="160">
        <v>10.03181</v>
      </c>
      <c r="L38" s="160">
        <v>2.7259549999999999</v>
      </c>
      <c r="M38" s="160">
        <v>0.38736900000000002</v>
      </c>
      <c r="N38" s="160">
        <v>6.5567780000000004</v>
      </c>
      <c r="O38" s="160">
        <v>4.3857699999999999</v>
      </c>
      <c r="P38" s="160">
        <v>0.87546880000000005</v>
      </c>
      <c r="Q38" s="160">
        <v>1.5040770000000001</v>
      </c>
      <c r="R38" s="160">
        <v>4.6151200000000001</v>
      </c>
      <c r="S38" s="160">
        <v>8.9421280000000003</v>
      </c>
      <c r="T38" s="227">
        <v>0.45846521000000001</v>
      </c>
      <c r="U38" s="160">
        <v>0.60000001999999997</v>
      </c>
      <c r="V38" s="160">
        <v>1.3</v>
      </c>
      <c r="W38" s="160">
        <v>5391</v>
      </c>
      <c r="X38" s="160">
        <v>29.2</v>
      </c>
      <c r="Y38" s="160">
        <v>13.9</v>
      </c>
      <c r="Z38" s="160">
        <v>4.8530220000000002</v>
      </c>
      <c r="AA38" s="160">
        <v>2.2721260000000001</v>
      </c>
    </row>
    <row r="39" spans="1:27">
      <c r="A39">
        <v>4</v>
      </c>
      <c r="B39" t="s">
        <v>46</v>
      </c>
      <c r="C39" t="s">
        <v>45</v>
      </c>
      <c r="D39">
        <v>2014</v>
      </c>
      <c r="E39" s="161">
        <v>222.76400000000001</v>
      </c>
      <c r="F39" s="162">
        <v>52000000000</v>
      </c>
      <c r="G39" s="160">
        <v>0.48</v>
      </c>
      <c r="H39" s="161">
        <v>48.045499999999997</v>
      </c>
      <c r="I39" s="160">
        <v>67.031000000000006</v>
      </c>
      <c r="J39" s="160">
        <v>3.0349529999999998</v>
      </c>
      <c r="K39" s="160">
        <v>10.024900000000001</v>
      </c>
      <c r="L39" s="160">
        <v>2.7169439999999998</v>
      </c>
      <c r="M39" s="160">
        <v>0.37658540000000001</v>
      </c>
      <c r="N39" s="160">
        <v>6.5916740000000003</v>
      </c>
      <c r="O39" s="160">
        <v>4.4931210000000004</v>
      </c>
      <c r="P39" s="160">
        <v>0.78845739999999997</v>
      </c>
      <c r="Q39" s="160">
        <v>1.5475620000000001</v>
      </c>
      <c r="R39" s="160">
        <v>4.6249729999999998</v>
      </c>
      <c r="S39" s="160">
        <v>8.9944220000000001</v>
      </c>
      <c r="T39" s="227">
        <v>0.31198979999999998</v>
      </c>
      <c r="U39" s="160">
        <v>0.2</v>
      </c>
      <c r="V39" s="160">
        <v>1.4</v>
      </c>
      <c r="W39" s="160">
        <v>5515</v>
      </c>
      <c r="X39" s="160">
        <v>30.8</v>
      </c>
      <c r="Y39" s="160">
        <v>14.8</v>
      </c>
      <c r="Z39" s="160">
        <v>4.8680339999999998</v>
      </c>
      <c r="AA39" s="160">
        <v>2.2512919999999998</v>
      </c>
    </row>
    <row r="40" spans="1:27">
      <c r="A40">
        <v>4</v>
      </c>
      <c r="B40" t="s">
        <v>46</v>
      </c>
      <c r="C40" t="s">
        <v>45</v>
      </c>
      <c r="D40">
        <v>2015</v>
      </c>
      <c r="E40" s="161">
        <v>145.46199999999999</v>
      </c>
      <c r="F40" s="162">
        <v>29000000000</v>
      </c>
      <c r="G40" s="160">
        <v>0.47</v>
      </c>
      <c r="H40" s="161">
        <v>51.825099999999999</v>
      </c>
      <c r="I40" s="160">
        <v>66.945999999999998</v>
      </c>
      <c r="J40" s="160">
        <v>3.0680529999999999</v>
      </c>
      <c r="K40" s="160">
        <v>10.064209999999999</v>
      </c>
      <c r="L40" s="160">
        <v>2.731897</v>
      </c>
      <c r="M40" s="160">
        <v>0.40526509999999999</v>
      </c>
      <c r="N40" s="160">
        <v>6.5916740000000003</v>
      </c>
      <c r="O40" s="160">
        <v>4.510859</v>
      </c>
      <c r="P40" s="160">
        <v>0.87546880000000005</v>
      </c>
      <c r="Q40" s="160">
        <v>2.721295</v>
      </c>
      <c r="R40" s="160">
        <v>4.6249729999999998</v>
      </c>
      <c r="S40" s="160">
        <v>9.0235099999999999</v>
      </c>
      <c r="T40" s="227">
        <v>0.16551439000000001</v>
      </c>
      <c r="U40" s="160">
        <v>0.30000000999999998</v>
      </c>
      <c r="V40" s="160">
        <v>1.5</v>
      </c>
      <c r="W40" s="160">
        <v>6120</v>
      </c>
      <c r="X40" s="160">
        <v>32.799999999999997</v>
      </c>
      <c r="Y40" s="160">
        <v>16.7</v>
      </c>
      <c r="Z40" s="160">
        <v>4.8826580000000002</v>
      </c>
      <c r="AA40" s="160">
        <v>2.3418060000000001</v>
      </c>
    </row>
    <row r="41" spans="1:27">
      <c r="A41">
        <v>4</v>
      </c>
      <c r="B41" t="s">
        <v>46</v>
      </c>
      <c r="C41" t="s">
        <v>45</v>
      </c>
      <c r="D41">
        <v>2016</v>
      </c>
      <c r="E41" s="161">
        <v>40.425800000000002</v>
      </c>
      <c r="F41" s="162">
        <v>8500000000</v>
      </c>
      <c r="G41" s="160">
        <v>0.47</v>
      </c>
      <c r="H41" s="161">
        <v>51.2913</v>
      </c>
      <c r="I41" s="160">
        <v>66.881</v>
      </c>
      <c r="J41" s="160">
        <v>3.0155349999999999</v>
      </c>
      <c r="K41" s="160">
        <v>10.123290000000001</v>
      </c>
      <c r="L41" s="160">
        <v>2.83127</v>
      </c>
      <c r="M41" s="160">
        <v>0.36248799999999998</v>
      </c>
      <c r="N41" s="160">
        <v>6.5666719999999996</v>
      </c>
      <c r="O41" s="160">
        <v>4.4750610000000002</v>
      </c>
      <c r="P41" s="160">
        <v>0.87546880000000005</v>
      </c>
      <c r="Q41" s="160">
        <v>1.88707</v>
      </c>
      <c r="R41" s="160">
        <v>4.6634390000000003</v>
      </c>
      <c r="S41" s="160">
        <v>9.0220289999999999</v>
      </c>
      <c r="T41" s="227">
        <v>1.9038989999999999E-2</v>
      </c>
      <c r="U41" s="160">
        <v>0.30000000999999998</v>
      </c>
      <c r="V41" s="160">
        <v>1.6</v>
      </c>
      <c r="W41" s="160">
        <v>6840</v>
      </c>
      <c r="X41" s="160">
        <v>33.6</v>
      </c>
      <c r="Y41" s="160">
        <v>16.3</v>
      </c>
      <c r="Z41" s="160">
        <v>4.8969959999999997</v>
      </c>
      <c r="AA41" s="160">
        <v>2.332144</v>
      </c>
    </row>
    <row r="42" spans="1:27">
      <c r="A42">
        <v>4</v>
      </c>
      <c r="B42" t="s">
        <v>46</v>
      </c>
      <c r="C42" t="s">
        <v>45</v>
      </c>
      <c r="D42">
        <v>2017</v>
      </c>
      <c r="E42" s="161">
        <v>62.783099999999997</v>
      </c>
      <c r="F42" s="162">
        <v>14000000000</v>
      </c>
      <c r="G42" s="160">
        <v>0.55000000000000004</v>
      </c>
      <c r="H42" s="161">
        <v>54.557200000000002</v>
      </c>
      <c r="I42" s="160">
        <v>66.835999999999999</v>
      </c>
      <c r="J42" s="160">
        <v>3.039749</v>
      </c>
      <c r="K42" s="160">
        <v>10.1699</v>
      </c>
      <c r="L42" s="160">
        <v>3.0055339999999999</v>
      </c>
      <c r="M42" s="160">
        <v>0.24803130000000001</v>
      </c>
      <c r="N42" s="160">
        <v>6.5395859999999999</v>
      </c>
      <c r="O42" s="160">
        <v>4.3605479999999996</v>
      </c>
      <c r="P42" s="160">
        <v>0.87546880000000005</v>
      </c>
      <c r="Q42" s="160">
        <v>2.140066</v>
      </c>
      <c r="R42" s="160">
        <v>4.7004799999999998</v>
      </c>
      <c r="S42" s="160">
        <v>8.9836170000000006</v>
      </c>
      <c r="T42" s="227">
        <v>-0.12743641999999999</v>
      </c>
      <c r="U42" s="160">
        <v>0.5</v>
      </c>
      <c r="V42" s="160">
        <v>1.6</v>
      </c>
      <c r="W42" s="160">
        <v>7449</v>
      </c>
      <c r="X42" s="160">
        <v>33.299999999999997</v>
      </c>
      <c r="Y42" s="160">
        <v>16.5</v>
      </c>
      <c r="Z42" s="160">
        <v>4.9107710000000004</v>
      </c>
      <c r="AA42" s="160">
        <v>2.388763</v>
      </c>
    </row>
    <row r="43" spans="1:27">
      <c r="A43">
        <v>4</v>
      </c>
      <c r="B43" t="s">
        <v>46</v>
      </c>
      <c r="C43" t="s">
        <v>45</v>
      </c>
      <c r="D43">
        <v>2018</v>
      </c>
      <c r="E43" s="161">
        <v>-4.3110200000000001</v>
      </c>
      <c r="F43" s="162">
        <v>-1100000000</v>
      </c>
      <c r="G43" s="160">
        <v>0.54</v>
      </c>
      <c r="H43" s="161">
        <v>61.6098</v>
      </c>
      <c r="I43" s="160">
        <v>66.81</v>
      </c>
      <c r="J43" s="160">
        <v>3.054001</v>
      </c>
      <c r="K43" s="160">
        <v>10.218540000000001</v>
      </c>
      <c r="L43" s="160">
        <v>2.963622</v>
      </c>
      <c r="M43" s="160">
        <v>0.30711699999999997</v>
      </c>
      <c r="N43" s="160">
        <v>6.5235620000000001</v>
      </c>
      <c r="O43" s="160">
        <v>4.5064539999999997</v>
      </c>
      <c r="P43" s="160">
        <v>1.0296190000000001</v>
      </c>
      <c r="Q43" s="160">
        <v>3.380995</v>
      </c>
      <c r="R43" s="160">
        <v>4.6913479999999996</v>
      </c>
      <c r="S43" s="160">
        <v>8.9584670000000006</v>
      </c>
      <c r="T43" s="227">
        <v>-0.27391183000000002</v>
      </c>
      <c r="U43" s="160">
        <v>0.40000001000000002</v>
      </c>
      <c r="V43" s="160">
        <v>1.7</v>
      </c>
      <c r="W43" s="160">
        <v>8291</v>
      </c>
      <c r="X43" s="160">
        <v>34</v>
      </c>
      <c r="Y43" s="160">
        <v>16.8</v>
      </c>
      <c r="Z43" s="160">
        <v>4.923813</v>
      </c>
      <c r="AA43" s="160">
        <v>2.4849070000000002</v>
      </c>
    </row>
    <row r="44" spans="1:27">
      <c r="A44">
        <v>4</v>
      </c>
      <c r="B44" t="s">
        <v>46</v>
      </c>
      <c r="C44" t="s">
        <v>45</v>
      </c>
      <c r="D44">
        <v>2019</v>
      </c>
      <c r="E44" s="161">
        <v>201.685</v>
      </c>
      <c r="F44" s="162">
        <v>53000000000</v>
      </c>
      <c r="G44" s="160">
        <v>0.52</v>
      </c>
      <c r="H44" s="161">
        <v>48.0214</v>
      </c>
      <c r="I44" s="160">
        <v>66.805000000000007</v>
      </c>
      <c r="J44" s="160">
        <v>3.091043</v>
      </c>
      <c r="K44" s="160">
        <v>10.26206</v>
      </c>
      <c r="L44" s="160">
        <v>3.0206689999999998</v>
      </c>
      <c r="M44" s="160">
        <v>0.28668159999999998</v>
      </c>
      <c r="N44" s="160">
        <v>6.4536249999999997</v>
      </c>
      <c r="O44" s="160">
        <v>4.399375</v>
      </c>
      <c r="P44" s="160">
        <v>1.163151</v>
      </c>
      <c r="Q44" s="160">
        <v>2.8094030000000001</v>
      </c>
      <c r="R44" s="160">
        <v>4.7004799999999998</v>
      </c>
      <c r="S44" s="160">
        <v>8.9326670000000004</v>
      </c>
      <c r="T44" s="227">
        <v>-0.42038724</v>
      </c>
      <c r="U44" s="160">
        <v>0.30000000999999998</v>
      </c>
      <c r="V44" s="160">
        <v>1.8</v>
      </c>
      <c r="W44" s="160">
        <v>8664</v>
      </c>
      <c r="X44" s="160">
        <v>31.4</v>
      </c>
      <c r="Y44" s="160">
        <v>16.899999999999999</v>
      </c>
      <c r="Z44" s="160">
        <v>4.9362709999999996</v>
      </c>
      <c r="AA44" s="160">
        <v>2.4849070000000002</v>
      </c>
    </row>
    <row r="45" spans="1:27">
      <c r="A45">
        <v>4</v>
      </c>
      <c r="B45" t="s">
        <v>46</v>
      </c>
      <c r="C45" t="s">
        <v>45</v>
      </c>
      <c r="D45">
        <v>2020</v>
      </c>
      <c r="E45" s="161">
        <v>-101.833</v>
      </c>
      <c r="F45" s="162">
        <v>-26000000000</v>
      </c>
      <c r="G45" s="160">
        <v>0.5</v>
      </c>
      <c r="H45" s="161">
        <v>46.268700000000003</v>
      </c>
      <c r="I45" s="160">
        <v>66.820999999999998</v>
      </c>
      <c r="J45" s="160">
        <v>3.1090610000000001</v>
      </c>
      <c r="K45" s="160">
        <v>10.21799</v>
      </c>
      <c r="L45" s="160">
        <v>2.9736400000000001</v>
      </c>
      <c r="M45" s="160">
        <v>0.29154960000000002</v>
      </c>
      <c r="N45" s="160">
        <v>6.4281050000000004</v>
      </c>
      <c r="O45" s="160">
        <v>4.50976</v>
      </c>
      <c r="P45" s="160">
        <v>1.3350010000000001</v>
      </c>
      <c r="Q45" s="160">
        <v>2.197225</v>
      </c>
      <c r="R45" s="160">
        <v>4.5849679999999999</v>
      </c>
      <c r="S45" s="160">
        <v>8.9061839999999997</v>
      </c>
      <c r="T45" s="227">
        <v>-0.56686265000000002</v>
      </c>
      <c r="U45" s="160">
        <v>0.2</v>
      </c>
      <c r="V45" s="160">
        <v>1.7</v>
      </c>
      <c r="W45" s="160">
        <v>8348</v>
      </c>
      <c r="X45" s="160">
        <v>32.4</v>
      </c>
      <c r="Y45" s="160">
        <v>17</v>
      </c>
      <c r="Z45" s="160">
        <v>4.9483059999999996</v>
      </c>
      <c r="AA45" s="160">
        <v>2.7080500000000001</v>
      </c>
    </row>
    <row r="46" spans="1:27">
      <c r="A46">
        <v>5</v>
      </c>
      <c r="B46" t="s">
        <v>44</v>
      </c>
      <c r="C46" t="s">
        <v>43</v>
      </c>
      <c r="D46">
        <v>2010</v>
      </c>
      <c r="E46" s="161">
        <v>4.8150300000000001</v>
      </c>
      <c r="F46" s="162">
        <v>10000000000</v>
      </c>
      <c r="G46" s="160">
        <v>0.45</v>
      </c>
      <c r="H46" s="161">
        <v>122.95099999999999</v>
      </c>
      <c r="I46" s="160">
        <v>73.254999999999995</v>
      </c>
      <c r="J46" s="160">
        <v>3.0445229999999999</v>
      </c>
      <c r="K46" s="160">
        <v>9.7211200000000009</v>
      </c>
      <c r="L46" s="160">
        <v>2.8333309999999998</v>
      </c>
      <c r="M46" s="160">
        <v>-6.4005300000000001E-2</v>
      </c>
      <c r="N46" s="160">
        <v>5.6312119999999997</v>
      </c>
      <c r="O46" s="160">
        <v>4.4624540000000001</v>
      </c>
      <c r="P46" s="160">
        <v>1.6677070000000001</v>
      </c>
      <c r="Q46" s="160">
        <v>8.9139800000000005</v>
      </c>
      <c r="R46" s="160">
        <v>4.6051700000000002</v>
      </c>
      <c r="S46" s="160">
        <v>9.268796</v>
      </c>
      <c r="T46" s="227">
        <v>-0.31471071</v>
      </c>
      <c r="U46" s="160">
        <v>0.30000000999999998</v>
      </c>
      <c r="V46" s="160">
        <v>1.4</v>
      </c>
      <c r="W46" s="160">
        <v>114395</v>
      </c>
      <c r="X46" s="160">
        <v>29.3</v>
      </c>
      <c r="Y46" s="160">
        <v>15.8</v>
      </c>
      <c r="Z46" s="160">
        <v>4.9099009999999996</v>
      </c>
      <c r="AA46" s="160">
        <v>2.388763</v>
      </c>
    </row>
    <row r="47" spans="1:27">
      <c r="A47">
        <v>5</v>
      </c>
      <c r="B47" t="s">
        <v>44</v>
      </c>
      <c r="C47" t="s">
        <v>43</v>
      </c>
      <c r="D47">
        <v>2011</v>
      </c>
      <c r="E47" s="161">
        <v>1.8099400000000001</v>
      </c>
      <c r="F47" s="162">
        <v>4200000000</v>
      </c>
      <c r="G47" s="160">
        <v>0.45</v>
      </c>
      <c r="H47" s="161">
        <v>136.13800000000001</v>
      </c>
      <c r="I47" s="160">
        <v>73.185000000000002</v>
      </c>
      <c r="J47" s="160">
        <v>3.113515</v>
      </c>
      <c r="K47" s="160">
        <v>9.7366240000000008</v>
      </c>
      <c r="L47" s="160">
        <v>2.8490289999999998</v>
      </c>
      <c r="M47" s="160">
        <v>-0.10059410000000001</v>
      </c>
      <c r="N47" s="160">
        <v>5.6347889999999996</v>
      </c>
      <c r="O47" s="160">
        <v>4.4636069999999997</v>
      </c>
      <c r="P47" s="160">
        <v>1.686399</v>
      </c>
      <c r="Q47" s="160">
        <v>9.1971939999999996</v>
      </c>
      <c r="R47" s="160">
        <v>4.6151200000000001</v>
      </c>
      <c r="S47" s="160">
        <v>9.2233400000000003</v>
      </c>
      <c r="T47" s="227">
        <v>-0.86750059999999996</v>
      </c>
      <c r="U47" s="160">
        <v>0.30000000999999998</v>
      </c>
      <c r="V47" s="160">
        <v>1.4</v>
      </c>
      <c r="W47" s="160">
        <v>117602</v>
      </c>
      <c r="X47" s="160">
        <v>29.1</v>
      </c>
      <c r="Y47" s="160">
        <v>16.899999999999999</v>
      </c>
      <c r="Z47" s="160">
        <v>4.9119710000000003</v>
      </c>
      <c r="AA47" s="160">
        <v>2.501436</v>
      </c>
    </row>
    <row r="48" spans="1:27">
      <c r="A48">
        <v>5</v>
      </c>
      <c r="B48" t="s">
        <v>44</v>
      </c>
      <c r="C48" t="s">
        <v>43</v>
      </c>
      <c r="D48">
        <v>2012</v>
      </c>
      <c r="E48" s="161">
        <v>4.4842399999999998</v>
      </c>
      <c r="F48" s="162">
        <v>9400000000</v>
      </c>
      <c r="G48" s="160">
        <v>0.46</v>
      </c>
      <c r="H48" s="161">
        <v>141.875</v>
      </c>
      <c r="I48" s="160">
        <v>73.197000000000003</v>
      </c>
      <c r="J48" s="160">
        <v>3.1986729999999999</v>
      </c>
      <c r="K48" s="160">
        <v>9.7274899999999995</v>
      </c>
      <c r="L48" s="160">
        <v>2.7068500000000002</v>
      </c>
      <c r="M48" s="160">
        <v>8.9596999999999993E-3</v>
      </c>
      <c r="N48" s="160">
        <v>5.6312119999999997</v>
      </c>
      <c r="O48" s="160">
        <v>4.3894989999999998</v>
      </c>
      <c r="P48" s="160">
        <v>1.8405499999999999</v>
      </c>
      <c r="Q48" s="160">
        <v>9.1947700000000001</v>
      </c>
      <c r="R48" s="160">
        <v>4.553877</v>
      </c>
      <c r="S48" s="160">
        <v>9.2162640000000007</v>
      </c>
      <c r="T48" s="227">
        <v>-0.35667496999999998</v>
      </c>
      <c r="U48" s="160">
        <v>0.30000000999999998</v>
      </c>
      <c r="V48" s="160">
        <v>1.4</v>
      </c>
      <c r="W48" s="160">
        <v>119217</v>
      </c>
      <c r="X48" s="160">
        <v>29.9</v>
      </c>
      <c r="Y48" s="160">
        <v>23.2</v>
      </c>
      <c r="Z48" s="160">
        <v>4.9133680000000002</v>
      </c>
      <c r="AA48" s="160">
        <v>2.549445</v>
      </c>
    </row>
    <row r="49" spans="1:27">
      <c r="A49">
        <v>5</v>
      </c>
      <c r="B49" t="s">
        <v>44</v>
      </c>
      <c r="C49" t="s">
        <v>43</v>
      </c>
      <c r="D49">
        <v>2013</v>
      </c>
      <c r="E49" s="161">
        <v>3.4538700000000002</v>
      </c>
      <c r="F49" s="162">
        <v>7400000000</v>
      </c>
      <c r="G49" s="160">
        <v>0.48</v>
      </c>
      <c r="H49" s="161">
        <v>143.89599999999999</v>
      </c>
      <c r="I49" s="160">
        <v>73.290000000000006</v>
      </c>
      <c r="J49" s="160">
        <v>3.1780539999999999</v>
      </c>
      <c r="K49" s="160">
        <v>9.7267390000000002</v>
      </c>
      <c r="L49" s="160">
        <v>2.7287669999999999</v>
      </c>
      <c r="M49" s="160">
        <v>2.4204699999999999E-2</v>
      </c>
      <c r="N49" s="160">
        <v>5.6664269999999997</v>
      </c>
      <c r="O49" s="160">
        <v>4.5119579999999999</v>
      </c>
      <c r="P49" s="160">
        <v>1.902107</v>
      </c>
      <c r="Q49" s="160">
        <v>9.1808499999999995</v>
      </c>
      <c r="R49" s="160">
        <v>4.5325990000000003</v>
      </c>
      <c r="S49" s="160">
        <v>9.2112669999999994</v>
      </c>
      <c r="T49" s="227">
        <v>-0.40047753000000003</v>
      </c>
      <c r="U49" s="160">
        <v>0.30000000999999998</v>
      </c>
      <c r="V49" s="160">
        <v>1.4</v>
      </c>
      <c r="W49" s="160">
        <v>116448</v>
      </c>
      <c r="X49" s="160">
        <v>31.8</v>
      </c>
      <c r="Y49" s="160">
        <v>24.2</v>
      </c>
      <c r="Z49" s="160">
        <v>4.9138310000000001</v>
      </c>
      <c r="AA49" s="160">
        <v>2.6318890000000001</v>
      </c>
    </row>
    <row r="50" spans="1:27">
      <c r="A50">
        <v>5</v>
      </c>
      <c r="B50" t="s">
        <v>44</v>
      </c>
      <c r="C50" t="s">
        <v>43</v>
      </c>
      <c r="D50">
        <v>2014</v>
      </c>
      <c r="E50" s="161">
        <v>3.8351000000000002</v>
      </c>
      <c r="F50" s="162">
        <v>8100000000</v>
      </c>
      <c r="G50" s="160">
        <v>0.47</v>
      </c>
      <c r="H50" s="161">
        <v>156.11199999999999</v>
      </c>
      <c r="I50" s="160">
        <v>73.384</v>
      </c>
      <c r="J50" s="160">
        <v>3.1780539999999999</v>
      </c>
      <c r="K50" s="160">
        <v>9.7478859999999994</v>
      </c>
      <c r="L50" s="160">
        <v>2.7813629999999998</v>
      </c>
      <c r="M50" s="160">
        <v>1.2916199999999999E-2</v>
      </c>
      <c r="N50" s="160">
        <v>5.6937319999999998</v>
      </c>
      <c r="O50" s="160">
        <v>4.4485159999999997</v>
      </c>
      <c r="P50" s="160">
        <v>1.9169229999999999</v>
      </c>
      <c r="Q50" s="160">
        <v>9.3397799999999993</v>
      </c>
      <c r="R50" s="160">
        <v>4.5432949999999996</v>
      </c>
      <c r="S50" s="160">
        <v>9.2280270000000009</v>
      </c>
      <c r="T50" s="227">
        <v>-0.89159811</v>
      </c>
      <c r="U50" s="160">
        <v>0.30000000999999998</v>
      </c>
      <c r="V50" s="160">
        <v>1.4</v>
      </c>
      <c r="W50" s="160">
        <v>114863</v>
      </c>
      <c r="X50" s="160">
        <v>31.8</v>
      </c>
      <c r="Y50" s="160">
        <v>25.4</v>
      </c>
      <c r="Z50" s="160">
        <v>4.9148800000000001</v>
      </c>
      <c r="AA50" s="160">
        <v>2.6946270000000001</v>
      </c>
    </row>
    <row r="51" spans="1:27">
      <c r="A51">
        <v>5</v>
      </c>
      <c r="B51" t="s">
        <v>44</v>
      </c>
      <c r="C51" t="s">
        <v>43</v>
      </c>
      <c r="D51">
        <v>2015</v>
      </c>
      <c r="E51" s="161">
        <v>0.89891399999999999</v>
      </c>
      <c r="F51" s="162">
        <v>1700000000</v>
      </c>
      <c r="G51" s="160">
        <v>0.48</v>
      </c>
      <c r="H51" s="161">
        <v>158.239</v>
      </c>
      <c r="I51" s="160">
        <v>73.477000000000004</v>
      </c>
      <c r="J51" s="160">
        <v>3.2188759999999998</v>
      </c>
      <c r="K51" s="160">
        <v>9.7943200000000008</v>
      </c>
      <c r="L51" s="160">
        <v>2.8325070000000001</v>
      </c>
      <c r="M51" s="160">
        <v>1.98026E-2</v>
      </c>
      <c r="N51" s="160">
        <v>5.6835800000000001</v>
      </c>
      <c r="O51" s="160">
        <v>4.4127980000000004</v>
      </c>
      <c r="P51" s="160">
        <v>1.931521</v>
      </c>
      <c r="Q51" s="160">
        <v>9.3776659999999996</v>
      </c>
      <c r="R51" s="160">
        <v>4.5849679999999999</v>
      </c>
      <c r="S51" s="160">
        <v>9.2071690000000004</v>
      </c>
      <c r="T51" s="227">
        <v>-1.3862943999999999</v>
      </c>
      <c r="U51" s="160">
        <v>0.30000000999999998</v>
      </c>
      <c r="V51" s="160">
        <v>1.4</v>
      </c>
      <c r="W51" s="160">
        <v>117124</v>
      </c>
      <c r="X51" s="160">
        <v>33</v>
      </c>
      <c r="Y51" s="160">
        <v>29.7</v>
      </c>
      <c r="Z51" s="160">
        <v>4.916976</v>
      </c>
      <c r="AA51" s="160">
        <v>2.6946270000000001</v>
      </c>
    </row>
    <row r="52" spans="1:27">
      <c r="A52">
        <v>5</v>
      </c>
      <c r="B52" t="s">
        <v>44</v>
      </c>
      <c r="C52" t="s">
        <v>43</v>
      </c>
      <c r="D52">
        <v>2016</v>
      </c>
      <c r="E52" s="161">
        <v>5.4756600000000004</v>
      </c>
      <c r="F52" s="162">
        <v>11000000000</v>
      </c>
      <c r="G52" s="160">
        <v>0.47</v>
      </c>
      <c r="H52" s="161">
        <v>154.285</v>
      </c>
      <c r="I52" s="160">
        <v>73.569999999999993</v>
      </c>
      <c r="J52" s="160">
        <v>3.1738780000000002</v>
      </c>
      <c r="K52" s="160">
        <v>9.8178809999999999</v>
      </c>
      <c r="L52" s="160">
        <v>2.8146900000000001</v>
      </c>
      <c r="M52" s="160">
        <v>5.88348E-2</v>
      </c>
      <c r="N52" s="160">
        <v>5.7235849999999999</v>
      </c>
      <c r="O52" s="160">
        <v>4.4998100000000001</v>
      </c>
      <c r="P52" s="160">
        <v>2.0149029999999999</v>
      </c>
      <c r="Q52" s="160">
        <v>9.3710559999999994</v>
      </c>
      <c r="R52" s="160">
        <v>4.6249729999999998</v>
      </c>
      <c r="S52" s="160">
        <v>9.2121750000000002</v>
      </c>
      <c r="T52" s="227">
        <v>-1.7719568000000001</v>
      </c>
      <c r="U52" s="160">
        <v>0.30000000999999998</v>
      </c>
      <c r="V52" s="160">
        <v>1.4</v>
      </c>
      <c r="W52" s="160">
        <v>120738</v>
      </c>
      <c r="X52" s="160">
        <v>32.299999999999997</v>
      </c>
      <c r="Y52" s="160">
        <v>33.6</v>
      </c>
      <c r="Z52" s="160">
        <v>4.9188999999999998</v>
      </c>
      <c r="AA52" s="160">
        <v>2.6946270000000001</v>
      </c>
    </row>
    <row r="53" spans="1:27">
      <c r="A53">
        <v>5</v>
      </c>
      <c r="B53" t="s">
        <v>44</v>
      </c>
      <c r="C53" t="s">
        <v>43</v>
      </c>
      <c r="D53">
        <v>2017</v>
      </c>
      <c r="E53" s="161">
        <v>5.0706600000000002</v>
      </c>
      <c r="F53" s="162">
        <v>11000000000</v>
      </c>
      <c r="G53" s="160">
        <v>0.47</v>
      </c>
      <c r="H53" s="161">
        <v>155.934</v>
      </c>
      <c r="I53" s="160">
        <v>73.674999999999997</v>
      </c>
      <c r="J53" s="160">
        <v>3.2068029999999998</v>
      </c>
      <c r="K53" s="160">
        <v>9.8656659999999992</v>
      </c>
      <c r="L53" s="160">
        <v>2.8820039999999998</v>
      </c>
      <c r="M53" s="160">
        <v>9.4491699999999998E-2</v>
      </c>
      <c r="N53" s="160">
        <v>5.758902</v>
      </c>
      <c r="O53" s="160">
        <v>4.4647579999999998</v>
      </c>
      <c r="P53" s="160">
        <v>2.2082739999999998</v>
      </c>
      <c r="Q53" s="160">
        <v>9.3708089999999995</v>
      </c>
      <c r="R53" s="160">
        <v>4.6347290000000001</v>
      </c>
      <c r="S53" s="160">
        <v>9.1545450000000006</v>
      </c>
      <c r="T53" s="227">
        <v>-0.51082556999999995</v>
      </c>
      <c r="U53" s="160">
        <v>0.40000001000000002</v>
      </c>
      <c r="V53" s="160">
        <v>1.4</v>
      </c>
      <c r="W53" s="160">
        <v>120430</v>
      </c>
      <c r="X53" s="160">
        <v>32.9</v>
      </c>
      <c r="Y53" s="160">
        <v>32.1</v>
      </c>
      <c r="Z53" s="160">
        <v>4.9215559999999998</v>
      </c>
      <c r="AA53" s="160">
        <v>2.6741489999999999</v>
      </c>
    </row>
    <row r="54" spans="1:27">
      <c r="A54">
        <v>5</v>
      </c>
      <c r="B54" t="s">
        <v>44</v>
      </c>
      <c r="C54" t="s">
        <v>43</v>
      </c>
      <c r="D54">
        <v>2018</v>
      </c>
      <c r="E54" s="161">
        <v>3.3035399999999999</v>
      </c>
      <c r="F54" s="162">
        <v>8300000000</v>
      </c>
      <c r="G54" s="160">
        <v>0.47</v>
      </c>
      <c r="H54" s="161">
        <v>153.535</v>
      </c>
      <c r="I54" s="160">
        <v>73.792000000000002</v>
      </c>
      <c r="J54" s="160">
        <v>3.2068029999999998</v>
      </c>
      <c r="K54" s="160">
        <v>9.8902300000000007</v>
      </c>
      <c r="L54" s="160">
        <v>2.8808829999999999</v>
      </c>
      <c r="M54" s="160">
        <v>0.10634010000000001</v>
      </c>
      <c r="N54" s="160">
        <v>5.7620519999999997</v>
      </c>
      <c r="O54" s="160">
        <v>4.4391160000000003</v>
      </c>
      <c r="P54" s="160">
        <v>2.351375</v>
      </c>
      <c r="Q54" s="160">
        <v>9.3976159999999993</v>
      </c>
      <c r="R54" s="160">
        <v>4.6443909999999997</v>
      </c>
      <c r="S54" s="160">
        <v>9.0426040000000008</v>
      </c>
      <c r="T54" s="227">
        <v>-0.82098055000000003</v>
      </c>
      <c r="U54" s="160">
        <v>0.40000001000000002</v>
      </c>
      <c r="V54" s="160">
        <v>1.4</v>
      </c>
      <c r="W54" s="160">
        <v>120905</v>
      </c>
      <c r="X54" s="160">
        <v>32.799999999999997</v>
      </c>
      <c r="Y54" s="160">
        <v>32.200000000000003</v>
      </c>
      <c r="Z54" s="160">
        <v>4.9249029999999996</v>
      </c>
      <c r="AA54" s="160">
        <v>2.6878470000000001</v>
      </c>
    </row>
    <row r="55" spans="1:27">
      <c r="A55">
        <v>5</v>
      </c>
      <c r="B55" t="s">
        <v>44</v>
      </c>
      <c r="C55" t="s">
        <v>43</v>
      </c>
      <c r="D55">
        <v>2019</v>
      </c>
      <c r="E55" s="161">
        <v>4.1870599999999998</v>
      </c>
      <c r="F55" s="162">
        <v>11000000000</v>
      </c>
      <c r="G55" s="160">
        <v>0.33</v>
      </c>
      <c r="H55" s="161">
        <v>147.26499999999999</v>
      </c>
      <c r="I55" s="160">
        <v>73.921000000000006</v>
      </c>
      <c r="J55" s="160">
        <v>3.230804</v>
      </c>
      <c r="K55" s="160">
        <v>9.9213319999999996</v>
      </c>
      <c r="L55" s="160">
        <v>2.8527849999999999</v>
      </c>
      <c r="M55" s="160">
        <v>0.1322556</v>
      </c>
      <c r="N55" s="160">
        <v>5.7683210000000003</v>
      </c>
      <c r="O55" s="160">
        <v>4.528289</v>
      </c>
      <c r="P55" s="160">
        <v>2.3608539999999998</v>
      </c>
      <c r="Q55" s="160">
        <v>9.5395079999999997</v>
      </c>
      <c r="R55" s="160">
        <v>4.6634390000000003</v>
      </c>
      <c r="S55" s="160">
        <v>8.9165349999999997</v>
      </c>
      <c r="T55" s="227">
        <v>-0.11653383</v>
      </c>
      <c r="U55" s="160">
        <v>0.40000001000000002</v>
      </c>
      <c r="V55" s="160">
        <v>1.4</v>
      </c>
      <c r="W55" s="160">
        <v>125173</v>
      </c>
      <c r="X55" s="160">
        <v>32.700000000000003</v>
      </c>
      <c r="Y55" s="160">
        <v>33.299999999999997</v>
      </c>
      <c r="Z55" s="160">
        <v>4.9288970000000001</v>
      </c>
      <c r="AA55" s="160">
        <v>2.7663190000000002</v>
      </c>
    </row>
    <row r="56" spans="1:27">
      <c r="A56">
        <v>5</v>
      </c>
      <c r="B56" t="s">
        <v>44</v>
      </c>
      <c r="C56" t="s">
        <v>43</v>
      </c>
      <c r="D56">
        <v>2020</v>
      </c>
      <c r="E56" s="161">
        <v>3.39114</v>
      </c>
      <c r="F56" s="162">
        <v>8500000000</v>
      </c>
      <c r="G56" s="160">
        <v>0.32</v>
      </c>
      <c r="H56" s="161">
        <v>144.56299999999999</v>
      </c>
      <c r="I56" s="160">
        <v>74.061000000000007</v>
      </c>
      <c r="J56" s="160">
        <v>3.2464909999999998</v>
      </c>
      <c r="K56" s="160">
        <v>9.8643879999999999</v>
      </c>
      <c r="L56" s="160">
        <v>2.77521</v>
      </c>
      <c r="M56" s="160">
        <v>0.15460769999999999</v>
      </c>
      <c r="N56" s="160">
        <v>5.7301000000000002</v>
      </c>
      <c r="O56" s="160">
        <v>4.4863869999999997</v>
      </c>
      <c r="P56" s="160">
        <v>2.4423469999999998</v>
      </c>
      <c r="Q56" s="160">
        <v>9.4792210000000008</v>
      </c>
      <c r="R56" s="160">
        <v>4.6347290000000001</v>
      </c>
      <c r="S56" s="160">
        <v>8.7722490000000004</v>
      </c>
      <c r="T56" s="227">
        <v>-0.40047753000000003</v>
      </c>
      <c r="U56" s="160">
        <v>0.40000001000000002</v>
      </c>
      <c r="V56" s="160">
        <v>1.5</v>
      </c>
      <c r="W56" s="160">
        <v>123938</v>
      </c>
      <c r="X56" s="160">
        <v>31.1</v>
      </c>
      <c r="Y56" s="160">
        <v>40.5</v>
      </c>
      <c r="Z56" s="160">
        <v>4.931419</v>
      </c>
      <c r="AA56" s="160">
        <v>2.8332130000000002</v>
      </c>
    </row>
    <row r="57" spans="1:27">
      <c r="A57">
        <v>6</v>
      </c>
      <c r="B57" t="s">
        <v>42</v>
      </c>
      <c r="C57" t="s">
        <v>41</v>
      </c>
      <c r="D57">
        <v>2010</v>
      </c>
      <c r="E57" s="161">
        <v>2.4807899999999998</v>
      </c>
      <c r="F57" s="162">
        <v>86000000000</v>
      </c>
      <c r="G57" s="160">
        <v>0.74</v>
      </c>
      <c r="H57" s="161">
        <v>66.713800000000006</v>
      </c>
      <c r="I57" s="160">
        <v>76.965999999999994</v>
      </c>
      <c r="J57" s="160">
        <v>3.3672960000000001</v>
      </c>
      <c r="K57" s="160">
        <v>10.558870000000001</v>
      </c>
      <c r="L57" s="160">
        <v>2.7343030000000002</v>
      </c>
      <c r="M57" s="160">
        <v>0.80923990000000001</v>
      </c>
      <c r="N57" s="160">
        <v>6.464588</v>
      </c>
      <c r="O57" s="160">
        <v>4.4164279999999998</v>
      </c>
      <c r="P57" s="160">
        <v>2.4159139999999999</v>
      </c>
      <c r="Q57" s="160">
        <v>8.8648030000000002</v>
      </c>
      <c r="R57" s="160">
        <v>4.6051700000000002</v>
      </c>
      <c r="S57" s="160">
        <v>9.1883730000000003</v>
      </c>
      <c r="T57" s="227">
        <v>0.12221762999999999</v>
      </c>
      <c r="U57" s="160">
        <v>0.69999999000000002</v>
      </c>
      <c r="V57" s="160">
        <v>1.7</v>
      </c>
      <c r="W57" s="160">
        <v>583392</v>
      </c>
      <c r="X57" s="160">
        <v>38</v>
      </c>
      <c r="Y57" s="160">
        <v>62.5</v>
      </c>
      <c r="Z57" s="160">
        <v>5.4579120000000003</v>
      </c>
      <c r="AA57" s="160">
        <v>2.4510049999999999</v>
      </c>
    </row>
    <row r="58" spans="1:27">
      <c r="A58">
        <v>6</v>
      </c>
      <c r="B58" t="s">
        <v>42</v>
      </c>
      <c r="C58" t="s">
        <v>41</v>
      </c>
      <c r="D58">
        <v>2011</v>
      </c>
      <c r="E58" s="161">
        <v>2.5500600000000002</v>
      </c>
      <c r="F58" s="162">
        <v>98000000000</v>
      </c>
      <c r="G58" s="160">
        <v>0.72</v>
      </c>
      <c r="H58" s="161">
        <v>71.345799999999997</v>
      </c>
      <c r="I58" s="160">
        <v>77.16</v>
      </c>
      <c r="J58" s="160">
        <v>3.4011969999999998</v>
      </c>
      <c r="K58" s="160">
        <v>10.6143</v>
      </c>
      <c r="M58" s="160">
        <v>0.78243929999999995</v>
      </c>
      <c r="N58" s="160">
        <v>6.4488890000000003</v>
      </c>
      <c r="O58" s="160">
        <v>4.4296259999999998</v>
      </c>
      <c r="P58" s="160">
        <v>2.3608539999999998</v>
      </c>
      <c r="Q58" s="160">
        <v>9.1031340000000007</v>
      </c>
      <c r="R58" s="160">
        <v>4.6249729999999998</v>
      </c>
      <c r="S58" s="160">
        <v>9.1976080000000007</v>
      </c>
      <c r="T58" s="227">
        <v>0.31481074999999997</v>
      </c>
      <c r="U58" s="160">
        <v>0.59999999000000004</v>
      </c>
      <c r="V58" s="160">
        <v>1.7</v>
      </c>
      <c r="W58" s="160">
        <v>596629</v>
      </c>
      <c r="X58" s="160">
        <v>37.1</v>
      </c>
      <c r="Y58" s="160">
        <v>63</v>
      </c>
      <c r="Z58" s="160">
        <v>5.4394039999999997</v>
      </c>
      <c r="AA58" s="160">
        <v>2.5257290000000001</v>
      </c>
    </row>
    <row r="59" spans="1:27">
      <c r="A59">
        <v>6</v>
      </c>
      <c r="B59" t="s">
        <v>42</v>
      </c>
      <c r="C59" t="s">
        <v>41</v>
      </c>
      <c r="D59">
        <v>2012</v>
      </c>
      <c r="E59" s="161">
        <v>1.8189299999999999</v>
      </c>
      <c r="F59" s="162">
        <v>65000000000</v>
      </c>
      <c r="G59" s="160">
        <v>0.74</v>
      </c>
      <c r="H59" s="161">
        <v>71.040499999999994</v>
      </c>
      <c r="I59" s="160">
        <v>77.17</v>
      </c>
      <c r="J59" s="160">
        <v>3.4499879999999998</v>
      </c>
      <c r="K59" s="160">
        <v>10.617150000000001</v>
      </c>
      <c r="L59" s="160">
        <v>2.7730260000000002</v>
      </c>
      <c r="M59" s="160">
        <v>0.82189210000000001</v>
      </c>
      <c r="N59" s="160">
        <v>6.461468</v>
      </c>
      <c r="O59" s="160">
        <v>4.4248469999999998</v>
      </c>
      <c r="P59" s="160">
        <v>2.3978950000000001</v>
      </c>
      <c r="Q59" s="160">
        <v>9.2720380000000002</v>
      </c>
      <c r="R59" s="160">
        <v>4.6347290000000001</v>
      </c>
      <c r="S59" s="160">
        <v>9.1400760000000005</v>
      </c>
      <c r="T59" s="227">
        <v>0.13102825000000001</v>
      </c>
      <c r="U59" s="160">
        <v>0.5</v>
      </c>
      <c r="V59" s="160">
        <v>1.7</v>
      </c>
      <c r="W59" s="160">
        <v>617452</v>
      </c>
      <c r="X59" s="160">
        <v>36.799999999999997</v>
      </c>
      <c r="Y59" s="160">
        <v>65.2</v>
      </c>
      <c r="Z59" s="160">
        <v>5.4413390000000001</v>
      </c>
      <c r="AA59" s="160">
        <v>2.6100699999999999</v>
      </c>
    </row>
    <row r="60" spans="1:27">
      <c r="A60">
        <v>6</v>
      </c>
      <c r="B60" t="s">
        <v>42</v>
      </c>
      <c r="C60" t="s">
        <v>41</v>
      </c>
      <c r="D60">
        <v>2013</v>
      </c>
      <c r="E60" s="161">
        <v>1.7646599999999999</v>
      </c>
      <c r="F60" s="162">
        <v>67000000000</v>
      </c>
      <c r="G60" s="160">
        <v>0.72</v>
      </c>
      <c r="H60" s="161">
        <v>68.966399999999993</v>
      </c>
      <c r="I60" s="160">
        <v>77.180000000000007</v>
      </c>
      <c r="J60" s="160">
        <v>3.4499879999999998</v>
      </c>
      <c r="K60" s="160">
        <v>10.618270000000001</v>
      </c>
      <c r="L60" s="160">
        <v>2.769396</v>
      </c>
      <c r="M60" s="160">
        <v>0.82579689999999994</v>
      </c>
      <c r="N60" s="160">
        <v>6.3985950000000003</v>
      </c>
      <c r="O60" s="160">
        <v>4.4164279999999998</v>
      </c>
      <c r="P60" s="160">
        <v>2.4069449999999999</v>
      </c>
      <c r="Q60" s="160">
        <v>9.4324999999999992</v>
      </c>
      <c r="R60" s="160">
        <v>4.6443909999999997</v>
      </c>
      <c r="S60" s="160">
        <v>9.1364839999999994</v>
      </c>
      <c r="T60" s="227">
        <v>6.7658700000000002E-2</v>
      </c>
      <c r="U60" s="160">
        <v>0.40000001000000002</v>
      </c>
      <c r="V60" s="160">
        <v>1.7</v>
      </c>
      <c r="W60" s="160">
        <v>611082</v>
      </c>
      <c r="X60" s="160">
        <v>37.9</v>
      </c>
      <c r="Y60" s="160">
        <v>63.8</v>
      </c>
      <c r="Z60" s="160">
        <v>5.4430930000000002</v>
      </c>
      <c r="AA60" s="160">
        <v>2.6100699999999999</v>
      </c>
    </row>
    <row r="61" spans="1:27">
      <c r="A61">
        <v>6</v>
      </c>
      <c r="B61" t="s">
        <v>42</v>
      </c>
      <c r="C61" t="s">
        <v>41</v>
      </c>
      <c r="D61">
        <v>2014</v>
      </c>
      <c r="E61" s="161">
        <v>0.43765999999999999</v>
      </c>
      <c r="F61" s="162">
        <v>17000000000</v>
      </c>
      <c r="G61" s="160">
        <v>0.72</v>
      </c>
      <c r="H61" s="161">
        <v>68.117599999999996</v>
      </c>
      <c r="I61" s="160">
        <v>77.19</v>
      </c>
      <c r="J61" s="160">
        <v>3.4177270000000002</v>
      </c>
      <c r="K61" s="160">
        <v>10.63557</v>
      </c>
      <c r="L61" s="160">
        <v>2.7762690000000001</v>
      </c>
      <c r="M61" s="160">
        <v>0.83828599999999998</v>
      </c>
      <c r="N61" s="160">
        <v>6.3750249999999999</v>
      </c>
      <c r="O61" s="160">
        <v>4.4331950000000004</v>
      </c>
      <c r="P61" s="160">
        <v>2.4159139999999999</v>
      </c>
      <c r="Q61" s="160">
        <v>9.5119620000000005</v>
      </c>
      <c r="R61" s="160">
        <v>4.6728290000000001</v>
      </c>
      <c r="S61" s="160">
        <v>9.1146349999999998</v>
      </c>
      <c r="T61" s="227">
        <v>0.10436003000000001</v>
      </c>
      <c r="U61" s="160">
        <v>0.5</v>
      </c>
      <c r="V61" s="160">
        <v>1.8</v>
      </c>
      <c r="W61" s="160">
        <v>657563</v>
      </c>
      <c r="X61" s="160">
        <v>38</v>
      </c>
      <c r="Y61" s="160">
        <v>65.599999999999994</v>
      </c>
      <c r="Z61" s="160">
        <v>5.447203</v>
      </c>
      <c r="AA61" s="160">
        <v>2.6390570000000002</v>
      </c>
    </row>
    <row r="62" spans="1:27">
      <c r="A62">
        <v>6</v>
      </c>
      <c r="B62" t="s">
        <v>42</v>
      </c>
      <c r="C62" t="s">
        <v>41</v>
      </c>
      <c r="D62">
        <v>2015</v>
      </c>
      <c r="E62" s="161">
        <v>1.82321</v>
      </c>
      <c r="F62" s="162">
        <v>62000000000</v>
      </c>
      <c r="G62" s="160">
        <v>0.74</v>
      </c>
      <c r="H62" s="161">
        <v>69.440399999999997</v>
      </c>
      <c r="I62" s="160">
        <v>77.2</v>
      </c>
      <c r="J62" s="160">
        <v>3.4563169999999999</v>
      </c>
      <c r="K62" s="160">
        <v>10.6433</v>
      </c>
      <c r="L62" s="160">
        <v>2.728898</v>
      </c>
      <c r="M62" s="160">
        <v>0.88480000000000003</v>
      </c>
      <c r="N62" s="160">
        <v>6.3368260000000003</v>
      </c>
      <c r="O62" s="160">
        <v>4.3732379999999997</v>
      </c>
      <c r="P62" s="160">
        <v>2.4510049999999999</v>
      </c>
      <c r="Q62" s="160">
        <v>9.6989269999999994</v>
      </c>
      <c r="R62" s="160">
        <v>4.6728290000000001</v>
      </c>
      <c r="S62" s="160">
        <v>9.0982439999999993</v>
      </c>
      <c r="T62" s="227">
        <v>9.5310199999999998E-2</v>
      </c>
      <c r="U62" s="160">
        <v>0.5</v>
      </c>
      <c r="V62" s="160">
        <v>1.9</v>
      </c>
      <c r="W62" s="160">
        <v>651777</v>
      </c>
      <c r="X62" s="160">
        <v>40</v>
      </c>
      <c r="Y62" s="160">
        <v>66.7</v>
      </c>
      <c r="Z62" s="160">
        <v>5.4559749999999996</v>
      </c>
      <c r="AA62" s="160">
        <v>2.6810209999999999</v>
      </c>
    </row>
    <row r="63" spans="1:27">
      <c r="A63">
        <v>6</v>
      </c>
      <c r="B63" t="s">
        <v>42</v>
      </c>
      <c r="C63" t="s">
        <v>41</v>
      </c>
      <c r="D63">
        <v>2016</v>
      </c>
      <c r="E63" s="161">
        <v>1.6432</v>
      </c>
      <c r="F63" s="162">
        <v>58000000000</v>
      </c>
      <c r="G63" s="160">
        <v>0.69</v>
      </c>
      <c r="H63" s="161">
        <v>67.547399999999996</v>
      </c>
      <c r="I63" s="160">
        <v>77.224000000000004</v>
      </c>
      <c r="J63" s="160">
        <v>3.4242629999999998</v>
      </c>
      <c r="K63" s="160">
        <v>10.657920000000001</v>
      </c>
      <c r="L63" s="160">
        <v>2.7514289999999999</v>
      </c>
      <c r="M63" s="160">
        <v>0.89469929999999998</v>
      </c>
      <c r="N63" s="160">
        <v>6.3350540000000004</v>
      </c>
      <c r="O63" s="160">
        <v>4.4624540000000001</v>
      </c>
      <c r="P63" s="160">
        <v>2.4681000000000002</v>
      </c>
      <c r="Q63" s="160">
        <v>9.7990539999999999</v>
      </c>
      <c r="R63" s="160">
        <v>4.7004799999999998</v>
      </c>
      <c r="S63" s="160">
        <v>9.061102</v>
      </c>
      <c r="T63" s="227">
        <v>0</v>
      </c>
      <c r="U63" s="160">
        <v>0.5</v>
      </c>
      <c r="V63" s="160">
        <v>1.9</v>
      </c>
      <c r="W63" s="160">
        <v>677723</v>
      </c>
      <c r="X63" s="160">
        <v>40</v>
      </c>
      <c r="Y63" s="160">
        <v>67.099999999999994</v>
      </c>
      <c r="Z63" s="160">
        <v>5.4626150000000004</v>
      </c>
      <c r="AA63" s="160">
        <v>2.6532420000000001</v>
      </c>
    </row>
    <row r="64" spans="1:27">
      <c r="A64">
        <v>6</v>
      </c>
      <c r="B64" t="s">
        <v>42</v>
      </c>
      <c r="C64" t="s">
        <v>41</v>
      </c>
      <c r="D64">
        <v>2017</v>
      </c>
      <c r="E64" s="161">
        <v>2.8908800000000001</v>
      </c>
      <c r="F64" s="162">
        <v>110000000000</v>
      </c>
      <c r="G64" s="160">
        <v>0.68</v>
      </c>
      <c r="H64" s="161">
        <v>69.387</v>
      </c>
      <c r="I64" s="160">
        <v>77.260999999999996</v>
      </c>
      <c r="J64" s="160">
        <v>3.4436179999999998</v>
      </c>
      <c r="K64" s="160">
        <v>10.68098</v>
      </c>
      <c r="L64" s="160">
        <v>2.7781359999999999</v>
      </c>
      <c r="M64" s="160">
        <v>0.90729040000000005</v>
      </c>
      <c r="N64" s="160">
        <v>6.3664699999999996</v>
      </c>
      <c r="O64" s="160">
        <v>4.4520189999999999</v>
      </c>
      <c r="P64" s="160">
        <v>2.4510049999999999</v>
      </c>
      <c r="Q64" s="160">
        <v>9.6635860000000005</v>
      </c>
      <c r="R64" s="160">
        <v>4.7004799999999998</v>
      </c>
      <c r="S64" s="160">
        <v>8.9603359999999999</v>
      </c>
      <c r="T64" s="227">
        <v>-0.15082287999999999</v>
      </c>
      <c r="U64" s="160">
        <v>0.89999998000000003</v>
      </c>
      <c r="V64" s="160">
        <v>2.0999998999999998</v>
      </c>
      <c r="W64" s="160">
        <v>700179</v>
      </c>
      <c r="X64" s="160">
        <v>39.1</v>
      </c>
      <c r="Y64" s="160">
        <v>67.2</v>
      </c>
      <c r="Z64" s="160">
        <v>5.4663240000000002</v>
      </c>
      <c r="AA64" s="160">
        <v>2.721295</v>
      </c>
    </row>
    <row r="65" spans="1:27">
      <c r="A65">
        <v>6</v>
      </c>
      <c r="B65" t="s">
        <v>42</v>
      </c>
      <c r="C65" t="s">
        <v>41</v>
      </c>
      <c r="D65">
        <v>2018</v>
      </c>
      <c r="E65" s="161">
        <v>4.0042099999999996</v>
      </c>
      <c r="F65" s="162">
        <v>160000000000</v>
      </c>
      <c r="G65" s="160">
        <v>0.7</v>
      </c>
      <c r="H65" s="161">
        <v>70.209400000000002</v>
      </c>
      <c r="I65" s="160">
        <v>77.311999999999998</v>
      </c>
      <c r="J65" s="160">
        <v>3.4499879999999998</v>
      </c>
      <c r="K65" s="160">
        <v>10.689080000000001</v>
      </c>
      <c r="L65" s="160">
        <v>2.785628</v>
      </c>
      <c r="M65" s="160">
        <v>0.95038290000000003</v>
      </c>
      <c r="N65" s="160">
        <v>6.3784260000000002</v>
      </c>
      <c r="O65" s="160">
        <v>4.4496849999999997</v>
      </c>
      <c r="P65" s="160">
        <v>2.4849070000000002</v>
      </c>
      <c r="Q65" s="160">
        <v>9.8480170000000005</v>
      </c>
      <c r="R65" s="160">
        <v>4.7184990000000004</v>
      </c>
      <c r="S65" s="160">
        <v>8.8372060000000001</v>
      </c>
      <c r="T65" s="227">
        <v>1.9802609999999998E-2</v>
      </c>
      <c r="U65" s="160">
        <v>1</v>
      </c>
      <c r="V65" s="160">
        <v>2.2000000000000002</v>
      </c>
      <c r="W65" s="160">
        <v>744774</v>
      </c>
      <c r="X65" s="160">
        <v>40</v>
      </c>
      <c r="Y65" s="160">
        <v>67.099999999999994</v>
      </c>
      <c r="Z65" s="160">
        <v>5.4692999999999996</v>
      </c>
      <c r="AA65" s="160">
        <v>2.772589</v>
      </c>
    </row>
    <row r="66" spans="1:27">
      <c r="A66">
        <v>6</v>
      </c>
      <c r="B66" t="s">
        <v>42</v>
      </c>
      <c r="C66" t="s">
        <v>41</v>
      </c>
      <c r="D66">
        <v>2019</v>
      </c>
      <c r="E66" s="161">
        <v>1.90699</v>
      </c>
      <c r="F66" s="162">
        <v>75000000000</v>
      </c>
      <c r="G66" s="160">
        <v>0.67</v>
      </c>
      <c r="H66" s="161">
        <v>68.820999999999998</v>
      </c>
      <c r="I66" s="160">
        <v>77.376000000000005</v>
      </c>
      <c r="J66" s="160">
        <v>3.4719669999999998</v>
      </c>
      <c r="K66" s="160">
        <v>10.69665</v>
      </c>
      <c r="L66" s="160">
        <v>2.7714629999999998</v>
      </c>
      <c r="M66" s="160">
        <v>0.99528669999999997</v>
      </c>
      <c r="N66" s="160">
        <v>6.3835069999999998</v>
      </c>
      <c r="O66" s="160">
        <v>4.4473459999999996</v>
      </c>
      <c r="P66" s="160">
        <v>2.5176959999999999</v>
      </c>
      <c r="Q66" s="160">
        <v>9.7952840000000005</v>
      </c>
      <c r="R66" s="160">
        <v>4.7273880000000004</v>
      </c>
      <c r="S66" s="160">
        <v>9.6534960000000005</v>
      </c>
      <c r="T66" s="227">
        <v>0.22314355</v>
      </c>
      <c r="U66" s="160">
        <v>0.80000000999999998</v>
      </c>
      <c r="V66" s="160">
        <v>2.2999999999999998</v>
      </c>
      <c r="W66" s="160">
        <v>739622</v>
      </c>
      <c r="X66" s="160">
        <v>41.4</v>
      </c>
      <c r="Y66" s="160">
        <v>66.7</v>
      </c>
      <c r="Z66" s="160">
        <v>5.471527</v>
      </c>
      <c r="AA66" s="160">
        <v>2.8390780000000002</v>
      </c>
    </row>
    <row r="67" spans="1:27">
      <c r="A67">
        <v>6</v>
      </c>
      <c r="B67" t="s">
        <v>42</v>
      </c>
      <c r="C67" t="s">
        <v>41</v>
      </c>
      <c r="D67">
        <v>2020</v>
      </c>
      <c r="E67" s="161">
        <v>4.4866700000000002</v>
      </c>
      <c r="F67" s="162">
        <v>180000000000</v>
      </c>
      <c r="G67" s="160">
        <v>0.71</v>
      </c>
      <c r="H67" s="161">
        <v>64.828000000000003</v>
      </c>
      <c r="I67" s="160">
        <v>77.453000000000003</v>
      </c>
      <c r="J67" s="160">
        <v>3.4904280000000001</v>
      </c>
      <c r="K67" s="160">
        <v>10.654019999999999</v>
      </c>
      <c r="L67" s="160">
        <v>2.7259549999999999</v>
      </c>
      <c r="M67" s="160">
        <v>0.98730819999999997</v>
      </c>
      <c r="N67" s="160">
        <v>6.400258</v>
      </c>
      <c r="O67" s="160">
        <v>4.4624540000000001</v>
      </c>
      <c r="P67" s="160">
        <v>2.549445</v>
      </c>
      <c r="Q67" s="160">
        <v>9.9187560000000001</v>
      </c>
      <c r="R67" s="160">
        <v>4.70953</v>
      </c>
      <c r="S67" s="160">
        <v>9.6561570000000003</v>
      </c>
      <c r="T67" s="227">
        <v>-0.59783697000000002</v>
      </c>
      <c r="U67" s="160">
        <v>0.89999998000000003</v>
      </c>
      <c r="V67" s="160">
        <v>2.2999999999999998</v>
      </c>
      <c r="W67" s="160">
        <v>764770</v>
      </c>
      <c r="X67" s="160">
        <v>39.700000000000003</v>
      </c>
      <c r="Y67" s="160">
        <v>70.3</v>
      </c>
      <c r="Z67" s="160">
        <v>5.4723420000000003</v>
      </c>
      <c r="AA67" s="160">
        <v>2.9177710000000001</v>
      </c>
    </row>
    <row r="68" spans="1:27">
      <c r="A68">
        <v>7</v>
      </c>
      <c r="B68" t="s">
        <v>40</v>
      </c>
      <c r="C68" t="s">
        <v>39</v>
      </c>
      <c r="D68">
        <v>2010</v>
      </c>
      <c r="E68" s="161">
        <v>-3.6507000000000001</v>
      </c>
      <c r="F68" s="162">
        <v>-12000000000</v>
      </c>
      <c r="G68" s="160">
        <v>0.74</v>
      </c>
      <c r="H68" s="161">
        <v>55.683100000000003</v>
      </c>
      <c r="I68" s="160">
        <v>86.795000000000002</v>
      </c>
      <c r="J68" s="160">
        <v>3.3843899999999998</v>
      </c>
      <c r="K68" s="160">
        <v>10.843680000000001</v>
      </c>
      <c r="L68" s="160">
        <v>2.8987259999999999</v>
      </c>
      <c r="M68" s="160">
        <v>0.77790179999999998</v>
      </c>
      <c r="N68" s="160">
        <v>6.4785089999999999</v>
      </c>
      <c r="O68" s="160">
        <v>4.4248469999999998</v>
      </c>
      <c r="P68" s="160">
        <v>2.0794419999999998</v>
      </c>
      <c r="Q68" s="160">
        <v>7.6312379999999997</v>
      </c>
      <c r="R68" s="160">
        <v>4.6051700000000002</v>
      </c>
      <c r="S68" s="160">
        <v>9.6425149999999995</v>
      </c>
      <c r="T68" s="227">
        <v>-2.8134108000000002</v>
      </c>
      <c r="U68" s="160">
        <v>1.0999999</v>
      </c>
      <c r="V68" s="160">
        <v>1.7</v>
      </c>
      <c r="W68" s="160">
        <v>33681</v>
      </c>
      <c r="X68" s="160">
        <v>35.200000000000003</v>
      </c>
      <c r="Y68" s="160">
        <v>42.3</v>
      </c>
      <c r="Z68" s="160">
        <v>4.9322559999999998</v>
      </c>
      <c r="AA68" s="160">
        <v>3.054001</v>
      </c>
    </row>
    <row r="69" spans="1:27">
      <c r="A69">
        <v>7</v>
      </c>
      <c r="B69" t="s">
        <v>40</v>
      </c>
      <c r="C69" t="s">
        <v>39</v>
      </c>
      <c r="D69">
        <v>2011</v>
      </c>
      <c r="E69" s="161">
        <v>3.9379300000000002</v>
      </c>
      <c r="F69" s="162">
        <v>14000000000</v>
      </c>
      <c r="G69" s="160">
        <v>0.69</v>
      </c>
      <c r="H69" s="161">
        <v>60.272300000000001</v>
      </c>
      <c r="I69" s="160">
        <v>86.956999999999994</v>
      </c>
      <c r="J69" s="160">
        <v>3.4177270000000002</v>
      </c>
      <c r="K69" s="160">
        <v>10.85258</v>
      </c>
      <c r="L69" s="160">
        <v>3.0585659999999999</v>
      </c>
      <c r="M69" s="160">
        <v>0.68254110000000001</v>
      </c>
      <c r="N69" s="160">
        <v>6.4068800000000001</v>
      </c>
      <c r="O69" s="160">
        <v>4.5217890000000001</v>
      </c>
      <c r="P69" s="160">
        <v>1.94591</v>
      </c>
      <c r="Q69" s="160">
        <v>7.8840120000000002</v>
      </c>
      <c r="R69" s="160">
        <v>4.6249729999999998</v>
      </c>
      <c r="S69" s="160">
        <v>9.6166590000000003</v>
      </c>
      <c r="T69" s="227">
        <v>-0.10536055</v>
      </c>
      <c r="U69" s="160">
        <v>0.99999994000000003</v>
      </c>
      <c r="V69" s="160">
        <v>1.7</v>
      </c>
      <c r="W69" s="160">
        <v>34410</v>
      </c>
      <c r="X69" s="160">
        <v>36</v>
      </c>
      <c r="Y69" s="160">
        <v>42.4</v>
      </c>
      <c r="Z69" s="160">
        <v>4.9363710000000003</v>
      </c>
      <c r="AA69" s="160">
        <v>3.169686</v>
      </c>
    </row>
    <row r="70" spans="1:27">
      <c r="A70">
        <v>7</v>
      </c>
      <c r="B70" t="s">
        <v>40</v>
      </c>
      <c r="C70" t="s">
        <v>39</v>
      </c>
      <c r="D70">
        <v>2012</v>
      </c>
      <c r="E70" s="161">
        <v>-5.00312</v>
      </c>
      <c r="F70" s="162">
        <v>-16000000000</v>
      </c>
      <c r="G70" s="160">
        <v>0.72</v>
      </c>
      <c r="H70" s="161">
        <v>60.403500000000001</v>
      </c>
      <c r="I70" s="160">
        <v>87.141999999999996</v>
      </c>
      <c r="J70" s="160">
        <v>3.4657360000000001</v>
      </c>
      <c r="K70" s="160">
        <v>10.84877</v>
      </c>
      <c r="L70" s="160">
        <v>3.1171090000000001</v>
      </c>
      <c r="M70" s="160">
        <v>0.67854099999999995</v>
      </c>
      <c r="N70" s="160">
        <v>6.4982819999999997</v>
      </c>
      <c r="O70" s="160">
        <v>4.4355669999999998</v>
      </c>
      <c r="P70" s="160">
        <v>1.856298</v>
      </c>
      <c r="Q70" s="160">
        <v>7.783099</v>
      </c>
      <c r="R70" s="160">
        <v>4.6634390000000003</v>
      </c>
      <c r="S70" s="160">
        <v>9.547777</v>
      </c>
      <c r="T70" s="227">
        <v>-0.26136479000000001</v>
      </c>
      <c r="U70" s="160">
        <v>0.89999998000000003</v>
      </c>
      <c r="V70" s="160">
        <v>1.7</v>
      </c>
      <c r="W70" s="160">
        <v>33009</v>
      </c>
      <c r="X70" s="160">
        <v>34.799999999999997</v>
      </c>
      <c r="Y70" s="160">
        <v>42.5</v>
      </c>
      <c r="Z70" s="160">
        <v>4.9401339999999996</v>
      </c>
      <c r="AA70" s="160">
        <v>3.2921260000000001</v>
      </c>
    </row>
    <row r="71" spans="1:27">
      <c r="A71">
        <v>7</v>
      </c>
      <c r="B71" t="s">
        <v>40</v>
      </c>
      <c r="C71" t="s">
        <v>39</v>
      </c>
      <c r="D71">
        <v>2013</v>
      </c>
      <c r="E71" s="161">
        <v>0.197411</v>
      </c>
      <c r="F71" s="162">
        <v>680000000</v>
      </c>
      <c r="G71" s="160">
        <v>0.72</v>
      </c>
      <c r="H71" s="161">
        <v>60.440600000000003</v>
      </c>
      <c r="I71" s="160">
        <v>87.292000000000002</v>
      </c>
      <c r="J71" s="160">
        <v>3.4657360000000001</v>
      </c>
      <c r="K71" s="160">
        <v>10.85843</v>
      </c>
      <c r="L71" s="160">
        <v>3.0617540000000001</v>
      </c>
      <c r="M71" s="160">
        <v>0.74962200000000001</v>
      </c>
      <c r="N71" s="160">
        <v>6.4876839999999998</v>
      </c>
      <c r="O71" s="160">
        <v>4.4140100000000002</v>
      </c>
      <c r="P71" s="160">
        <v>2.04122</v>
      </c>
      <c r="Q71" s="160">
        <v>7.5026830000000002</v>
      </c>
      <c r="R71" s="160">
        <v>4.6443909999999997</v>
      </c>
      <c r="S71" s="160">
        <v>9.5828100000000003</v>
      </c>
      <c r="T71" s="227">
        <v>0.21511139000000001</v>
      </c>
      <c r="U71" s="160">
        <v>0.80000000999999998</v>
      </c>
      <c r="V71" s="160">
        <v>1.7</v>
      </c>
      <c r="W71" s="160">
        <v>32705</v>
      </c>
      <c r="X71" s="160">
        <v>38.799999999999997</v>
      </c>
      <c r="Y71" s="160">
        <v>43.3</v>
      </c>
      <c r="Z71" s="160">
        <v>4.9443029999999997</v>
      </c>
      <c r="AA71" s="160">
        <v>3.2958370000000001</v>
      </c>
    </row>
    <row r="72" spans="1:27">
      <c r="A72">
        <v>7</v>
      </c>
      <c r="B72" t="s">
        <v>40</v>
      </c>
      <c r="C72" t="s">
        <v>39</v>
      </c>
      <c r="D72">
        <v>2014</v>
      </c>
      <c r="E72" s="161">
        <v>1.86416</v>
      </c>
      <c r="F72" s="162">
        <v>6600000000</v>
      </c>
      <c r="G72" s="160">
        <v>0.7</v>
      </c>
      <c r="H72" s="161">
        <v>59.8202</v>
      </c>
      <c r="I72" s="160">
        <v>87.41</v>
      </c>
      <c r="J72" s="160">
        <v>3.4436179999999998</v>
      </c>
      <c r="K72" s="160">
        <v>10.866059999999999</v>
      </c>
      <c r="L72" s="160">
        <v>3.0505990000000001</v>
      </c>
      <c r="M72" s="160">
        <v>0.75748249999999995</v>
      </c>
      <c r="N72" s="160">
        <v>6.4982819999999997</v>
      </c>
      <c r="O72" s="160">
        <v>4.4188400000000003</v>
      </c>
      <c r="P72" s="160">
        <v>2.197225</v>
      </c>
      <c r="Q72" s="160">
        <v>7.8538769999999998</v>
      </c>
      <c r="R72" s="160">
        <v>4.70953</v>
      </c>
      <c r="S72" s="160">
        <v>9.638522</v>
      </c>
      <c r="T72" s="227">
        <v>0.57661337000000001</v>
      </c>
      <c r="U72" s="160">
        <v>1</v>
      </c>
      <c r="V72" s="160">
        <v>1.7</v>
      </c>
      <c r="W72" s="160">
        <v>33351</v>
      </c>
      <c r="X72" s="160">
        <v>37.1</v>
      </c>
      <c r="Y72" s="160">
        <v>45.4</v>
      </c>
      <c r="Z72" s="160">
        <v>4.9493770000000001</v>
      </c>
      <c r="AA72" s="160">
        <v>3.407842</v>
      </c>
    </row>
    <row r="73" spans="1:27">
      <c r="A73">
        <v>7</v>
      </c>
      <c r="B73" t="s">
        <v>40</v>
      </c>
      <c r="C73" t="s">
        <v>39</v>
      </c>
      <c r="D73">
        <v>2015</v>
      </c>
      <c r="E73" s="161">
        <v>0.61075100000000004</v>
      </c>
      <c r="F73" s="162">
        <v>1800000000</v>
      </c>
      <c r="G73" s="160">
        <v>0.7</v>
      </c>
      <c r="H73" s="161">
        <v>60.008200000000002</v>
      </c>
      <c r="I73" s="160">
        <v>87.525999999999996</v>
      </c>
      <c r="J73" s="160">
        <v>3.4688560000000002</v>
      </c>
      <c r="K73" s="160">
        <v>10.87982</v>
      </c>
      <c r="L73" s="160">
        <v>3.1399189999999999</v>
      </c>
      <c r="M73" s="160">
        <v>0.73831179999999996</v>
      </c>
      <c r="N73" s="160">
        <v>6.508769</v>
      </c>
      <c r="O73" s="160">
        <v>4.4331950000000004</v>
      </c>
      <c r="P73" s="160">
        <v>2.1162559999999999</v>
      </c>
      <c r="Q73" s="160">
        <v>7.9487740000000002</v>
      </c>
      <c r="R73" s="160">
        <v>4.7449320000000004</v>
      </c>
      <c r="S73" s="160">
        <v>9.6225760000000005</v>
      </c>
      <c r="T73" s="227">
        <v>9.9503200000000003E-3</v>
      </c>
      <c r="U73" s="160">
        <v>1</v>
      </c>
      <c r="V73" s="160">
        <v>1.8</v>
      </c>
      <c r="W73" s="160">
        <v>32930</v>
      </c>
      <c r="X73" s="160">
        <v>35.9</v>
      </c>
      <c r="Y73" s="160">
        <v>47.4</v>
      </c>
      <c r="Z73" s="160">
        <v>4.9564389999999996</v>
      </c>
      <c r="AA73" s="160">
        <v>3.4812400000000001</v>
      </c>
    </row>
    <row r="74" spans="1:27">
      <c r="A74">
        <v>7</v>
      </c>
      <c r="B74" t="s">
        <v>40</v>
      </c>
      <c r="C74" t="s">
        <v>39</v>
      </c>
      <c r="D74">
        <v>2016</v>
      </c>
      <c r="E74" s="161">
        <v>2.4998300000000002</v>
      </c>
      <c r="F74" s="162">
        <v>7800000000</v>
      </c>
      <c r="G74" s="160">
        <v>0.67</v>
      </c>
      <c r="H74" s="161">
        <v>57.927500000000002</v>
      </c>
      <c r="I74" s="160">
        <v>87.641999999999996</v>
      </c>
      <c r="J74" s="160">
        <v>3.4339870000000001</v>
      </c>
      <c r="K74" s="160">
        <v>10.902279999999999</v>
      </c>
      <c r="L74" s="160">
        <v>3.1499540000000001</v>
      </c>
      <c r="M74" s="160">
        <v>0.73941040000000002</v>
      </c>
      <c r="N74" s="160">
        <v>6.5439119999999997</v>
      </c>
      <c r="O74" s="160">
        <v>4.4589879999999997</v>
      </c>
      <c r="P74" s="160">
        <v>2.0794419999999998</v>
      </c>
      <c r="Q74" s="160">
        <v>8.0093630000000005</v>
      </c>
      <c r="R74" s="160">
        <v>4.7706850000000003</v>
      </c>
      <c r="S74" s="160">
        <v>9.6253580000000003</v>
      </c>
      <c r="T74" s="227">
        <v>0.22314355</v>
      </c>
      <c r="U74" s="160">
        <v>0.89999998000000003</v>
      </c>
      <c r="V74" s="160">
        <v>1.8</v>
      </c>
      <c r="W74" s="160">
        <v>33435</v>
      </c>
      <c r="X74" s="160">
        <v>35.4</v>
      </c>
      <c r="Y74" s="160">
        <v>48.3</v>
      </c>
      <c r="Z74" s="160">
        <v>4.9642419999999996</v>
      </c>
      <c r="AA74" s="160">
        <v>3.4657360000000001</v>
      </c>
    </row>
    <row r="75" spans="1:27">
      <c r="A75">
        <v>7</v>
      </c>
      <c r="B75" t="s">
        <v>40</v>
      </c>
      <c r="C75" t="s">
        <v>39</v>
      </c>
      <c r="D75">
        <v>2017</v>
      </c>
      <c r="E75" s="161">
        <v>1.0878000000000001</v>
      </c>
      <c r="F75" s="162">
        <v>3600000000</v>
      </c>
      <c r="G75" s="160">
        <v>0.69</v>
      </c>
      <c r="H75" s="161">
        <v>58.9435</v>
      </c>
      <c r="I75" s="160">
        <v>87.757000000000005</v>
      </c>
      <c r="J75" s="160">
        <v>3.4563169999999999</v>
      </c>
      <c r="K75" s="160">
        <v>10.92596</v>
      </c>
      <c r="L75" s="160">
        <v>3.1296949999999999</v>
      </c>
      <c r="M75" s="160">
        <v>0.73385719999999999</v>
      </c>
      <c r="N75" s="160">
        <v>6.6012300000000002</v>
      </c>
      <c r="O75" s="160">
        <v>4.4520189999999999</v>
      </c>
      <c r="P75" s="160">
        <v>2.0668630000000001</v>
      </c>
      <c r="Q75" s="160">
        <v>7.7294720000000003</v>
      </c>
      <c r="R75" s="160">
        <v>4.7706850000000003</v>
      </c>
      <c r="S75" s="160">
        <v>9.5831689999999998</v>
      </c>
      <c r="T75" s="227">
        <v>9.5310199999999998E-2</v>
      </c>
      <c r="U75" s="160">
        <v>1</v>
      </c>
      <c r="V75" s="160">
        <v>1.7</v>
      </c>
      <c r="W75" s="160">
        <v>34814</v>
      </c>
      <c r="X75" s="160">
        <v>36</v>
      </c>
      <c r="Y75" s="160">
        <v>47.6</v>
      </c>
      <c r="Z75" s="160">
        <v>4.9706739999999998</v>
      </c>
      <c r="AA75" s="160">
        <v>3.555348</v>
      </c>
    </row>
    <row r="76" spans="1:27">
      <c r="A76">
        <v>7</v>
      </c>
      <c r="B76" t="s">
        <v>40</v>
      </c>
      <c r="C76" t="s">
        <v>39</v>
      </c>
      <c r="D76">
        <v>2018</v>
      </c>
      <c r="E76" s="161">
        <v>2.4666999999999999</v>
      </c>
      <c r="F76" s="162">
        <v>8800000000</v>
      </c>
      <c r="G76" s="160">
        <v>0.67</v>
      </c>
      <c r="H76" s="161">
        <v>59.795699999999997</v>
      </c>
      <c r="I76" s="160">
        <v>87.873999999999995</v>
      </c>
      <c r="J76" s="160">
        <v>3.4468079999999999</v>
      </c>
      <c r="K76" s="160">
        <v>10.93943</v>
      </c>
      <c r="L76" s="160">
        <v>3.143462</v>
      </c>
      <c r="M76" s="160">
        <v>0.74839259999999996</v>
      </c>
      <c r="N76" s="160">
        <v>6.6066500000000001</v>
      </c>
      <c r="O76" s="160">
        <v>4.3907379999999998</v>
      </c>
      <c r="P76" s="160">
        <v>2.0918640000000002</v>
      </c>
      <c r="Q76" s="160">
        <v>7.8905830000000003</v>
      </c>
      <c r="R76" s="160">
        <v>4.7791230000000002</v>
      </c>
      <c r="S76" s="160">
        <v>9.4535070000000001</v>
      </c>
      <c r="T76" s="227">
        <v>-3.0459179999999999E-2</v>
      </c>
      <c r="U76" s="160">
        <v>0.89999998000000003</v>
      </c>
      <c r="V76" s="160">
        <v>1.8</v>
      </c>
      <c r="W76" s="160">
        <v>36639</v>
      </c>
      <c r="X76" s="160">
        <v>38.1</v>
      </c>
      <c r="Y76" s="160">
        <v>49.9</v>
      </c>
      <c r="Z76" s="160">
        <v>4.9756359999999997</v>
      </c>
      <c r="AA76" s="160">
        <v>3.5438540000000001</v>
      </c>
    </row>
    <row r="77" spans="1:27">
      <c r="A77">
        <v>7</v>
      </c>
      <c r="B77" t="s">
        <v>40</v>
      </c>
      <c r="C77" t="s">
        <v>39</v>
      </c>
      <c r="D77">
        <v>2019</v>
      </c>
      <c r="E77" s="161">
        <v>-1.10067</v>
      </c>
      <c r="F77" s="162">
        <v>-3800000000</v>
      </c>
      <c r="G77" s="160">
        <v>0.69</v>
      </c>
      <c r="H77" s="161">
        <v>60.584600000000002</v>
      </c>
      <c r="I77" s="160">
        <v>87.994</v>
      </c>
      <c r="J77" s="160">
        <v>3.4781580000000001</v>
      </c>
      <c r="K77" s="160">
        <v>10.952819999999999</v>
      </c>
      <c r="L77" s="160">
        <v>3.1878799999999998</v>
      </c>
      <c r="M77" s="160">
        <v>0.75499459999999996</v>
      </c>
      <c r="N77" s="160">
        <v>6.6720329999999999</v>
      </c>
      <c r="O77" s="160">
        <v>4.4272390000000001</v>
      </c>
      <c r="P77" s="160">
        <v>2.0281479999999998</v>
      </c>
      <c r="Q77" s="160">
        <v>7.964156</v>
      </c>
      <c r="R77" s="160">
        <v>4.7791230000000002</v>
      </c>
      <c r="S77" s="160">
        <v>9.304494</v>
      </c>
      <c r="T77" s="227">
        <v>0.36464316000000002</v>
      </c>
      <c r="U77" s="160">
        <v>0.80000000999999998</v>
      </c>
      <c r="V77" s="160">
        <v>1.7</v>
      </c>
      <c r="W77" s="160">
        <v>36394</v>
      </c>
      <c r="X77" s="160">
        <v>37.1</v>
      </c>
      <c r="Y77" s="160">
        <v>51.5</v>
      </c>
      <c r="Z77" s="160">
        <v>4.9792199999999998</v>
      </c>
      <c r="AA77" s="160">
        <v>3.6163090000000002</v>
      </c>
    </row>
    <row r="78" spans="1:27">
      <c r="A78">
        <v>7</v>
      </c>
      <c r="B78" t="s">
        <v>40</v>
      </c>
      <c r="C78" t="s">
        <v>39</v>
      </c>
      <c r="D78">
        <v>2020</v>
      </c>
      <c r="E78" s="161">
        <v>0.363875</v>
      </c>
      <c r="F78" s="162">
        <v>1300000000</v>
      </c>
      <c r="G78" s="160">
        <v>0.68</v>
      </c>
      <c r="H78" s="161">
        <v>58.136699999999998</v>
      </c>
      <c r="I78" s="160">
        <v>88.116</v>
      </c>
      <c r="J78" s="160">
        <v>3.4965079999999999</v>
      </c>
      <c r="K78" s="160">
        <v>10.931940000000001</v>
      </c>
      <c r="L78" s="160">
        <v>3.133623</v>
      </c>
      <c r="M78" s="160">
        <v>0.76425779999999999</v>
      </c>
      <c r="N78" s="160">
        <v>6.7214260000000001</v>
      </c>
      <c r="O78" s="160">
        <v>4.4320060000000003</v>
      </c>
      <c r="P78" s="160">
        <v>2.0281479999999998</v>
      </c>
      <c r="Q78" s="160">
        <v>7.7979890000000003</v>
      </c>
      <c r="R78" s="160">
        <v>4.75359</v>
      </c>
      <c r="S78" s="160">
        <v>9.1293190000000006</v>
      </c>
      <c r="T78" s="227">
        <v>-0.71334987999999999</v>
      </c>
      <c r="U78" s="160">
        <v>0.89999998000000003</v>
      </c>
      <c r="V78" s="160">
        <v>1.9</v>
      </c>
      <c r="W78" s="160">
        <v>35758</v>
      </c>
      <c r="X78" s="160">
        <v>37</v>
      </c>
      <c r="Y78" s="160">
        <v>45</v>
      </c>
      <c r="Z78" s="160">
        <v>4.9821330000000001</v>
      </c>
      <c r="AA78" s="160">
        <v>3.676301</v>
      </c>
    </row>
    <row r="79" spans="1:27">
      <c r="A79">
        <v>8</v>
      </c>
      <c r="B79" t="s">
        <v>38</v>
      </c>
      <c r="C79" t="s">
        <v>37</v>
      </c>
      <c r="D79">
        <v>2010</v>
      </c>
      <c r="E79" s="161">
        <v>13.276999999999999</v>
      </c>
      <c r="F79" s="162">
        <v>2600000000</v>
      </c>
      <c r="G79" s="160">
        <v>0.31</v>
      </c>
      <c r="H79" s="161">
        <v>122.29900000000001</v>
      </c>
      <c r="I79" s="160">
        <v>68.093999999999994</v>
      </c>
      <c r="J79" s="160">
        <v>3.4812400000000001</v>
      </c>
      <c r="K79" s="160">
        <v>9.5927340000000001</v>
      </c>
      <c r="L79" s="160">
        <v>3.1634899999999999</v>
      </c>
      <c r="M79" s="160">
        <v>-0.61581580000000002</v>
      </c>
      <c r="N79" s="160">
        <v>6.7381529999999996</v>
      </c>
      <c r="O79" s="160">
        <v>4.4152199999999997</v>
      </c>
      <c r="P79" s="160">
        <v>2.197225</v>
      </c>
      <c r="Q79" s="160">
        <v>2.9014220000000002</v>
      </c>
      <c r="R79" s="160">
        <v>4.6051700000000002</v>
      </c>
      <c r="S79" s="160">
        <v>9.6103319999999997</v>
      </c>
      <c r="T79" s="227">
        <v>-1.6607312000000001</v>
      </c>
      <c r="U79" s="160">
        <v>1.7</v>
      </c>
      <c r="V79" s="160">
        <v>2</v>
      </c>
      <c r="W79" s="160">
        <v>9288</v>
      </c>
      <c r="X79" s="160">
        <v>21.5</v>
      </c>
      <c r="Y79" s="160">
        <v>18</v>
      </c>
      <c r="Z79" s="160">
        <v>3.4471289999999999</v>
      </c>
      <c r="AA79" s="160">
        <v>3.230804</v>
      </c>
    </row>
    <row r="80" spans="1:27">
      <c r="A80">
        <v>8</v>
      </c>
      <c r="B80" t="s">
        <v>38</v>
      </c>
      <c r="C80" t="s">
        <v>37</v>
      </c>
      <c r="D80">
        <v>2011</v>
      </c>
      <c r="E80" s="161">
        <v>4.8023999999999996</v>
      </c>
      <c r="F80" s="162">
        <v>1100000000</v>
      </c>
      <c r="G80" s="160">
        <v>0.31</v>
      </c>
      <c r="H80" s="161">
        <v>146.619</v>
      </c>
      <c r="I80" s="160">
        <v>67.965000000000003</v>
      </c>
      <c r="J80" s="160">
        <v>3.5263610000000001</v>
      </c>
      <c r="K80" s="160">
        <v>9.6690869999999993</v>
      </c>
      <c r="L80" s="160">
        <v>3.2673230000000002</v>
      </c>
      <c r="M80" s="160">
        <v>-0.62082649999999995</v>
      </c>
      <c r="N80" s="160">
        <v>6.7019609999999998</v>
      </c>
      <c r="O80" s="160">
        <v>4.2413270000000001</v>
      </c>
      <c r="P80" s="160">
        <v>2.6741489999999999</v>
      </c>
      <c r="Q80" s="160">
        <v>3.1822119999999998</v>
      </c>
      <c r="R80" s="160">
        <v>4.5849679999999999</v>
      </c>
      <c r="S80" s="160">
        <v>9.7011699999999994</v>
      </c>
      <c r="T80" s="227">
        <v>-1.6607312000000001</v>
      </c>
      <c r="U80" s="160">
        <v>1.4</v>
      </c>
      <c r="V80" s="160">
        <v>2</v>
      </c>
      <c r="W80" s="160">
        <v>9860</v>
      </c>
      <c r="X80" s="160">
        <v>21.8</v>
      </c>
      <c r="Y80" s="160">
        <v>23.3</v>
      </c>
      <c r="Z80" s="160">
        <v>3.4440940000000002</v>
      </c>
      <c r="AA80" s="160">
        <v>3.2268439999999998</v>
      </c>
    </row>
    <row r="81" spans="1:27">
      <c r="A81">
        <v>8</v>
      </c>
      <c r="B81" t="s">
        <v>38</v>
      </c>
      <c r="C81" t="s">
        <v>37</v>
      </c>
      <c r="D81">
        <v>2012</v>
      </c>
      <c r="E81" s="161">
        <v>7.6916599999999997</v>
      </c>
      <c r="F81" s="162">
        <v>1800000000</v>
      </c>
      <c r="G81" s="160">
        <v>0.3</v>
      </c>
      <c r="H81" s="161">
        <v>147.05600000000001</v>
      </c>
      <c r="I81" s="160">
        <v>67.974000000000004</v>
      </c>
      <c r="J81" s="160">
        <v>3.5695329999999998</v>
      </c>
      <c r="K81" s="160">
        <v>9.7087310000000002</v>
      </c>
      <c r="L81" s="160">
        <v>3.3027760000000002</v>
      </c>
      <c r="M81" s="160">
        <v>-0.60440400000000005</v>
      </c>
      <c r="N81" s="160">
        <v>6.6450909999999999</v>
      </c>
      <c r="O81" s="160">
        <v>4.3870139999999997</v>
      </c>
      <c r="P81" s="160">
        <v>2.9549099999999999</v>
      </c>
      <c r="Q81" s="160">
        <v>4.5390309999999996</v>
      </c>
      <c r="R81" s="160">
        <v>4.5432949999999996</v>
      </c>
      <c r="S81" s="160">
        <v>9.6610770000000006</v>
      </c>
      <c r="T81" s="227">
        <v>-1.6607312000000001</v>
      </c>
      <c r="U81" s="160">
        <v>1.1000000000000001</v>
      </c>
      <c r="V81" s="160">
        <v>2</v>
      </c>
      <c r="W81" s="160">
        <v>10687</v>
      </c>
      <c r="X81" s="160">
        <v>20.7</v>
      </c>
      <c r="Y81" s="160">
        <v>19.100000000000001</v>
      </c>
      <c r="Z81" s="160">
        <v>3.4405139999999999</v>
      </c>
      <c r="AA81" s="160">
        <v>3.2188759999999998</v>
      </c>
    </row>
    <row r="82" spans="1:27">
      <c r="A82">
        <v>8</v>
      </c>
      <c r="B82" t="s">
        <v>38</v>
      </c>
      <c r="C82" t="s">
        <v>37</v>
      </c>
      <c r="D82">
        <v>2013</v>
      </c>
      <c r="E82" s="161">
        <v>4.3139399999999997</v>
      </c>
      <c r="F82" s="162">
        <v>1100000000</v>
      </c>
      <c r="G82" s="160">
        <v>0.28999999999999998</v>
      </c>
      <c r="H82" s="161">
        <v>136.66999999999999</v>
      </c>
      <c r="I82" s="160">
        <v>68.122</v>
      </c>
      <c r="J82" s="160">
        <v>3.555348</v>
      </c>
      <c r="K82" s="160">
        <v>9.7296990000000001</v>
      </c>
      <c r="L82" s="160">
        <v>3.2818130000000001</v>
      </c>
      <c r="M82" s="160">
        <v>-0.64550050000000003</v>
      </c>
      <c r="N82" s="160">
        <v>6.6871090000000004</v>
      </c>
      <c r="O82" s="160">
        <v>4.1896550000000001</v>
      </c>
      <c r="P82" s="160">
        <v>2.6878470000000001</v>
      </c>
      <c r="Q82" s="160">
        <v>6.0964999999999998</v>
      </c>
      <c r="R82" s="160">
        <v>4.5325990000000003</v>
      </c>
      <c r="S82" s="160">
        <v>9.4876120000000004</v>
      </c>
      <c r="T82" s="227">
        <v>-0.41827788999999999</v>
      </c>
      <c r="U82" s="160">
        <v>0.80000000999999998</v>
      </c>
      <c r="V82" s="160">
        <v>2</v>
      </c>
      <c r="W82" s="160">
        <v>11229</v>
      </c>
      <c r="X82" s="160">
        <v>19.3</v>
      </c>
      <c r="Y82" s="160">
        <v>17.600000000000001</v>
      </c>
      <c r="Z82" s="160">
        <v>3.4117980000000001</v>
      </c>
      <c r="AA82" s="160">
        <v>3.1986729999999999</v>
      </c>
    </row>
    <row r="83" spans="1:27">
      <c r="A83">
        <v>8</v>
      </c>
      <c r="B83" t="s">
        <v>38</v>
      </c>
      <c r="C83" t="s">
        <v>37</v>
      </c>
      <c r="D83">
        <v>2014</v>
      </c>
      <c r="E83" s="161">
        <v>6.5851199999999999</v>
      </c>
      <c r="F83" s="162">
        <v>1800000000</v>
      </c>
      <c r="G83" s="160">
        <v>0.28000000000000003</v>
      </c>
      <c r="H83" s="161">
        <v>126.916</v>
      </c>
      <c r="I83" s="160">
        <v>68.269000000000005</v>
      </c>
      <c r="J83" s="160">
        <v>3.5638830000000001</v>
      </c>
      <c r="K83" s="160">
        <v>9.7650129999999997</v>
      </c>
      <c r="L83" s="160">
        <v>3.1904349999999999</v>
      </c>
      <c r="M83" s="160">
        <v>-0.5661621</v>
      </c>
      <c r="N83" s="160">
        <v>6.1158919999999997</v>
      </c>
      <c r="O83" s="160">
        <v>4.4438269999999997</v>
      </c>
      <c r="P83" s="160">
        <v>2.4248029999999998</v>
      </c>
      <c r="Q83" s="160">
        <v>6.1156709999999999</v>
      </c>
      <c r="R83" s="160">
        <v>4.553877</v>
      </c>
      <c r="S83" s="160">
        <v>9.5774950000000008</v>
      </c>
      <c r="T83" s="227">
        <v>0.82417541999999999</v>
      </c>
      <c r="U83" s="160">
        <v>0.60000001999999997</v>
      </c>
      <c r="V83" s="160">
        <v>2</v>
      </c>
      <c r="W83" s="160">
        <v>11944</v>
      </c>
      <c r="X83" s="160">
        <v>20.2</v>
      </c>
      <c r="Y83" s="160">
        <v>31.1</v>
      </c>
      <c r="Z83" s="160">
        <v>3.4091749999999998</v>
      </c>
      <c r="AA83" s="160">
        <v>3.230804</v>
      </c>
    </row>
    <row r="84" spans="1:27">
      <c r="A84">
        <v>8</v>
      </c>
      <c r="B84" t="s">
        <v>38</v>
      </c>
      <c r="C84" t="s">
        <v>37</v>
      </c>
      <c r="D84">
        <v>2015</v>
      </c>
      <c r="E84" s="161">
        <v>-3.0691099999999998</v>
      </c>
      <c r="F84" s="162">
        <v>-720000000</v>
      </c>
      <c r="G84" s="160">
        <v>0.28999999999999998</v>
      </c>
      <c r="H84" s="161">
        <v>117.352</v>
      </c>
      <c r="I84" s="160">
        <v>68.415999999999997</v>
      </c>
      <c r="J84" s="160">
        <v>3.5890590000000002</v>
      </c>
      <c r="K84" s="160">
        <v>9.7825740000000003</v>
      </c>
      <c r="L84" s="160">
        <v>3.2365979999999999</v>
      </c>
      <c r="M84" s="160">
        <v>-0.53871080000000005</v>
      </c>
      <c r="N84" s="160">
        <v>5.9026329999999998</v>
      </c>
      <c r="O84" s="160">
        <v>4.4624540000000001</v>
      </c>
      <c r="P84" s="160">
        <v>2.4336129999999998</v>
      </c>
      <c r="Q84" s="160">
        <v>5.926126</v>
      </c>
      <c r="R84" s="160">
        <v>4.6051700000000002</v>
      </c>
      <c r="S84" s="160">
        <v>9.6342940000000006</v>
      </c>
      <c r="T84" s="227">
        <v>0.27486927999999999</v>
      </c>
      <c r="U84" s="160">
        <v>0.60000001999999997</v>
      </c>
      <c r="V84" s="160">
        <v>1.9</v>
      </c>
      <c r="W84" s="160">
        <v>12174</v>
      </c>
      <c r="X84" s="160">
        <v>19.7</v>
      </c>
      <c r="Y84" s="160">
        <v>28.3</v>
      </c>
      <c r="Z84" s="160">
        <v>3.4098299999999999</v>
      </c>
      <c r="AA84" s="160">
        <v>3.3393220000000001</v>
      </c>
    </row>
    <row r="85" spans="1:27">
      <c r="A85">
        <v>8</v>
      </c>
      <c r="B85" t="s">
        <v>38</v>
      </c>
      <c r="C85" t="s">
        <v>37</v>
      </c>
      <c r="D85">
        <v>2016</v>
      </c>
      <c r="E85" s="161">
        <v>3.7692299999999999</v>
      </c>
      <c r="F85" s="162">
        <v>930000000</v>
      </c>
      <c r="G85" s="160">
        <v>0.28000000000000003</v>
      </c>
      <c r="H85" s="161">
        <v>114.53100000000001</v>
      </c>
      <c r="I85" s="160">
        <v>68.563000000000002</v>
      </c>
      <c r="J85" s="160">
        <v>3.5610460000000002</v>
      </c>
      <c r="K85" s="160">
        <v>9.8127420000000001</v>
      </c>
      <c r="L85" s="160">
        <v>3.2007119999999998</v>
      </c>
      <c r="M85" s="160">
        <v>-0.47417229999999999</v>
      </c>
      <c r="N85" s="160">
        <v>5.9939609999999997</v>
      </c>
      <c r="O85" s="160">
        <v>4.4624540000000001</v>
      </c>
      <c r="P85" s="160">
        <v>2.4765380000000001</v>
      </c>
      <c r="Q85" s="160">
        <v>6.9346899999999998</v>
      </c>
      <c r="R85" s="160">
        <v>4.682131</v>
      </c>
      <c r="S85" s="160">
        <v>9.5839180000000006</v>
      </c>
      <c r="T85" s="227">
        <v>-0.27443686</v>
      </c>
      <c r="U85" s="160">
        <v>0.60000001999999997</v>
      </c>
      <c r="V85" s="160">
        <v>1.9</v>
      </c>
      <c r="W85" s="160">
        <v>11644</v>
      </c>
      <c r="X85" s="160">
        <v>22.3</v>
      </c>
      <c r="Y85" s="160">
        <v>27.9</v>
      </c>
      <c r="Z85" s="160">
        <v>3.4101210000000002</v>
      </c>
      <c r="AA85" s="160">
        <v>3.3032170000000001</v>
      </c>
    </row>
    <row r="86" spans="1:27">
      <c r="A86">
        <v>8</v>
      </c>
      <c r="B86" t="s">
        <v>38</v>
      </c>
      <c r="C86" t="s">
        <v>37</v>
      </c>
      <c r="D86">
        <v>2017</v>
      </c>
      <c r="E86" s="161">
        <v>6.3189299999999999</v>
      </c>
      <c r="F86" s="162">
        <v>1700000000</v>
      </c>
      <c r="G86" s="160">
        <v>0.27</v>
      </c>
      <c r="H86" s="161">
        <v>113.70099999999999</v>
      </c>
      <c r="I86" s="160">
        <v>68.716999999999999</v>
      </c>
      <c r="J86" s="160">
        <v>3.5835189999999999</v>
      </c>
      <c r="K86" s="160">
        <v>9.8663460000000001</v>
      </c>
      <c r="L86" s="160">
        <v>3.3626990000000001</v>
      </c>
      <c r="M86" s="160">
        <v>-0.58896740000000003</v>
      </c>
      <c r="N86" s="160">
        <v>6.0258659999999997</v>
      </c>
      <c r="O86" s="160">
        <v>4.4508530000000004</v>
      </c>
      <c r="P86" s="160">
        <v>2.5257290000000001</v>
      </c>
      <c r="Q86" s="160">
        <v>6.8541439999999998</v>
      </c>
      <c r="R86" s="160">
        <v>4.6728290000000001</v>
      </c>
      <c r="S86" s="160">
        <v>9.2697099999999999</v>
      </c>
      <c r="T86" s="227">
        <v>-0.823743</v>
      </c>
      <c r="U86" s="160">
        <v>0.69999999000000002</v>
      </c>
      <c r="V86" s="160">
        <v>2</v>
      </c>
      <c r="W86" s="160">
        <v>12372</v>
      </c>
      <c r="X86" s="160">
        <v>20.9</v>
      </c>
      <c r="Y86" s="160">
        <v>28.2</v>
      </c>
      <c r="Z86" s="160">
        <v>3.4280339999999998</v>
      </c>
      <c r="AA86" s="160">
        <v>3.3141859999999999</v>
      </c>
    </row>
    <row r="87" spans="1:27">
      <c r="A87">
        <v>8</v>
      </c>
      <c r="B87" t="s">
        <v>38</v>
      </c>
      <c r="C87" t="s">
        <v>37</v>
      </c>
      <c r="D87">
        <v>2018</v>
      </c>
      <c r="E87" s="161">
        <v>4.0801600000000002</v>
      </c>
      <c r="F87" s="162">
        <v>1300000000</v>
      </c>
      <c r="G87" s="160">
        <v>0.28000000000000003</v>
      </c>
      <c r="H87" s="161">
        <v>115.804</v>
      </c>
      <c r="I87" s="160">
        <v>68.88</v>
      </c>
      <c r="J87" s="160">
        <v>3.586293</v>
      </c>
      <c r="K87" s="160">
        <v>9.8991939999999996</v>
      </c>
      <c r="L87" s="160">
        <v>3.4203139999999999</v>
      </c>
      <c r="M87" s="160">
        <v>-0.58896740000000003</v>
      </c>
      <c r="N87" s="160">
        <v>6.0980740000000004</v>
      </c>
      <c r="O87" s="160">
        <v>4.4508530000000004</v>
      </c>
      <c r="P87" s="160">
        <v>2.6246689999999999</v>
      </c>
      <c r="Q87" s="160">
        <v>6.7071069999999997</v>
      </c>
      <c r="R87" s="160">
        <v>4.6539599999999997</v>
      </c>
      <c r="S87" s="160">
        <v>8.9797940000000001</v>
      </c>
      <c r="T87" s="227">
        <v>-1.3730491</v>
      </c>
      <c r="U87" s="160">
        <v>0.80000000999999998</v>
      </c>
      <c r="V87" s="160">
        <v>2.0999998999999998</v>
      </c>
      <c r="W87" s="160">
        <v>13829</v>
      </c>
      <c r="X87" s="160">
        <v>23.4</v>
      </c>
      <c r="Y87" s="160">
        <v>28</v>
      </c>
      <c r="Z87" s="160">
        <v>3.4315129999999998</v>
      </c>
      <c r="AA87" s="160">
        <v>3.3534069999999998</v>
      </c>
    </row>
    <row r="88" spans="1:27">
      <c r="A88">
        <v>8</v>
      </c>
      <c r="B88" t="s">
        <v>38</v>
      </c>
      <c r="C88" t="s">
        <v>37</v>
      </c>
      <c r="D88">
        <v>2019</v>
      </c>
      <c r="E88" s="161">
        <v>9.7681900000000006</v>
      </c>
      <c r="F88" s="162">
        <v>3100000000</v>
      </c>
      <c r="G88" s="160">
        <v>0.26</v>
      </c>
      <c r="H88" s="161">
        <v>107.066</v>
      </c>
      <c r="I88" s="160">
        <v>69.051000000000002</v>
      </c>
      <c r="J88" s="160">
        <v>3.6136170000000001</v>
      </c>
      <c r="K88" s="160">
        <v>9.9320699999999995</v>
      </c>
      <c r="L88" s="160">
        <v>3.356061</v>
      </c>
      <c r="M88" s="160">
        <v>-0.44535000000000002</v>
      </c>
      <c r="N88" s="160">
        <v>6.0707380000000004</v>
      </c>
      <c r="O88" s="160">
        <v>4.3894989999999998</v>
      </c>
      <c r="P88" s="160">
        <v>2.7278530000000001</v>
      </c>
      <c r="Q88" s="160">
        <v>6.1375109999999999</v>
      </c>
      <c r="R88" s="160">
        <v>4.682131</v>
      </c>
      <c r="S88" s="160">
        <v>8.5698460000000001</v>
      </c>
      <c r="T88" s="227">
        <v>-1.9223553</v>
      </c>
      <c r="U88" s="160">
        <v>0.69999999000000002</v>
      </c>
      <c r="V88" s="160">
        <v>2</v>
      </c>
      <c r="W88" s="160">
        <v>13343</v>
      </c>
      <c r="X88" s="160">
        <v>24.4</v>
      </c>
      <c r="Y88" s="160">
        <v>30.8</v>
      </c>
      <c r="Z88" s="160">
        <v>3.4352279999999999</v>
      </c>
      <c r="AA88" s="160">
        <v>3.4436179999999998</v>
      </c>
    </row>
    <row r="89" spans="1:27">
      <c r="A89">
        <v>8</v>
      </c>
      <c r="B89" t="s">
        <v>38</v>
      </c>
      <c r="C89" t="s">
        <v>37</v>
      </c>
      <c r="D89">
        <v>2020</v>
      </c>
      <c r="E89" s="161">
        <v>12.014799999999999</v>
      </c>
      <c r="F89" s="162">
        <v>3800000000</v>
      </c>
      <c r="G89" s="160">
        <v>0.28000000000000003</v>
      </c>
      <c r="H89" s="161">
        <v>105.79300000000001</v>
      </c>
      <c r="I89" s="160">
        <v>69.228999999999999</v>
      </c>
      <c r="J89" s="160">
        <v>3.6270039999999999</v>
      </c>
      <c r="K89" s="160">
        <v>9.9008289999999999</v>
      </c>
      <c r="L89" s="160">
        <v>3.3451909999999998</v>
      </c>
      <c r="M89" s="160">
        <v>-0.40947319999999998</v>
      </c>
      <c r="N89" s="160">
        <v>5.9864519999999999</v>
      </c>
      <c r="O89" s="160">
        <v>4.4018290000000002</v>
      </c>
      <c r="P89" s="160">
        <v>2.7972809999999999</v>
      </c>
      <c r="Q89" s="160">
        <v>7.4898030000000002</v>
      </c>
      <c r="R89" s="160">
        <v>4.6539599999999997</v>
      </c>
      <c r="S89" s="160">
        <v>7.8631289999999998</v>
      </c>
      <c r="T89" s="227">
        <v>-2.4716613999999999</v>
      </c>
      <c r="U89" s="160">
        <v>0.69999999000000002</v>
      </c>
      <c r="V89" s="160">
        <v>2.0999998999999998</v>
      </c>
      <c r="W89" s="160">
        <v>13810</v>
      </c>
      <c r="X89" s="160">
        <v>26.7</v>
      </c>
      <c r="Y89" s="160">
        <v>28.9</v>
      </c>
      <c r="Z89" s="160">
        <v>3.4372050000000001</v>
      </c>
      <c r="AA89" s="160">
        <v>3.6988300000000001</v>
      </c>
    </row>
    <row r="90" spans="1:27">
      <c r="A90">
        <v>9</v>
      </c>
      <c r="B90" t="s">
        <v>36</v>
      </c>
      <c r="C90" t="s">
        <v>35</v>
      </c>
      <c r="D90">
        <v>2010</v>
      </c>
      <c r="E90" s="161">
        <v>0.179789</v>
      </c>
      <c r="F90" s="162">
        <v>530000000</v>
      </c>
      <c r="G90" s="160">
        <v>0.63</v>
      </c>
      <c r="H90" s="161">
        <v>31.686399999999999</v>
      </c>
      <c r="I90" s="160">
        <v>76.292000000000002</v>
      </c>
      <c r="J90" s="160">
        <v>3.4011969999999998</v>
      </c>
      <c r="K90" s="160">
        <v>9.9780239999999996</v>
      </c>
      <c r="L90" s="160">
        <v>2.9330590000000001</v>
      </c>
      <c r="M90" s="160">
        <v>0.13199279999999999</v>
      </c>
      <c r="N90" s="160">
        <v>5.9661470000000003</v>
      </c>
      <c r="O90" s="160">
        <v>4.5849679999999999</v>
      </c>
      <c r="P90" s="160">
        <v>0.91629079999999996</v>
      </c>
      <c r="Q90" s="160">
        <v>2.960105</v>
      </c>
      <c r="R90" s="160">
        <v>4.6051700000000002</v>
      </c>
      <c r="S90" s="160">
        <v>9.165934</v>
      </c>
      <c r="T90" s="227">
        <v>-2.1202635999999999</v>
      </c>
      <c r="U90" s="160">
        <v>0.1</v>
      </c>
      <c r="V90" s="160">
        <v>1.1000000000000001</v>
      </c>
      <c r="W90" s="160">
        <v>75071</v>
      </c>
      <c r="X90" s="160">
        <v>23.2</v>
      </c>
      <c r="Y90" s="160">
        <v>17.100000000000001</v>
      </c>
      <c r="Z90" s="160">
        <v>4.4575839999999998</v>
      </c>
      <c r="AA90" s="160">
        <v>2.4336129999999998</v>
      </c>
    </row>
    <row r="91" spans="1:27">
      <c r="A91">
        <v>9</v>
      </c>
      <c r="B91" t="s">
        <v>36</v>
      </c>
      <c r="C91" t="s">
        <v>35</v>
      </c>
      <c r="D91">
        <v>2011</v>
      </c>
      <c r="E91" s="161">
        <v>0.38562299999999999</v>
      </c>
      <c r="F91" s="162">
        <v>1100000000</v>
      </c>
      <c r="G91" s="160">
        <v>0.63</v>
      </c>
      <c r="H91" s="161">
        <v>35.478099999999998</v>
      </c>
      <c r="I91" s="160">
        <v>76.649000000000001</v>
      </c>
      <c r="J91" s="160">
        <v>3.4499879999999998</v>
      </c>
      <c r="K91" s="160">
        <v>9.875515</v>
      </c>
      <c r="L91" s="160">
        <v>2.8281420000000002</v>
      </c>
      <c r="M91" s="160">
        <v>0.1176941</v>
      </c>
      <c r="N91" s="160">
        <v>6.0038869999999998</v>
      </c>
      <c r="O91" s="160">
        <v>4.50976</v>
      </c>
      <c r="P91" s="160">
        <v>0.69314719999999996</v>
      </c>
      <c r="Q91" s="160">
        <v>3.6163090000000002</v>
      </c>
      <c r="R91" s="160">
        <v>4.5747109999999997</v>
      </c>
      <c r="S91" s="160">
        <v>9.0939700000000006</v>
      </c>
      <c r="T91" s="227">
        <v>-2.1921841</v>
      </c>
      <c r="U91" s="160">
        <v>0.1</v>
      </c>
      <c r="V91" s="160">
        <v>0.89999998000000003</v>
      </c>
      <c r="W91" s="160">
        <v>70588</v>
      </c>
      <c r="X91" s="160">
        <v>24.2</v>
      </c>
      <c r="Y91" s="160">
        <v>17.8</v>
      </c>
      <c r="Z91" s="160">
        <v>4.456105</v>
      </c>
      <c r="AA91" s="160">
        <v>2.4336129999999998</v>
      </c>
    </row>
    <row r="92" spans="1:27">
      <c r="A92">
        <v>9</v>
      </c>
      <c r="B92" t="s">
        <v>36</v>
      </c>
      <c r="C92" t="s">
        <v>35</v>
      </c>
      <c r="D92">
        <v>2012</v>
      </c>
      <c r="E92" s="161">
        <v>0.69589800000000002</v>
      </c>
      <c r="F92" s="162">
        <v>1700000000</v>
      </c>
      <c r="G92" s="160">
        <v>0.54</v>
      </c>
      <c r="H92" s="161">
        <v>40.616999999999997</v>
      </c>
      <c r="I92" s="160">
        <v>77.004000000000005</v>
      </c>
      <c r="J92" s="160">
        <v>3.4965079999999999</v>
      </c>
      <c r="K92" s="160">
        <v>9.7939349999999994</v>
      </c>
      <c r="L92" s="160">
        <v>2.7419359999999999</v>
      </c>
      <c r="M92" s="160">
        <v>0.1259275</v>
      </c>
      <c r="N92" s="160">
        <v>5.9107969999999996</v>
      </c>
      <c r="O92" s="160">
        <v>4.5020290000000003</v>
      </c>
      <c r="P92" s="160">
        <v>0.58778660000000005</v>
      </c>
      <c r="Q92" s="160">
        <v>4.2682979999999997</v>
      </c>
      <c r="R92" s="160">
        <v>4.510859</v>
      </c>
      <c r="S92" s="160">
        <v>9.0724289999999996</v>
      </c>
      <c r="T92" s="227">
        <v>-2.2641046</v>
      </c>
      <c r="U92" s="160">
        <v>0.1</v>
      </c>
      <c r="V92" s="160">
        <v>0.69999999000000002</v>
      </c>
      <c r="W92" s="160">
        <v>60948</v>
      </c>
      <c r="X92" s="160">
        <v>25</v>
      </c>
      <c r="Y92" s="160">
        <v>17</v>
      </c>
      <c r="Z92" s="160">
        <v>4.4506969999999999</v>
      </c>
      <c r="AA92" s="160">
        <v>2.6532420000000001</v>
      </c>
    </row>
    <row r="93" spans="1:27">
      <c r="A93">
        <v>9</v>
      </c>
      <c r="B93" t="s">
        <v>36</v>
      </c>
      <c r="C93" t="s">
        <v>35</v>
      </c>
      <c r="D93">
        <v>2013</v>
      </c>
      <c r="E93" s="161">
        <v>1.2450600000000001</v>
      </c>
      <c r="F93" s="162">
        <v>2900000000</v>
      </c>
      <c r="G93" s="160">
        <v>0.59</v>
      </c>
      <c r="H93" s="161">
        <v>41.004600000000003</v>
      </c>
      <c r="I93" s="160">
        <v>77.355000000000004</v>
      </c>
      <c r="J93" s="160">
        <v>3.4965079999999999</v>
      </c>
      <c r="K93" s="160">
        <v>9.7782020000000003</v>
      </c>
      <c r="L93" s="160">
        <v>2.6729759999999998</v>
      </c>
      <c r="M93" s="160">
        <v>0.17479330000000001</v>
      </c>
      <c r="N93" s="160">
        <v>5.948035</v>
      </c>
      <c r="O93" s="160">
        <v>4.510859</v>
      </c>
      <c r="P93" s="160">
        <v>0.53062830000000005</v>
      </c>
      <c r="Q93" s="160">
        <v>4.1666650000000001</v>
      </c>
      <c r="R93" s="160">
        <v>4.4886359999999996</v>
      </c>
      <c r="S93" s="160">
        <v>9.0397770000000008</v>
      </c>
      <c r="T93" s="227">
        <v>-2.3360251000000001</v>
      </c>
      <c r="U93" s="160">
        <v>0.1</v>
      </c>
      <c r="V93" s="160">
        <v>0.5</v>
      </c>
      <c r="W93" s="160">
        <v>56493</v>
      </c>
      <c r="X93" s="160">
        <v>26.2</v>
      </c>
      <c r="Y93" s="160">
        <v>15.8</v>
      </c>
      <c r="Z93" s="160">
        <v>4.4434459999999998</v>
      </c>
      <c r="AA93" s="160">
        <v>2.8094030000000001</v>
      </c>
    </row>
    <row r="94" spans="1:27">
      <c r="A94">
        <v>9</v>
      </c>
      <c r="B94" t="s">
        <v>36</v>
      </c>
      <c r="C94" t="s">
        <v>35</v>
      </c>
      <c r="D94">
        <v>2014</v>
      </c>
      <c r="E94" s="161">
        <v>1.1531400000000001</v>
      </c>
      <c r="F94" s="162">
        <v>2700000000</v>
      </c>
      <c r="G94" s="160">
        <v>0.62</v>
      </c>
      <c r="H94" s="161">
        <v>41.8718</v>
      </c>
      <c r="I94" s="160">
        <v>77.701999999999998</v>
      </c>
      <c r="J94" s="160">
        <v>3.4719669999999998</v>
      </c>
      <c r="K94" s="160">
        <v>9.7927510000000009</v>
      </c>
      <c r="L94" s="160">
        <v>2.7178689999999999</v>
      </c>
      <c r="M94" s="160">
        <v>0.1510029</v>
      </c>
      <c r="N94" s="160">
        <v>5.9788860000000001</v>
      </c>
      <c r="O94" s="160">
        <v>4.4308170000000002</v>
      </c>
      <c r="P94" s="160">
        <v>0.26236419999999999</v>
      </c>
      <c r="Q94" s="160">
        <v>4.2195080000000003</v>
      </c>
      <c r="R94" s="160">
        <v>4.4543470000000003</v>
      </c>
      <c r="S94" s="160">
        <v>9.0211919999999992</v>
      </c>
      <c r="T94" s="227">
        <v>-2.4079456000000001</v>
      </c>
      <c r="U94" s="160">
        <v>0.2</v>
      </c>
      <c r="V94" s="160">
        <v>0.60000001999999997</v>
      </c>
      <c r="W94" s="160">
        <v>64608</v>
      </c>
      <c r="X94" s="160">
        <v>26.3</v>
      </c>
      <c r="Y94" s="160">
        <v>15.4</v>
      </c>
      <c r="Z94" s="160">
        <v>4.4367850000000004</v>
      </c>
      <c r="AA94" s="160">
        <v>2.7972809999999999</v>
      </c>
    </row>
    <row r="95" spans="1:27">
      <c r="A95">
        <v>9</v>
      </c>
      <c r="B95" t="s">
        <v>36</v>
      </c>
      <c r="C95" t="s">
        <v>35</v>
      </c>
      <c r="D95">
        <v>2015</v>
      </c>
      <c r="E95" s="161">
        <v>0.65218500000000001</v>
      </c>
      <c r="F95" s="162">
        <v>1300000000</v>
      </c>
      <c r="G95" s="160">
        <v>0.55000000000000004</v>
      </c>
      <c r="H95" s="161">
        <v>38.721800000000002</v>
      </c>
      <c r="I95" s="160">
        <v>78.046000000000006</v>
      </c>
      <c r="J95" s="160">
        <v>3.508556</v>
      </c>
      <c r="K95" s="160">
        <v>9.7970539999999993</v>
      </c>
      <c r="L95" s="160">
        <v>2.682938</v>
      </c>
      <c r="M95" s="160">
        <v>0.1973743</v>
      </c>
      <c r="N95" s="160">
        <v>5.9215780000000002</v>
      </c>
      <c r="O95" s="160">
        <v>4.495355</v>
      </c>
      <c r="P95" s="160">
        <v>0.58778660000000005</v>
      </c>
      <c r="Q95" s="160">
        <v>2.7600099999999999</v>
      </c>
      <c r="R95" s="160">
        <v>4.4308170000000002</v>
      </c>
      <c r="S95" s="160">
        <v>9.0867730000000009</v>
      </c>
      <c r="T95" s="227">
        <v>-1.1394343</v>
      </c>
      <c r="U95" s="160">
        <v>0.30000000999999998</v>
      </c>
      <c r="V95" s="160">
        <v>0.60000001999999997</v>
      </c>
      <c r="W95" s="160">
        <v>55509</v>
      </c>
      <c r="X95" s="160">
        <v>29.5</v>
      </c>
      <c r="Y95" s="160">
        <v>15.8</v>
      </c>
      <c r="Z95" s="160">
        <v>4.4301959999999996</v>
      </c>
      <c r="AA95" s="160">
        <v>2.8622010000000002</v>
      </c>
    </row>
    <row r="96" spans="1:27">
      <c r="A96">
        <v>9</v>
      </c>
      <c r="B96" t="s">
        <v>36</v>
      </c>
      <c r="C96" t="s">
        <v>35</v>
      </c>
      <c r="D96">
        <v>2016</v>
      </c>
      <c r="E96" s="161">
        <v>1.39751</v>
      </c>
      <c r="F96" s="162">
        <v>2700000000</v>
      </c>
      <c r="G96" s="160">
        <v>0.52</v>
      </c>
      <c r="H96" s="161">
        <v>38.819800000000001</v>
      </c>
      <c r="I96" s="160">
        <v>78.387</v>
      </c>
      <c r="J96" s="160">
        <v>3.4750670000000001</v>
      </c>
      <c r="K96" s="160">
        <v>9.8008959999999998</v>
      </c>
      <c r="L96" s="160">
        <v>2.6348340000000001</v>
      </c>
      <c r="M96" s="160">
        <v>0.24990229999999999</v>
      </c>
      <c r="N96" s="160">
        <v>6.0210229999999996</v>
      </c>
      <c r="O96" s="160">
        <v>4.4473459999999996</v>
      </c>
      <c r="P96" s="160">
        <v>0.74193730000000002</v>
      </c>
      <c r="Q96" s="160">
        <v>3.955082</v>
      </c>
      <c r="R96" s="160">
        <v>4.4308170000000002</v>
      </c>
      <c r="S96" s="160">
        <v>9.0837719999999997</v>
      </c>
      <c r="T96" s="227">
        <v>-2.4079456000000001</v>
      </c>
      <c r="U96" s="160">
        <v>0.30000000999999998</v>
      </c>
      <c r="V96" s="160">
        <v>0.60000001999999997</v>
      </c>
      <c r="W96" s="160">
        <v>66723</v>
      </c>
      <c r="X96" s="160">
        <v>32.5</v>
      </c>
      <c r="Y96" s="160">
        <v>17.2</v>
      </c>
      <c r="Z96" s="160">
        <v>4.4260380000000001</v>
      </c>
      <c r="AA96" s="160">
        <v>2.7972809999999999</v>
      </c>
    </row>
    <row r="97" spans="1:27">
      <c r="A97">
        <v>9</v>
      </c>
      <c r="B97" t="s">
        <v>36</v>
      </c>
      <c r="C97" t="s">
        <v>35</v>
      </c>
      <c r="D97">
        <v>2017</v>
      </c>
      <c r="E97" s="161">
        <v>1.7162999999999999</v>
      </c>
      <c r="F97" s="162">
        <v>3400000000</v>
      </c>
      <c r="G97" s="160">
        <v>0.53</v>
      </c>
      <c r="H97" s="161">
        <v>42.979100000000003</v>
      </c>
      <c r="I97" s="160">
        <v>78.724000000000004</v>
      </c>
      <c r="J97" s="160">
        <v>3.5025499999999998</v>
      </c>
      <c r="K97" s="160">
        <v>9.8174989999999998</v>
      </c>
      <c r="L97" s="160">
        <v>2.5829399999999998</v>
      </c>
      <c r="M97" s="160">
        <v>0.2740648</v>
      </c>
      <c r="N97" s="160">
        <v>6.0402550000000002</v>
      </c>
      <c r="O97" s="160">
        <v>4.3669130000000003</v>
      </c>
      <c r="P97" s="160">
        <v>0.91629079999999996</v>
      </c>
      <c r="Q97" s="160">
        <v>2.7408399999999999</v>
      </c>
      <c r="R97" s="160">
        <v>4.4773370000000003</v>
      </c>
      <c r="S97" s="160">
        <v>9.0190439999999992</v>
      </c>
      <c r="T97" s="227">
        <v>-1.5606477000000001</v>
      </c>
      <c r="U97" s="160">
        <v>0.30000000999999998</v>
      </c>
      <c r="V97" s="160">
        <v>0.60000001999999997</v>
      </c>
      <c r="W97" s="160">
        <v>61594</v>
      </c>
      <c r="X97" s="160">
        <v>33.799999999999997</v>
      </c>
      <c r="Y97" s="160">
        <v>18.899999999999999</v>
      </c>
      <c r="Z97" s="160">
        <v>4.4240589999999997</v>
      </c>
      <c r="AA97" s="160">
        <v>2.7972809999999999</v>
      </c>
    </row>
    <row r="98" spans="1:27">
      <c r="A98">
        <v>9</v>
      </c>
      <c r="B98" t="s">
        <v>36</v>
      </c>
      <c r="C98" t="s">
        <v>35</v>
      </c>
      <c r="D98">
        <v>2018</v>
      </c>
      <c r="E98" s="161">
        <v>1.88723</v>
      </c>
      <c r="F98" s="162">
        <v>4000000000</v>
      </c>
      <c r="G98" s="160">
        <v>0.49</v>
      </c>
      <c r="H98" s="161">
        <v>48.466700000000003</v>
      </c>
      <c r="I98" s="160">
        <v>79.058000000000007</v>
      </c>
      <c r="J98" s="160">
        <v>3.4965079999999999</v>
      </c>
      <c r="K98" s="160">
        <v>9.8399619999999999</v>
      </c>
      <c r="L98" s="160">
        <v>2.563949</v>
      </c>
      <c r="M98" s="160">
        <v>0.31903540000000002</v>
      </c>
      <c r="N98" s="160">
        <v>6.0544399999999996</v>
      </c>
      <c r="O98" s="160">
        <v>4.3907379999999998</v>
      </c>
      <c r="P98" s="160">
        <v>1.0986119999999999</v>
      </c>
      <c r="Q98" s="160">
        <v>1.8405499999999999</v>
      </c>
      <c r="R98" s="160">
        <v>4.5432949999999996</v>
      </c>
      <c r="S98" s="160">
        <v>8.8905379999999994</v>
      </c>
      <c r="T98" s="227">
        <v>-2.5336028000000002</v>
      </c>
      <c r="U98" s="160">
        <v>0.1</v>
      </c>
      <c r="V98" s="160">
        <v>0.69999999000000002</v>
      </c>
      <c r="W98" s="160">
        <v>70128</v>
      </c>
      <c r="X98" s="160">
        <v>35.5</v>
      </c>
      <c r="Y98" s="160">
        <v>20.100000000000001</v>
      </c>
      <c r="Z98" s="160">
        <v>4.4220300000000003</v>
      </c>
      <c r="AA98" s="160">
        <v>2.8848009999999999</v>
      </c>
    </row>
    <row r="99" spans="1:27">
      <c r="A99">
        <v>9</v>
      </c>
      <c r="B99" t="s">
        <v>36</v>
      </c>
      <c r="C99" t="s">
        <v>35</v>
      </c>
      <c r="D99">
        <v>2019</v>
      </c>
      <c r="E99" s="161">
        <v>2.4117199999999999</v>
      </c>
      <c r="F99" s="162">
        <v>5000000000</v>
      </c>
      <c r="G99" s="160">
        <v>0.5</v>
      </c>
      <c r="H99" s="161">
        <v>48.378300000000003</v>
      </c>
      <c r="I99" s="160">
        <v>79.388000000000005</v>
      </c>
      <c r="J99" s="160">
        <v>3.5174979999999998</v>
      </c>
      <c r="K99" s="160">
        <v>9.8635350000000006</v>
      </c>
      <c r="L99" s="160">
        <v>2.549445</v>
      </c>
      <c r="M99" s="160">
        <v>0.38967449999999998</v>
      </c>
      <c r="N99" s="160">
        <v>6.0661079999999998</v>
      </c>
      <c r="O99" s="160">
        <v>4.3694480000000002</v>
      </c>
      <c r="P99" s="160">
        <v>1.1939219999999999</v>
      </c>
      <c r="Q99" s="160">
        <v>1.6677070000000001</v>
      </c>
      <c r="R99" s="160">
        <v>4.5325990000000003</v>
      </c>
      <c r="S99" s="160">
        <v>8.7430489999999992</v>
      </c>
      <c r="T99" s="227">
        <v>-3.5065578999999998</v>
      </c>
      <c r="U99" s="160">
        <v>0.2</v>
      </c>
      <c r="V99" s="160">
        <v>0.80000000999999998</v>
      </c>
      <c r="W99" s="160">
        <v>72533</v>
      </c>
      <c r="X99" s="160">
        <v>36.299999999999997</v>
      </c>
      <c r="Y99" s="160">
        <v>21</v>
      </c>
      <c r="Z99" s="160">
        <v>4.4209769999999997</v>
      </c>
      <c r="AA99" s="160">
        <v>2.9177710000000001</v>
      </c>
    </row>
    <row r="100" spans="1:27">
      <c r="A100">
        <v>9</v>
      </c>
      <c r="B100" t="s">
        <v>36</v>
      </c>
      <c r="C100" t="s">
        <v>35</v>
      </c>
      <c r="D100">
        <v>2020</v>
      </c>
      <c r="E100" s="161">
        <v>1.72638</v>
      </c>
      <c r="F100" s="162">
        <v>3300000000</v>
      </c>
      <c r="G100" s="160">
        <v>0.49</v>
      </c>
      <c r="H100" s="161">
        <v>47.638300000000001</v>
      </c>
      <c r="I100" s="160">
        <v>79.715000000000003</v>
      </c>
      <c r="J100" s="160">
        <v>3.535145</v>
      </c>
      <c r="K100" s="160">
        <v>9.7692130000000006</v>
      </c>
      <c r="L100" s="160">
        <v>2.4686080000000001</v>
      </c>
      <c r="M100" s="160">
        <v>0.42074780000000001</v>
      </c>
      <c r="N100" s="160">
        <v>6.077642</v>
      </c>
      <c r="O100" s="160">
        <v>4.4379340000000003</v>
      </c>
      <c r="P100" s="160">
        <v>1.435084</v>
      </c>
      <c r="Q100" s="160">
        <v>2.9338570000000002</v>
      </c>
      <c r="R100" s="160">
        <v>4.4308170000000002</v>
      </c>
      <c r="S100" s="160">
        <v>8.569979</v>
      </c>
      <c r="T100" s="227">
        <v>-2.9957322999999998</v>
      </c>
      <c r="U100" s="160">
        <v>0.1</v>
      </c>
      <c r="V100" s="160">
        <v>0.60000001999999997</v>
      </c>
      <c r="W100" s="160">
        <v>61139</v>
      </c>
      <c r="X100" s="160">
        <v>39.200000000000003</v>
      </c>
      <c r="Y100" s="160">
        <v>18.100000000000001</v>
      </c>
      <c r="Z100" s="160">
        <v>4.418831</v>
      </c>
      <c r="AA100" s="160">
        <v>3.0007199999999998</v>
      </c>
    </row>
    <row r="101" spans="1:27">
      <c r="A101">
        <v>10</v>
      </c>
      <c r="B101" t="s">
        <v>34</v>
      </c>
      <c r="C101" t="s">
        <v>4</v>
      </c>
      <c r="D101">
        <v>2010</v>
      </c>
      <c r="E101" s="161">
        <v>2.5636999999999999</v>
      </c>
      <c r="F101" s="162">
        <v>37000000000</v>
      </c>
      <c r="G101" s="160">
        <v>0.84</v>
      </c>
      <c r="H101" s="161">
        <v>40.716999999999999</v>
      </c>
      <c r="I101" s="160">
        <v>78.441999999999993</v>
      </c>
      <c r="J101" s="160">
        <v>2.6026899999999999</v>
      </c>
      <c r="K101" s="160">
        <v>10.15682</v>
      </c>
      <c r="L101" s="160">
        <v>2.5950310000000001</v>
      </c>
      <c r="M101" s="160">
        <v>0.60595390000000005</v>
      </c>
      <c r="N101" s="160">
        <v>6.190315</v>
      </c>
      <c r="O101" s="160">
        <v>4.2106450000000004</v>
      </c>
      <c r="P101" s="160">
        <v>0.3364722</v>
      </c>
      <c r="Q101" s="160">
        <v>8.4052100000000003</v>
      </c>
      <c r="R101" s="160">
        <v>4.6051700000000002</v>
      </c>
      <c r="S101" s="160">
        <v>8.7324520000000003</v>
      </c>
      <c r="T101" s="227">
        <v>-0.96758401000000005</v>
      </c>
      <c r="U101" s="160">
        <v>0.10000002</v>
      </c>
      <c r="V101" s="160">
        <v>0.99999987999999995</v>
      </c>
      <c r="W101" s="160">
        <v>354615</v>
      </c>
      <c r="X101" s="160">
        <v>32.6</v>
      </c>
      <c r="Y101" s="160">
        <v>29.2</v>
      </c>
      <c r="Z101" s="160">
        <v>4.5342320000000003</v>
      </c>
      <c r="AA101" s="160">
        <v>2.6672280000000002</v>
      </c>
    </row>
    <row r="102" spans="1:27">
      <c r="A102">
        <v>10</v>
      </c>
      <c r="B102" t="s">
        <v>34</v>
      </c>
      <c r="C102" t="s">
        <v>4</v>
      </c>
      <c r="D102">
        <v>2011</v>
      </c>
      <c r="E102" s="161">
        <v>1.80375</v>
      </c>
      <c r="F102" s="162">
        <v>27000000000</v>
      </c>
      <c r="G102" s="160">
        <v>0.83</v>
      </c>
      <c r="H102" s="161">
        <v>45.924399999999999</v>
      </c>
      <c r="I102" s="160">
        <v>78.673000000000002</v>
      </c>
      <c r="J102" s="160">
        <v>2.6026899999999999</v>
      </c>
      <c r="K102" s="160">
        <v>10.146850000000001</v>
      </c>
      <c r="L102" s="160">
        <v>2.496753</v>
      </c>
      <c r="M102" s="160">
        <v>0.72285160000000004</v>
      </c>
      <c r="N102" s="160">
        <v>6.2106000000000003</v>
      </c>
      <c r="O102" s="160">
        <v>4.3857699999999999</v>
      </c>
      <c r="P102" s="160">
        <v>2.292535</v>
      </c>
      <c r="Q102" s="160">
        <v>8.4040020000000002</v>
      </c>
      <c r="R102" s="160">
        <v>4.5849679999999999</v>
      </c>
      <c r="S102" s="160">
        <v>8.6350990000000003</v>
      </c>
      <c r="T102" s="227">
        <v>-0.96758401000000005</v>
      </c>
      <c r="U102" s="160">
        <v>0.20000002</v>
      </c>
      <c r="V102" s="160">
        <v>1.1999998999999999</v>
      </c>
      <c r="W102" s="160">
        <v>347090</v>
      </c>
      <c r="X102" s="160">
        <v>35.4</v>
      </c>
      <c r="Y102" s="160">
        <v>26.7</v>
      </c>
      <c r="Z102" s="160">
        <v>4.5380450000000003</v>
      </c>
      <c r="AA102" s="160">
        <v>2.6878470000000001</v>
      </c>
    </row>
    <row r="103" spans="1:27">
      <c r="A103">
        <v>10</v>
      </c>
      <c r="B103" t="s">
        <v>34</v>
      </c>
      <c r="C103" t="s">
        <v>4</v>
      </c>
      <c r="D103">
        <v>2012</v>
      </c>
      <c r="E103" s="161">
        <v>1.5663800000000001</v>
      </c>
      <c r="F103" s="162">
        <v>21000000000</v>
      </c>
      <c r="G103" s="160">
        <v>0.83</v>
      </c>
      <c r="H103" s="161">
        <v>47.527500000000003</v>
      </c>
      <c r="I103" s="160">
        <v>78.902000000000001</v>
      </c>
      <c r="J103" s="160">
        <v>2.6741489999999999</v>
      </c>
      <c r="K103" s="160">
        <v>10.11713</v>
      </c>
      <c r="L103" s="160">
        <v>2.2218089999999999</v>
      </c>
      <c r="M103" s="160">
        <v>0.92143750000000002</v>
      </c>
      <c r="N103" s="160">
        <v>6.2225760000000001</v>
      </c>
      <c r="O103" s="160">
        <v>4.4367510000000001</v>
      </c>
      <c r="P103" s="160">
        <v>2.2823820000000001</v>
      </c>
      <c r="Q103" s="160">
        <v>8.6679209999999998</v>
      </c>
      <c r="R103" s="160">
        <v>4.5747109999999997</v>
      </c>
      <c r="S103" s="160">
        <v>8.6466100000000008</v>
      </c>
      <c r="T103" s="227">
        <v>-0.94160854999999999</v>
      </c>
      <c r="U103" s="160">
        <v>0.30000000999999998</v>
      </c>
      <c r="V103" s="160">
        <v>1.4</v>
      </c>
      <c r="W103" s="160">
        <v>343199</v>
      </c>
      <c r="X103" s="160">
        <v>41.5</v>
      </c>
      <c r="Y103" s="160">
        <v>29.8</v>
      </c>
      <c r="Z103" s="160">
        <v>4.5380339999999997</v>
      </c>
      <c r="AA103" s="160">
        <v>2.7600099999999999</v>
      </c>
    </row>
    <row r="104" spans="1:27">
      <c r="A104">
        <v>10</v>
      </c>
      <c r="B104" t="s">
        <v>34</v>
      </c>
      <c r="C104" t="s">
        <v>4</v>
      </c>
      <c r="D104">
        <v>2013</v>
      </c>
      <c r="E104" s="161">
        <v>3.4608599999999998</v>
      </c>
      <c r="F104" s="162">
        <v>47000000000</v>
      </c>
      <c r="G104" s="160">
        <v>0.84</v>
      </c>
      <c r="H104" s="161">
        <v>48.336300000000001</v>
      </c>
      <c r="I104" s="160">
        <v>79.132999999999996</v>
      </c>
      <c r="J104" s="160">
        <v>2.6741489999999999</v>
      </c>
      <c r="K104" s="160">
        <v>10.106030000000001</v>
      </c>
      <c r="L104" s="160">
        <v>2.1247739999999999</v>
      </c>
      <c r="M104" s="160">
        <v>0.97036219999999995</v>
      </c>
      <c r="N104" s="160">
        <v>6.244167</v>
      </c>
      <c r="O104" s="160">
        <v>4.4067189999999998</v>
      </c>
      <c r="P104" s="160">
        <v>2.186051</v>
      </c>
      <c r="Q104" s="160">
        <v>8.7221569999999993</v>
      </c>
      <c r="R104" s="160">
        <v>4.5747109999999997</v>
      </c>
      <c r="S104" s="160">
        <v>8.6847159999999999</v>
      </c>
      <c r="T104" s="227">
        <v>-0.44628712999999998</v>
      </c>
      <c r="U104" s="160">
        <v>0.40000001000000002</v>
      </c>
      <c r="V104" s="160">
        <v>1.6</v>
      </c>
      <c r="W104" s="160">
        <v>362476</v>
      </c>
      <c r="X104" s="160">
        <v>41.7</v>
      </c>
      <c r="Y104" s="160">
        <v>32.5</v>
      </c>
      <c r="Z104" s="160">
        <v>4.5347569999999999</v>
      </c>
      <c r="AA104" s="160">
        <v>2.8273139999999999</v>
      </c>
    </row>
    <row r="105" spans="1:27">
      <c r="A105">
        <v>10</v>
      </c>
      <c r="B105" t="s">
        <v>34</v>
      </c>
      <c r="C105" t="s">
        <v>4</v>
      </c>
      <c r="D105">
        <v>2014</v>
      </c>
      <c r="E105" s="161">
        <v>2.3164199999999999</v>
      </c>
      <c r="F105" s="162">
        <v>32000000000</v>
      </c>
      <c r="G105" s="160">
        <v>0.88</v>
      </c>
      <c r="H105" s="161">
        <v>49.512500000000003</v>
      </c>
      <c r="I105" s="160">
        <v>79.366</v>
      </c>
      <c r="J105" s="160">
        <v>2.6878470000000001</v>
      </c>
      <c r="K105" s="160">
        <v>10.12411</v>
      </c>
      <c r="L105" s="160">
        <v>2.157559</v>
      </c>
      <c r="M105" s="160">
        <v>0.97414449999999997</v>
      </c>
      <c r="N105" s="160">
        <v>6.2614919999999996</v>
      </c>
      <c r="O105" s="160">
        <v>4.3425060000000002</v>
      </c>
      <c r="P105" s="160">
        <v>2.04122</v>
      </c>
      <c r="Q105" s="160">
        <v>8.691046</v>
      </c>
      <c r="R105" s="160">
        <v>4.5951199999999996</v>
      </c>
      <c r="S105" s="160">
        <v>8.6396789999999992</v>
      </c>
      <c r="T105" s="227">
        <v>-0.75502259000000005</v>
      </c>
      <c r="U105" s="160">
        <v>0.40000001000000002</v>
      </c>
      <c r="V105" s="160">
        <v>1.6</v>
      </c>
      <c r="W105" s="160">
        <v>364718</v>
      </c>
      <c r="X105" s="160">
        <v>43.3</v>
      </c>
      <c r="Y105" s="160">
        <v>30.8</v>
      </c>
      <c r="Z105" s="160">
        <v>4.5317679999999996</v>
      </c>
      <c r="AA105" s="160">
        <v>2.8507060000000002</v>
      </c>
    </row>
    <row r="106" spans="1:27">
      <c r="A106">
        <v>10</v>
      </c>
      <c r="B106" t="s">
        <v>34</v>
      </c>
      <c r="C106" t="s">
        <v>4</v>
      </c>
      <c r="D106">
        <v>2015</v>
      </c>
      <c r="E106" s="161">
        <v>1.97132</v>
      </c>
      <c r="F106" s="162">
        <v>24000000000</v>
      </c>
      <c r="G106" s="160">
        <v>0.88</v>
      </c>
      <c r="H106" s="161">
        <v>49.257399999999997</v>
      </c>
      <c r="I106" s="160">
        <v>79.602000000000004</v>
      </c>
      <c r="J106" s="160">
        <v>2.7408399999999999</v>
      </c>
      <c r="K106" s="160">
        <v>10.16469</v>
      </c>
      <c r="L106" s="160">
        <v>2.2266759999999999</v>
      </c>
      <c r="M106" s="160">
        <v>0.96740199999999998</v>
      </c>
      <c r="N106" s="160">
        <v>6.2126060000000001</v>
      </c>
      <c r="O106" s="160">
        <v>4.326778</v>
      </c>
      <c r="P106" s="160">
        <v>2.0281479999999998</v>
      </c>
      <c r="Q106" s="160">
        <v>8.7846519999999995</v>
      </c>
      <c r="R106" s="160">
        <v>4.6151200000000001</v>
      </c>
      <c r="S106" s="160">
        <v>8.6884829999999997</v>
      </c>
      <c r="T106" s="227">
        <v>-0.94160854999999999</v>
      </c>
      <c r="U106" s="160">
        <v>0.40000001000000002</v>
      </c>
      <c r="V106" s="160">
        <v>1.6</v>
      </c>
      <c r="W106" s="160">
        <v>384276</v>
      </c>
      <c r="X106" s="160">
        <v>43.7</v>
      </c>
      <c r="Y106" s="160">
        <v>30</v>
      </c>
      <c r="Z106" s="160">
        <v>4.5320910000000003</v>
      </c>
      <c r="AA106" s="160">
        <v>2.7911649999999999</v>
      </c>
    </row>
    <row r="107" spans="1:27">
      <c r="A107">
        <v>10</v>
      </c>
      <c r="B107" t="s">
        <v>34</v>
      </c>
      <c r="C107" t="s">
        <v>4</v>
      </c>
      <c r="D107">
        <v>2016</v>
      </c>
      <c r="E107" s="161">
        <v>3.6172200000000001</v>
      </c>
      <c r="F107" s="162">
        <v>45000000000</v>
      </c>
      <c r="G107" s="160">
        <v>0.87</v>
      </c>
      <c r="H107" s="161">
        <v>48.342300000000002</v>
      </c>
      <c r="I107" s="160">
        <v>79.84</v>
      </c>
      <c r="J107" s="160">
        <v>2.6878470000000001</v>
      </c>
      <c r="K107" s="160">
        <v>10.19258</v>
      </c>
      <c r="L107" s="160">
        <v>2.2659210000000001</v>
      </c>
      <c r="M107" s="160">
        <v>1.021587</v>
      </c>
      <c r="N107" s="160">
        <v>6.2324479999999998</v>
      </c>
      <c r="O107" s="160">
        <v>4.4750610000000002</v>
      </c>
      <c r="P107" s="160">
        <v>2.1041340000000002</v>
      </c>
      <c r="Q107" s="160">
        <v>8.9288519999999991</v>
      </c>
      <c r="R107" s="160">
        <v>4.6539599999999997</v>
      </c>
      <c r="S107" s="160">
        <v>8.6581220000000005</v>
      </c>
      <c r="T107" s="227">
        <v>-0.52763276999999997</v>
      </c>
      <c r="U107" s="160">
        <v>0.40000001000000002</v>
      </c>
      <c r="V107" s="160">
        <v>1.6</v>
      </c>
      <c r="W107" s="160">
        <v>405105</v>
      </c>
      <c r="X107" s="160">
        <v>42.9</v>
      </c>
      <c r="Y107" s="160">
        <v>33.9</v>
      </c>
      <c r="Z107" s="160">
        <v>4.5331299999999999</v>
      </c>
      <c r="AA107" s="160">
        <v>2.8154089999999998</v>
      </c>
    </row>
    <row r="108" spans="1:27">
      <c r="A108">
        <v>10</v>
      </c>
      <c r="B108" t="s">
        <v>34</v>
      </c>
      <c r="C108" t="s">
        <v>4</v>
      </c>
      <c r="D108">
        <v>2017</v>
      </c>
      <c r="E108" s="161">
        <v>2.5403899999999999</v>
      </c>
      <c r="F108" s="162">
        <v>34000000000</v>
      </c>
      <c r="G108" s="160">
        <v>0.9</v>
      </c>
      <c r="H108" s="161">
        <v>50.804600000000001</v>
      </c>
      <c r="I108" s="160">
        <v>80.08</v>
      </c>
      <c r="J108" s="160">
        <v>2.721295</v>
      </c>
      <c r="K108" s="160">
        <v>10.218780000000001</v>
      </c>
      <c r="L108" s="160">
        <v>2.2569599999999999</v>
      </c>
      <c r="M108" s="160">
        <v>1.0301910000000001</v>
      </c>
      <c r="N108" s="160">
        <v>6.364751</v>
      </c>
      <c r="O108" s="160">
        <v>4.420045</v>
      </c>
      <c r="P108" s="160">
        <v>2.1747519999999998</v>
      </c>
      <c r="Q108" s="160">
        <v>9.1112819999999992</v>
      </c>
      <c r="R108" s="160">
        <v>4.6539599999999997</v>
      </c>
      <c r="S108" s="160">
        <v>8.5869979999999995</v>
      </c>
      <c r="T108" s="227">
        <v>-1.1086625999999999</v>
      </c>
      <c r="U108" s="160">
        <v>0.40000001000000002</v>
      </c>
      <c r="V108" s="160">
        <v>1.6</v>
      </c>
      <c r="W108" s="160">
        <v>414861</v>
      </c>
      <c r="X108" s="160">
        <v>45.7</v>
      </c>
      <c r="Y108" s="160">
        <v>36.1</v>
      </c>
      <c r="Z108" s="160">
        <v>4.5355080000000001</v>
      </c>
      <c r="AA108" s="160">
        <v>2.721295</v>
      </c>
    </row>
    <row r="109" spans="1:27">
      <c r="A109">
        <v>10</v>
      </c>
      <c r="B109" t="s">
        <v>34</v>
      </c>
      <c r="C109" t="s">
        <v>4</v>
      </c>
      <c r="D109">
        <v>2018</v>
      </c>
      <c r="E109" s="161">
        <v>4.4674800000000001</v>
      </c>
      <c r="F109" s="162">
        <v>64000000000</v>
      </c>
      <c r="G109" s="160">
        <v>0.85</v>
      </c>
      <c r="H109" s="161">
        <v>51.501399999999997</v>
      </c>
      <c r="I109" s="160">
        <v>80.320999999999998</v>
      </c>
      <c r="J109" s="160">
        <v>2.747271</v>
      </c>
      <c r="K109" s="160">
        <v>10.23808</v>
      </c>
      <c r="L109" s="160">
        <v>2.378898</v>
      </c>
      <c r="M109" s="160">
        <v>0.96538559999999995</v>
      </c>
      <c r="N109" s="160">
        <v>6.4815769999999997</v>
      </c>
      <c r="O109" s="160">
        <v>4.4566699999999999</v>
      </c>
      <c r="P109" s="160">
        <v>2.186051</v>
      </c>
      <c r="Q109" s="160">
        <v>9.1271979999999999</v>
      </c>
      <c r="R109" s="160">
        <v>4.7004799999999998</v>
      </c>
      <c r="S109" s="160">
        <v>8.4264349999999997</v>
      </c>
      <c r="T109" s="227">
        <v>-0.94160854999999999</v>
      </c>
      <c r="U109" s="160">
        <v>0.40000001000000002</v>
      </c>
      <c r="V109" s="160">
        <v>1.7</v>
      </c>
      <c r="W109" s="160">
        <v>426566</v>
      </c>
      <c r="X109" s="160">
        <v>42.8</v>
      </c>
      <c r="Y109" s="160">
        <v>34.799999999999997</v>
      </c>
      <c r="Z109" s="160">
        <v>4.5397759999999998</v>
      </c>
      <c r="AA109" s="160">
        <v>2.8273139999999999</v>
      </c>
    </row>
    <row r="110" spans="1:27">
      <c r="A110">
        <v>10</v>
      </c>
      <c r="B110" t="s">
        <v>34</v>
      </c>
      <c r="C110" t="s">
        <v>4</v>
      </c>
      <c r="D110">
        <v>2019</v>
      </c>
      <c r="E110" s="161">
        <v>2.16052</v>
      </c>
      <c r="F110" s="162">
        <v>30000000000</v>
      </c>
      <c r="G110" s="160">
        <v>0.81</v>
      </c>
      <c r="H110" s="161">
        <v>50.357700000000001</v>
      </c>
      <c r="I110" s="160">
        <v>80.564999999999998</v>
      </c>
      <c r="J110" s="160">
        <v>2.7788189999999999</v>
      </c>
      <c r="K110" s="160">
        <v>10.25032</v>
      </c>
      <c r="L110" s="160">
        <v>2.2790089999999998</v>
      </c>
      <c r="M110" s="160">
        <v>1.0058020000000001</v>
      </c>
      <c r="N110" s="160">
        <v>6.4800440000000004</v>
      </c>
      <c r="O110" s="160">
        <v>4.3782699999999997</v>
      </c>
      <c r="P110" s="160">
        <v>2.197225</v>
      </c>
      <c r="Q110" s="160">
        <v>8.6383659999999995</v>
      </c>
      <c r="R110" s="160">
        <v>4.7004799999999998</v>
      </c>
      <c r="S110" s="160">
        <v>8.2350659999999998</v>
      </c>
      <c r="T110" s="227">
        <v>-0.96758401000000005</v>
      </c>
      <c r="U110" s="160">
        <v>0.5</v>
      </c>
      <c r="V110" s="160">
        <v>1.8</v>
      </c>
      <c r="W110" s="160">
        <v>455530</v>
      </c>
      <c r="X110" s="160">
        <v>41.8</v>
      </c>
      <c r="Y110" s="160">
        <v>38</v>
      </c>
      <c r="Z110" s="160">
        <v>4.5470199999999998</v>
      </c>
      <c r="AA110" s="160">
        <v>2.8154089999999998</v>
      </c>
    </row>
    <row r="111" spans="1:27">
      <c r="A111">
        <v>10</v>
      </c>
      <c r="B111" t="s">
        <v>34</v>
      </c>
      <c r="C111" t="s">
        <v>4</v>
      </c>
      <c r="D111">
        <v>2020</v>
      </c>
      <c r="E111" s="161">
        <v>2.9216600000000001</v>
      </c>
      <c r="F111" s="162">
        <v>38000000000</v>
      </c>
      <c r="G111" s="160">
        <v>0.83</v>
      </c>
      <c r="H111" s="161">
        <v>49.195</v>
      </c>
      <c r="I111" s="160">
        <v>80.81</v>
      </c>
      <c r="J111" s="160">
        <v>2.8154089999999998</v>
      </c>
      <c r="K111" s="160">
        <v>10.129569999999999</v>
      </c>
      <c r="L111" s="160">
        <v>2.2649870000000001</v>
      </c>
      <c r="M111" s="160">
        <v>0.91372739999999997</v>
      </c>
      <c r="N111" s="160">
        <v>6.4567690000000004</v>
      </c>
      <c r="O111" s="160">
        <v>4.4520189999999999</v>
      </c>
      <c r="P111" s="160">
        <v>2.2300140000000002</v>
      </c>
      <c r="Q111" s="160">
        <v>8.3254999999999999</v>
      </c>
      <c r="R111" s="160">
        <v>4.6443909999999997</v>
      </c>
      <c r="S111" s="160">
        <v>7.9981970000000002</v>
      </c>
      <c r="T111" s="227">
        <v>-0.79850774999999996</v>
      </c>
      <c r="U111" s="160">
        <v>0.5</v>
      </c>
      <c r="V111" s="160">
        <v>2</v>
      </c>
      <c r="W111" s="160">
        <v>448860</v>
      </c>
      <c r="X111" s="160">
        <v>37.9</v>
      </c>
      <c r="Y111" s="160">
        <v>38.9</v>
      </c>
      <c r="Z111" s="160">
        <v>4.5519319999999999</v>
      </c>
      <c r="AA111" s="160">
        <v>2.960105</v>
      </c>
    </row>
    <row r="112" spans="1:27">
      <c r="A112">
        <v>11</v>
      </c>
      <c r="B112" t="s">
        <v>33</v>
      </c>
      <c r="C112" t="s">
        <v>32</v>
      </c>
      <c r="D112">
        <v>2010</v>
      </c>
      <c r="E112" s="161">
        <v>4.8996000000000004</v>
      </c>
      <c r="F112" s="162">
        <v>12000000000</v>
      </c>
      <c r="G112" s="160">
        <v>0.64</v>
      </c>
      <c r="H112" s="161">
        <v>55.454900000000002</v>
      </c>
      <c r="I112" s="160">
        <v>83.77</v>
      </c>
      <c r="J112" s="160">
        <v>3.3141859999999999</v>
      </c>
      <c r="K112" s="160">
        <v>10.68181</v>
      </c>
      <c r="L112" s="160">
        <v>3.8630640000000001</v>
      </c>
      <c r="M112" s="160">
        <v>-0.12817429999999999</v>
      </c>
      <c r="N112" s="160">
        <v>6.1202969999999999</v>
      </c>
      <c r="O112" s="160">
        <v>4.4830030000000001</v>
      </c>
      <c r="P112" s="160">
        <v>0.53062830000000005</v>
      </c>
      <c r="Q112" s="160">
        <v>5.5222610000000003</v>
      </c>
      <c r="R112" s="160">
        <v>4.6051700000000002</v>
      </c>
      <c r="S112" s="160">
        <v>9.2917210000000008</v>
      </c>
      <c r="T112" s="227">
        <v>1.0331843999999999</v>
      </c>
      <c r="U112" s="160">
        <v>0.59999999000000004</v>
      </c>
      <c r="V112" s="160">
        <v>1.8000001000000001</v>
      </c>
      <c r="W112" s="160">
        <v>43125</v>
      </c>
      <c r="X112" s="160">
        <v>22.1</v>
      </c>
      <c r="Y112" s="160">
        <v>32.799999999999997</v>
      </c>
      <c r="Z112" s="160">
        <v>2.8706450000000001</v>
      </c>
      <c r="AA112" s="160">
        <v>3.508556</v>
      </c>
    </row>
    <row r="113" spans="1:27">
      <c r="A113">
        <v>11</v>
      </c>
      <c r="B113" t="s">
        <v>33</v>
      </c>
      <c r="C113" t="s">
        <v>32</v>
      </c>
      <c r="D113">
        <v>2011</v>
      </c>
      <c r="E113" s="161">
        <v>-2.1840600000000001</v>
      </c>
      <c r="F113" s="162">
        <v>-6000000000</v>
      </c>
      <c r="G113" s="160">
        <v>0.62</v>
      </c>
      <c r="H113" s="161">
        <v>59.393000000000001</v>
      </c>
      <c r="I113" s="160">
        <v>84.313000000000002</v>
      </c>
      <c r="J113" s="160">
        <v>3.3322050000000001</v>
      </c>
      <c r="K113" s="160">
        <v>10.700799999999999</v>
      </c>
      <c r="L113" s="160">
        <v>3.9206660000000002</v>
      </c>
      <c r="M113" s="160">
        <v>-8.3164299999999997E-2</v>
      </c>
      <c r="N113" s="160">
        <v>6.1047929999999999</v>
      </c>
      <c r="O113" s="160">
        <v>4.4897590000000003</v>
      </c>
      <c r="P113" s="160">
        <v>2.4336129999999998</v>
      </c>
      <c r="Q113" s="160">
        <v>4.6709579999999997</v>
      </c>
      <c r="R113" s="160">
        <v>4.6051700000000002</v>
      </c>
      <c r="S113" s="160">
        <v>9.3008190000000006</v>
      </c>
      <c r="T113" s="227">
        <v>0.37156358</v>
      </c>
      <c r="U113" s="160">
        <v>0.5</v>
      </c>
      <c r="V113" s="160">
        <v>1.7</v>
      </c>
      <c r="W113" s="160">
        <v>43389</v>
      </c>
      <c r="X113" s="160">
        <v>22.7</v>
      </c>
      <c r="Y113" s="160">
        <v>34.799999999999997</v>
      </c>
      <c r="Z113" s="160">
        <v>2.8753139999999999</v>
      </c>
      <c r="AA113" s="160">
        <v>3.5582009999999999</v>
      </c>
    </row>
    <row r="114" spans="1:27">
      <c r="A114">
        <v>11</v>
      </c>
      <c r="B114" t="s">
        <v>33</v>
      </c>
      <c r="C114" t="s">
        <v>32</v>
      </c>
      <c r="D114">
        <v>2012</v>
      </c>
      <c r="E114" s="161">
        <v>1.9151199999999999</v>
      </c>
      <c r="F114" s="162">
        <v>4900000000</v>
      </c>
      <c r="G114" s="160">
        <v>0.66</v>
      </c>
      <c r="H114" s="161">
        <v>58.088500000000003</v>
      </c>
      <c r="I114" s="160">
        <v>84.840999999999994</v>
      </c>
      <c r="J114" s="160">
        <v>3.2958370000000001</v>
      </c>
      <c r="K114" s="160">
        <v>10.6807</v>
      </c>
      <c r="L114" s="160">
        <v>3.8969299999999998</v>
      </c>
      <c r="M114" s="160">
        <v>-8.9487200000000003E-2</v>
      </c>
      <c r="N114" s="160">
        <v>6.1224930000000004</v>
      </c>
      <c r="O114" s="160">
        <v>4.4931210000000004</v>
      </c>
      <c r="P114" s="160">
        <v>2.501436</v>
      </c>
      <c r="Q114" s="160">
        <v>4.8918520000000001</v>
      </c>
      <c r="R114" s="160">
        <v>4.6443909999999997</v>
      </c>
      <c r="S114" s="160">
        <v>9.2210370000000008</v>
      </c>
      <c r="T114" s="227">
        <v>0.77472722999999999</v>
      </c>
      <c r="U114" s="160">
        <v>0.40000001000000002</v>
      </c>
      <c r="V114" s="160">
        <v>1.6</v>
      </c>
      <c r="W114" s="160">
        <v>43654</v>
      </c>
      <c r="X114" s="160">
        <v>20.7</v>
      </c>
      <c r="Y114" s="160">
        <v>33.299999999999997</v>
      </c>
      <c r="Z114" s="160">
        <v>2.8800750000000002</v>
      </c>
      <c r="AA114" s="160">
        <v>3.65584</v>
      </c>
    </row>
    <row r="115" spans="1:27">
      <c r="A115">
        <v>11</v>
      </c>
      <c r="B115" t="s">
        <v>33</v>
      </c>
      <c r="C115" t="s">
        <v>32</v>
      </c>
      <c r="D115">
        <v>2013</v>
      </c>
      <c r="E115" s="161">
        <v>-1.8348899999999999</v>
      </c>
      <c r="F115" s="162">
        <v>-5000000000</v>
      </c>
      <c r="G115" s="160">
        <v>0.67</v>
      </c>
      <c r="H115" s="161">
        <v>56.243099999999998</v>
      </c>
      <c r="I115" s="160">
        <v>85.125</v>
      </c>
      <c r="J115" s="160">
        <v>3.277145</v>
      </c>
      <c r="K115" s="160">
        <v>10.66624</v>
      </c>
      <c r="L115" s="160">
        <v>4.0019920000000004</v>
      </c>
      <c r="M115" s="160">
        <v>-0.22539609999999999</v>
      </c>
      <c r="N115" s="160">
        <v>6.1398840000000003</v>
      </c>
      <c r="O115" s="160">
        <v>4.4762000000000004</v>
      </c>
      <c r="P115" s="160">
        <v>2.0668630000000001</v>
      </c>
      <c r="Q115" s="160">
        <v>4.6802780000000004</v>
      </c>
      <c r="R115" s="160">
        <v>4.6539599999999997</v>
      </c>
      <c r="S115" s="160">
        <v>9.1582450000000009</v>
      </c>
      <c r="T115" s="227">
        <v>1.011601</v>
      </c>
      <c r="U115" s="160">
        <v>0.30000000999999998</v>
      </c>
      <c r="V115" s="160">
        <v>1.5</v>
      </c>
      <c r="W115" s="160">
        <v>43299</v>
      </c>
      <c r="X115" s="160">
        <v>19.3</v>
      </c>
      <c r="Y115" s="160">
        <v>32.5</v>
      </c>
      <c r="Z115" s="160">
        <v>2.8846780000000001</v>
      </c>
      <c r="AA115" s="160">
        <v>3.650658</v>
      </c>
    </row>
    <row r="116" spans="1:27">
      <c r="A116">
        <v>11</v>
      </c>
      <c r="B116" t="s">
        <v>33</v>
      </c>
      <c r="C116" t="s">
        <v>32</v>
      </c>
      <c r="D116">
        <v>2014</v>
      </c>
      <c r="E116" s="161">
        <v>6.4153700000000002</v>
      </c>
      <c r="F116" s="162">
        <v>18000000000</v>
      </c>
      <c r="G116" s="160">
        <v>0.64</v>
      </c>
      <c r="H116" s="161">
        <v>55.250399999999999</v>
      </c>
      <c r="I116" s="160">
        <v>85.174999999999997</v>
      </c>
      <c r="J116" s="160">
        <v>3.2386780000000002</v>
      </c>
      <c r="K116" s="160">
        <v>10.65732</v>
      </c>
      <c r="L116" s="160">
        <v>3.891289</v>
      </c>
      <c r="M116" s="160">
        <v>-9.1347999999999999E-2</v>
      </c>
      <c r="N116" s="160">
        <v>6.1590949999999998</v>
      </c>
      <c r="O116" s="160">
        <v>4.4750610000000002</v>
      </c>
      <c r="P116" s="160">
        <v>1.7047479999999999</v>
      </c>
      <c r="Q116" s="160">
        <v>5.400423</v>
      </c>
      <c r="R116" s="160">
        <v>4.6539599999999997</v>
      </c>
      <c r="S116" s="160">
        <v>9.21279</v>
      </c>
      <c r="T116" s="227">
        <v>1.0331843999999999</v>
      </c>
      <c r="U116" s="160">
        <v>0.40000001000000002</v>
      </c>
      <c r="V116" s="160">
        <v>1.5</v>
      </c>
      <c r="W116" s="160">
        <v>42277</v>
      </c>
      <c r="X116" s="160">
        <v>21.3</v>
      </c>
      <c r="Y116" s="160">
        <v>32.5</v>
      </c>
      <c r="Z116" s="160">
        <v>2.8888150000000001</v>
      </c>
      <c r="AA116" s="160">
        <v>3.7184379999999999</v>
      </c>
    </row>
    <row r="117" spans="1:27">
      <c r="A117">
        <v>11</v>
      </c>
      <c r="B117" t="s">
        <v>33</v>
      </c>
      <c r="C117" t="s">
        <v>32</v>
      </c>
      <c r="D117">
        <v>2015</v>
      </c>
      <c r="E117" s="161">
        <v>7.5380099999999999</v>
      </c>
      <c r="F117" s="162">
        <v>18000000000</v>
      </c>
      <c r="G117" s="160">
        <v>0.66</v>
      </c>
      <c r="H117" s="161">
        <v>51.561500000000002</v>
      </c>
      <c r="I117" s="160">
        <v>85.224999999999994</v>
      </c>
      <c r="J117" s="160">
        <v>3.2619349999999998</v>
      </c>
      <c r="K117" s="160">
        <v>10.65868</v>
      </c>
      <c r="L117" s="160">
        <v>3.7917519999999998</v>
      </c>
      <c r="M117" s="160">
        <v>-6.0174699999999998E-2</v>
      </c>
      <c r="N117" s="160">
        <v>6.1633149999999999</v>
      </c>
      <c r="O117" s="160">
        <v>4.527209</v>
      </c>
      <c r="P117" s="160">
        <v>1.589235</v>
      </c>
      <c r="Q117" s="160">
        <v>5.9959550000000004</v>
      </c>
      <c r="R117" s="160">
        <v>4.6347290000000001</v>
      </c>
      <c r="S117" s="160">
        <v>9.155951</v>
      </c>
      <c r="T117" s="227">
        <v>1.2149127</v>
      </c>
      <c r="U117" s="160">
        <v>0.40000001000000002</v>
      </c>
      <c r="V117" s="160">
        <v>1.5</v>
      </c>
      <c r="W117" s="160">
        <v>41962</v>
      </c>
      <c r="X117" s="160">
        <v>20.6</v>
      </c>
      <c r="Y117" s="160">
        <v>40.6</v>
      </c>
      <c r="Z117" s="160">
        <v>2.8920430000000001</v>
      </c>
      <c r="AA117" s="160">
        <v>3.765841</v>
      </c>
    </row>
    <row r="118" spans="1:27">
      <c r="A118">
        <v>11</v>
      </c>
      <c r="B118" t="s">
        <v>33</v>
      </c>
      <c r="C118" t="s">
        <v>32</v>
      </c>
      <c r="D118">
        <v>2016</v>
      </c>
      <c r="E118" s="161">
        <v>2.1895199999999999</v>
      </c>
      <c r="F118" s="162">
        <v>5200000000</v>
      </c>
      <c r="G118" s="160">
        <v>0.65</v>
      </c>
      <c r="H118" s="161">
        <v>49.731999999999999</v>
      </c>
      <c r="I118" s="160">
        <v>85.275000000000006</v>
      </c>
      <c r="J118" s="160">
        <v>3.230804</v>
      </c>
      <c r="K118" s="160">
        <v>10.6812</v>
      </c>
      <c r="L118" s="160">
        <v>3.8561510000000001</v>
      </c>
      <c r="M118" s="160">
        <v>-0.1090339</v>
      </c>
      <c r="N118" s="160">
        <v>6.1569789999999998</v>
      </c>
      <c r="O118" s="160">
        <v>4.4875119999999997</v>
      </c>
      <c r="P118" s="160">
        <v>1.3350010000000001</v>
      </c>
      <c r="Q118" s="160">
        <v>5.7996980000000002</v>
      </c>
      <c r="R118" s="160">
        <v>4.6347290000000001</v>
      </c>
      <c r="S118" s="160">
        <v>9.1779770000000003</v>
      </c>
      <c r="T118" s="227">
        <v>1.2383742</v>
      </c>
      <c r="U118" s="160">
        <v>0.40000001000000002</v>
      </c>
      <c r="V118" s="160">
        <v>1.4</v>
      </c>
      <c r="W118" s="160">
        <v>41816</v>
      </c>
      <c r="X118" s="160">
        <v>20.2</v>
      </c>
      <c r="Y118" s="160">
        <v>42.1</v>
      </c>
      <c r="Z118" s="160">
        <v>2.894917</v>
      </c>
      <c r="AA118" s="160">
        <v>3.7471489999999998</v>
      </c>
    </row>
    <row r="119" spans="1:27">
      <c r="A119">
        <v>11</v>
      </c>
      <c r="B119" t="s">
        <v>33</v>
      </c>
      <c r="C119" t="s">
        <v>32</v>
      </c>
      <c r="D119">
        <v>2017</v>
      </c>
      <c r="E119" s="161">
        <v>6.6613699999999998</v>
      </c>
      <c r="F119" s="162">
        <v>17000000000</v>
      </c>
      <c r="G119" s="160">
        <v>0.65</v>
      </c>
      <c r="H119" s="161">
        <v>54.623199999999997</v>
      </c>
      <c r="I119" s="160">
        <v>85.325000000000003</v>
      </c>
      <c r="J119" s="160">
        <v>3.2580960000000001</v>
      </c>
      <c r="K119" s="160">
        <v>10.711349999999999</v>
      </c>
      <c r="L119" s="160">
        <v>3.8069730000000002</v>
      </c>
      <c r="M119" s="160">
        <v>-4.3325099999999998E-2</v>
      </c>
      <c r="N119" s="160">
        <v>6.1070229999999999</v>
      </c>
      <c r="O119" s="160">
        <v>4.4998100000000001</v>
      </c>
      <c r="P119" s="160">
        <v>1.4816050000000001</v>
      </c>
      <c r="Q119" s="160">
        <v>5.5443959999999999</v>
      </c>
      <c r="R119" s="160">
        <v>4.6151200000000001</v>
      </c>
      <c r="S119" s="160">
        <v>9.1245379999999994</v>
      </c>
      <c r="T119" s="227">
        <v>1.2267123</v>
      </c>
      <c r="U119" s="160">
        <v>0.30000000999999998</v>
      </c>
      <c r="V119" s="160">
        <v>1.5</v>
      </c>
      <c r="W119" s="160">
        <v>51148</v>
      </c>
      <c r="X119" s="160">
        <v>20.7</v>
      </c>
      <c r="Y119" s="160">
        <v>40.5</v>
      </c>
      <c r="Z119" s="160">
        <v>2.8972319999999998</v>
      </c>
      <c r="AA119" s="160">
        <v>3.7932399999999999</v>
      </c>
    </row>
    <row r="120" spans="1:27">
      <c r="A120">
        <v>11</v>
      </c>
      <c r="B120" t="s">
        <v>33</v>
      </c>
      <c r="C120" t="s">
        <v>32</v>
      </c>
      <c r="D120">
        <v>2018</v>
      </c>
      <c r="E120" s="161">
        <v>-3.84457</v>
      </c>
      <c r="F120" s="162">
        <v>-11000000000</v>
      </c>
      <c r="G120" s="160">
        <v>0.63</v>
      </c>
      <c r="H120" s="161">
        <v>56.411200000000001</v>
      </c>
      <c r="I120" s="160">
        <v>85.382000000000005</v>
      </c>
      <c r="J120" s="160">
        <v>3.2619349999999998</v>
      </c>
      <c r="K120" s="160">
        <v>10.721880000000001</v>
      </c>
      <c r="L120" s="160">
        <v>3.910622</v>
      </c>
      <c r="M120" s="160">
        <v>-0.1363926</v>
      </c>
      <c r="N120" s="160">
        <v>6.1463289999999997</v>
      </c>
      <c r="O120" s="160">
        <v>4.4964709999999997</v>
      </c>
      <c r="P120" s="160">
        <v>1.4816050000000001</v>
      </c>
      <c r="Q120" s="160">
        <v>6.0366770000000001</v>
      </c>
      <c r="R120" s="160">
        <v>4.6347290000000001</v>
      </c>
      <c r="S120" s="160">
        <v>8.9719180000000005</v>
      </c>
      <c r="T120" s="227">
        <v>1.2178757</v>
      </c>
      <c r="U120" s="160">
        <v>0.30000000999999998</v>
      </c>
      <c r="V120" s="160">
        <v>1.8</v>
      </c>
      <c r="W120" s="160">
        <v>60513</v>
      </c>
      <c r="X120" s="160">
        <v>19.8</v>
      </c>
      <c r="Y120" s="160">
        <v>42.3</v>
      </c>
      <c r="Z120" s="160">
        <v>2.898555</v>
      </c>
      <c r="AA120" s="160">
        <v>3.7887249999999999</v>
      </c>
    </row>
    <row r="121" spans="1:27">
      <c r="A121">
        <v>11</v>
      </c>
      <c r="B121" t="s">
        <v>33</v>
      </c>
      <c r="C121" t="s">
        <v>32</v>
      </c>
      <c r="D121">
        <v>2019</v>
      </c>
      <c r="E121" s="161">
        <v>6.0970800000000001</v>
      </c>
      <c r="F121" s="162">
        <v>16000000000</v>
      </c>
      <c r="G121" s="160">
        <v>0.64</v>
      </c>
      <c r="H121" s="161">
        <v>55.122</v>
      </c>
      <c r="I121" s="160">
        <v>85.445999999999998</v>
      </c>
      <c r="J121" s="160">
        <v>3.2846639999999998</v>
      </c>
      <c r="K121" s="160">
        <v>10.73419</v>
      </c>
      <c r="L121" s="160">
        <v>3.864617</v>
      </c>
      <c r="M121" s="160">
        <v>-7.4939099999999995E-2</v>
      </c>
      <c r="N121" s="160">
        <v>6.1441860000000004</v>
      </c>
      <c r="O121" s="160">
        <v>4.4750610000000002</v>
      </c>
      <c r="P121" s="160">
        <v>1.5040770000000001</v>
      </c>
      <c r="Q121" s="160">
        <v>6.9181020000000002</v>
      </c>
      <c r="R121" s="160">
        <v>4.6151200000000001</v>
      </c>
      <c r="S121" s="160">
        <v>8.7917360000000002</v>
      </c>
      <c r="T121" s="227">
        <v>1.088562</v>
      </c>
      <c r="U121" s="160">
        <v>0.30000000999999998</v>
      </c>
      <c r="V121" s="160">
        <v>1.6</v>
      </c>
      <c r="W121" s="160">
        <v>47235</v>
      </c>
      <c r="X121" s="160">
        <v>19.5</v>
      </c>
      <c r="Y121" s="160">
        <v>43.5</v>
      </c>
      <c r="Z121" s="160">
        <v>2.899629</v>
      </c>
      <c r="AA121" s="160">
        <v>3.815512</v>
      </c>
    </row>
    <row r="122" spans="1:27">
      <c r="A122">
        <v>11</v>
      </c>
      <c r="B122" t="s">
        <v>33</v>
      </c>
      <c r="C122" t="s">
        <v>32</v>
      </c>
      <c r="D122">
        <v>2020</v>
      </c>
      <c r="E122" s="161">
        <v>-0.939114</v>
      </c>
      <c r="F122" s="162">
        <v>-2500000000</v>
      </c>
      <c r="G122" s="160">
        <v>0.65</v>
      </c>
      <c r="H122" s="161">
        <v>49.810299999999998</v>
      </c>
      <c r="I122" s="160">
        <v>85.516999999999996</v>
      </c>
      <c r="J122" s="160">
        <v>3.3032170000000001</v>
      </c>
      <c r="K122" s="160">
        <v>10.70753</v>
      </c>
      <c r="L122" s="160">
        <v>3.8877510000000002</v>
      </c>
      <c r="M122" s="160">
        <v>-0.1039171</v>
      </c>
      <c r="N122" s="160">
        <v>6.2186000000000003</v>
      </c>
      <c r="O122" s="160">
        <v>4.5086589999999998</v>
      </c>
      <c r="P122" s="160">
        <v>1.4816050000000001</v>
      </c>
      <c r="Q122" s="160">
        <v>6.2567089999999999</v>
      </c>
      <c r="R122" s="160">
        <v>4.5951199999999996</v>
      </c>
      <c r="S122" s="160">
        <v>8.5717920000000003</v>
      </c>
      <c r="T122" s="227">
        <v>0.99694866000000004</v>
      </c>
      <c r="U122" s="160">
        <v>0.30000000999999998</v>
      </c>
      <c r="V122" s="160">
        <v>1.5</v>
      </c>
      <c r="W122" s="160">
        <v>41951</v>
      </c>
      <c r="X122" s="160">
        <v>18.8</v>
      </c>
      <c r="Y122" s="160">
        <v>42.1</v>
      </c>
      <c r="Z122" s="160">
        <v>2.9010310000000001</v>
      </c>
      <c r="AA122" s="160">
        <v>3.8565100000000001</v>
      </c>
    </row>
    <row r="123" spans="1:27">
      <c r="A123">
        <v>12</v>
      </c>
      <c r="B123" t="s">
        <v>31</v>
      </c>
      <c r="C123" t="s">
        <v>30</v>
      </c>
      <c r="D123">
        <v>2010</v>
      </c>
      <c r="E123" s="161">
        <v>1.4696199999999999</v>
      </c>
      <c r="F123" s="162">
        <v>39000000000</v>
      </c>
      <c r="G123" s="160">
        <v>0.8</v>
      </c>
      <c r="H123" s="161">
        <v>42.884999999999998</v>
      </c>
      <c r="I123" s="160">
        <v>78.369</v>
      </c>
      <c r="J123" s="160">
        <v>2.8622010000000002</v>
      </c>
      <c r="K123" s="160">
        <v>10.47949</v>
      </c>
      <c r="L123" s="160">
        <v>2.6973940000000001</v>
      </c>
      <c r="M123" s="160">
        <v>0.97828850000000001</v>
      </c>
      <c r="N123" s="160">
        <v>6.224558</v>
      </c>
      <c r="O123" s="160">
        <v>4.3489870000000002</v>
      </c>
      <c r="P123" s="160">
        <v>2.8622010000000002</v>
      </c>
      <c r="Q123" s="160">
        <v>9.1314159999999998</v>
      </c>
      <c r="R123" s="160">
        <v>4.6051700000000002</v>
      </c>
      <c r="S123" s="160">
        <v>8.6797109999999993</v>
      </c>
      <c r="T123" s="227">
        <v>-0.31471071</v>
      </c>
      <c r="U123" s="160">
        <v>1.2</v>
      </c>
      <c r="V123" s="160">
        <v>1.8</v>
      </c>
      <c r="W123" s="160">
        <v>472910</v>
      </c>
      <c r="X123" s="160">
        <v>34.6</v>
      </c>
      <c r="Y123" s="160">
        <v>36</v>
      </c>
      <c r="Z123" s="160">
        <v>4.7770799999999998</v>
      </c>
      <c r="AA123" s="160">
        <v>2.4765380000000001</v>
      </c>
    </row>
    <row r="124" spans="1:27">
      <c r="A124">
        <v>12</v>
      </c>
      <c r="B124" t="s">
        <v>31</v>
      </c>
      <c r="C124" t="s">
        <v>30</v>
      </c>
      <c r="D124">
        <v>2011</v>
      </c>
      <c r="E124" s="161">
        <v>1.5400499999999999</v>
      </c>
      <c r="F124" s="162">
        <v>44000000000</v>
      </c>
      <c r="G124" s="160">
        <v>0.81</v>
      </c>
      <c r="H124" s="161">
        <v>45.864600000000003</v>
      </c>
      <c r="I124" s="160">
        <v>78.622</v>
      </c>
      <c r="J124" s="160">
        <v>2.8622010000000002</v>
      </c>
      <c r="K124" s="160">
        <v>10.498749999999999</v>
      </c>
      <c r="L124" s="160">
        <v>2.74804</v>
      </c>
      <c r="M124" s="160">
        <v>0.97572879999999995</v>
      </c>
      <c r="N124" s="160">
        <v>6.2265370000000004</v>
      </c>
      <c r="O124" s="160">
        <v>4.3554259999999996</v>
      </c>
      <c r="P124" s="160">
        <v>2.8273139999999999</v>
      </c>
      <c r="Q124" s="160">
        <v>9.0710099999999994</v>
      </c>
      <c r="R124" s="160">
        <v>4.5849679999999999</v>
      </c>
      <c r="S124" s="160">
        <v>8.6623750000000008</v>
      </c>
      <c r="T124" s="227">
        <v>-0.54472721000000002</v>
      </c>
      <c r="U124" s="160">
        <v>1.1000000000000001</v>
      </c>
      <c r="V124" s="160">
        <v>1.8</v>
      </c>
      <c r="W124" s="160">
        <v>465081</v>
      </c>
      <c r="X124" s="160">
        <v>37.299999999999997</v>
      </c>
      <c r="Y124" s="160">
        <v>36.799999999999997</v>
      </c>
      <c r="Z124" s="160">
        <v>4.7819089999999997</v>
      </c>
      <c r="AA124" s="160">
        <v>2.3608539999999998</v>
      </c>
    </row>
    <row r="125" spans="1:27">
      <c r="A125">
        <v>12</v>
      </c>
      <c r="B125" t="s">
        <v>31</v>
      </c>
      <c r="C125" t="s">
        <v>30</v>
      </c>
      <c r="D125">
        <v>2012</v>
      </c>
      <c r="E125" s="161">
        <v>1.2279</v>
      </c>
      <c r="F125" s="162">
        <v>33000000000</v>
      </c>
      <c r="G125" s="160">
        <v>0.77</v>
      </c>
      <c r="H125" s="161">
        <v>46.333199999999998</v>
      </c>
      <c r="I125" s="160">
        <v>78.878</v>
      </c>
      <c r="J125" s="160">
        <v>2.9177710000000001</v>
      </c>
      <c r="K125" s="160">
        <v>10.49574</v>
      </c>
      <c r="L125" s="160">
        <v>2.696113</v>
      </c>
      <c r="M125" s="160">
        <v>1.0003010000000001</v>
      </c>
      <c r="N125" s="160">
        <v>6.2005090000000003</v>
      </c>
      <c r="O125" s="160">
        <v>4.3399010000000002</v>
      </c>
      <c r="P125" s="160">
        <v>2.8213789999999999</v>
      </c>
      <c r="Q125" s="160">
        <v>9.0471509999999995</v>
      </c>
      <c r="R125" s="160">
        <v>4.6051700000000002</v>
      </c>
      <c r="S125" s="160">
        <v>8.5948770000000003</v>
      </c>
      <c r="T125" s="227">
        <v>-0.22314353000000001</v>
      </c>
      <c r="U125" s="160">
        <v>1</v>
      </c>
      <c r="V125" s="160">
        <v>1.8</v>
      </c>
      <c r="W125" s="160">
        <v>487496</v>
      </c>
      <c r="X125" s="160">
        <v>37.5</v>
      </c>
      <c r="Y125" s="160">
        <v>37.700000000000003</v>
      </c>
      <c r="Z125" s="160">
        <v>4.7867410000000001</v>
      </c>
      <c r="AA125" s="160">
        <v>2.5095990000000001</v>
      </c>
    </row>
    <row r="126" spans="1:27">
      <c r="A126">
        <v>12</v>
      </c>
      <c r="B126" t="s">
        <v>31</v>
      </c>
      <c r="C126" t="s">
        <v>30</v>
      </c>
      <c r="D126">
        <v>2013</v>
      </c>
      <c r="E126" s="161">
        <v>1.1882299999999999</v>
      </c>
      <c r="F126" s="162">
        <v>33000000000</v>
      </c>
      <c r="G126" s="160">
        <v>0.75</v>
      </c>
      <c r="H126" s="161">
        <v>44.8294</v>
      </c>
      <c r="I126" s="160">
        <v>79.135000000000005</v>
      </c>
      <c r="J126" s="160">
        <v>2.9177710000000001</v>
      </c>
      <c r="K126" s="160">
        <v>10.49836</v>
      </c>
      <c r="L126" s="160">
        <v>2.673114</v>
      </c>
      <c r="M126" s="160">
        <v>1.0059119999999999</v>
      </c>
      <c r="N126" s="160">
        <v>6.1779440000000001</v>
      </c>
      <c r="O126" s="160">
        <v>4.3656430000000004</v>
      </c>
      <c r="P126" s="160">
        <v>2.8449089999999999</v>
      </c>
      <c r="Q126" s="160">
        <v>8.965973</v>
      </c>
      <c r="R126" s="160">
        <v>4.6151200000000001</v>
      </c>
      <c r="S126" s="160">
        <v>8.5904659999999993</v>
      </c>
      <c r="T126" s="227">
        <v>-0.51082556999999995</v>
      </c>
      <c r="U126" s="160">
        <v>0.89999998000000003</v>
      </c>
      <c r="V126" s="160">
        <v>1.8</v>
      </c>
      <c r="W126" s="160">
        <v>487874</v>
      </c>
      <c r="X126" s="160">
        <v>37.4</v>
      </c>
      <c r="Y126" s="160">
        <v>38.700000000000003</v>
      </c>
      <c r="Z126" s="160">
        <v>4.7919150000000004</v>
      </c>
      <c r="AA126" s="160">
        <v>2.5952549999999999</v>
      </c>
    </row>
    <row r="127" spans="1:27">
      <c r="A127">
        <v>12</v>
      </c>
      <c r="B127" t="s">
        <v>31</v>
      </c>
      <c r="C127" t="s">
        <v>30</v>
      </c>
      <c r="D127">
        <v>2014</v>
      </c>
      <c r="E127" s="161">
        <v>0.17697399999999999</v>
      </c>
      <c r="F127" s="162">
        <v>5100000000</v>
      </c>
      <c r="G127" s="160">
        <v>0.77</v>
      </c>
      <c r="H127" s="161">
        <v>43.967399999999998</v>
      </c>
      <c r="I127" s="160">
        <v>79.394000000000005</v>
      </c>
      <c r="J127" s="160">
        <v>2.906901</v>
      </c>
      <c r="K127" s="160">
        <v>10.503539999999999</v>
      </c>
      <c r="L127" s="160">
        <v>2.6764220000000001</v>
      </c>
      <c r="M127" s="160">
        <v>1.0269729999999999</v>
      </c>
      <c r="N127" s="160">
        <v>6.2146080000000001</v>
      </c>
      <c r="O127" s="160">
        <v>4.3919769999999998</v>
      </c>
      <c r="P127" s="160">
        <v>2.8791980000000001</v>
      </c>
      <c r="Q127" s="160">
        <v>9.3174799999999998</v>
      </c>
      <c r="R127" s="160">
        <v>4.6347290000000001</v>
      </c>
      <c r="S127" s="160">
        <v>8.5851959999999998</v>
      </c>
      <c r="T127" s="227">
        <v>3.9220680000000001E-2</v>
      </c>
      <c r="U127" s="160">
        <v>0.80000000999999998</v>
      </c>
      <c r="V127" s="160">
        <v>1.8</v>
      </c>
      <c r="W127" s="160">
        <v>488181</v>
      </c>
      <c r="X127" s="160">
        <v>36.799999999999997</v>
      </c>
      <c r="Y127" s="160">
        <v>39.700000000000003</v>
      </c>
      <c r="Z127" s="160">
        <v>4.7966579999999999</v>
      </c>
      <c r="AA127" s="160">
        <v>2.5802170000000002</v>
      </c>
    </row>
    <row r="128" spans="1:27">
      <c r="A128">
        <v>12</v>
      </c>
      <c r="B128" t="s">
        <v>31</v>
      </c>
      <c r="C128" t="s">
        <v>30</v>
      </c>
      <c r="D128">
        <v>2015</v>
      </c>
      <c r="E128" s="161">
        <v>1.76596</v>
      </c>
      <c r="F128" s="162">
        <v>43000000000</v>
      </c>
      <c r="G128" s="160">
        <v>0.8</v>
      </c>
      <c r="H128" s="161">
        <v>44.095399999999998</v>
      </c>
      <c r="I128" s="160">
        <v>79.655000000000001</v>
      </c>
      <c r="J128" s="160">
        <v>2.960105</v>
      </c>
      <c r="K128" s="160">
        <v>10.5106</v>
      </c>
      <c r="L128" s="160">
        <v>2.606608</v>
      </c>
      <c r="M128" s="160">
        <v>1.092427</v>
      </c>
      <c r="N128" s="160">
        <v>6.2225760000000001</v>
      </c>
      <c r="O128" s="160">
        <v>4.4054989999999998</v>
      </c>
      <c r="P128" s="160">
        <v>2.9338570000000002</v>
      </c>
      <c r="Q128" s="160">
        <v>9.5196909999999999</v>
      </c>
      <c r="R128" s="160">
        <v>4.6249729999999998</v>
      </c>
      <c r="S128" s="160">
        <v>8.6097149999999996</v>
      </c>
      <c r="T128" s="227">
        <v>-0.52763276999999997</v>
      </c>
      <c r="U128" s="160">
        <v>0.89999998000000003</v>
      </c>
      <c r="V128" s="160">
        <v>1.8</v>
      </c>
      <c r="W128" s="160">
        <v>453890</v>
      </c>
      <c r="X128" s="160">
        <v>38.799999999999997</v>
      </c>
      <c r="Y128" s="160">
        <v>40.700000000000003</v>
      </c>
      <c r="Z128" s="160">
        <v>4.8002190000000002</v>
      </c>
      <c r="AA128" s="160">
        <v>2.587764</v>
      </c>
    </row>
    <row r="129" spans="1:27">
      <c r="A129">
        <v>12</v>
      </c>
      <c r="B129" t="s">
        <v>31</v>
      </c>
      <c r="C129" t="s">
        <v>30</v>
      </c>
      <c r="D129">
        <v>2016</v>
      </c>
      <c r="E129" s="161">
        <v>1.4419999999999999</v>
      </c>
      <c r="F129" s="162">
        <v>36000000000</v>
      </c>
      <c r="G129" s="160">
        <v>0.8</v>
      </c>
      <c r="H129" s="161">
        <v>43.265599999999999</v>
      </c>
      <c r="I129" s="160">
        <v>79.917000000000002</v>
      </c>
      <c r="J129" s="160">
        <v>2.9177710000000001</v>
      </c>
      <c r="K129" s="160">
        <v>10.51652</v>
      </c>
      <c r="L129" s="160">
        <v>2.6230730000000002</v>
      </c>
      <c r="M129" s="160">
        <v>1.115469</v>
      </c>
      <c r="N129" s="160">
        <v>6.2344109999999997</v>
      </c>
      <c r="O129" s="160">
        <v>4.4054989999999998</v>
      </c>
      <c r="P129" s="160">
        <v>2.960105</v>
      </c>
      <c r="Q129" s="160">
        <v>9.8733020000000007</v>
      </c>
      <c r="R129" s="160">
        <v>4.6249729999999998</v>
      </c>
      <c r="S129" s="160">
        <v>8.5762040000000006</v>
      </c>
      <c r="T129" s="227">
        <v>-0.59783697000000002</v>
      </c>
      <c r="U129" s="160">
        <v>0.89999998000000003</v>
      </c>
      <c r="V129" s="160">
        <v>1.6</v>
      </c>
      <c r="W129" s="160">
        <v>470463</v>
      </c>
      <c r="X129" s="160">
        <v>39.4</v>
      </c>
      <c r="Y129" s="160">
        <v>39.700000000000003</v>
      </c>
      <c r="Z129" s="160">
        <v>4.8028560000000002</v>
      </c>
      <c r="AA129" s="160">
        <v>2.6532420000000001</v>
      </c>
    </row>
    <row r="130" spans="1:27">
      <c r="A130">
        <v>12</v>
      </c>
      <c r="B130" t="s">
        <v>31</v>
      </c>
      <c r="C130" t="s">
        <v>30</v>
      </c>
      <c r="D130">
        <v>2017</v>
      </c>
      <c r="E130" s="161">
        <v>1.6892799999999999</v>
      </c>
      <c r="F130" s="162">
        <v>44000000000</v>
      </c>
      <c r="G130" s="160">
        <v>0.83</v>
      </c>
      <c r="H130" s="161">
        <v>44.599899999999998</v>
      </c>
      <c r="I130" s="160">
        <v>80.180000000000007</v>
      </c>
      <c r="J130" s="160">
        <v>2.9496880000000001</v>
      </c>
      <c r="K130" s="160">
        <v>10.53424</v>
      </c>
      <c r="L130" s="160">
        <v>2.676078</v>
      </c>
      <c r="M130" s="160">
        <v>1.055844</v>
      </c>
      <c r="N130" s="160">
        <v>6.3117349999999997</v>
      </c>
      <c r="O130" s="160">
        <v>4.4054989999999998</v>
      </c>
      <c r="P130" s="160">
        <v>2.9285239999999999</v>
      </c>
      <c r="Q130" s="160">
        <v>9.4729969999999994</v>
      </c>
      <c r="R130" s="160">
        <v>4.6249729999999998</v>
      </c>
      <c r="S130" s="160">
        <v>8.5486620000000002</v>
      </c>
      <c r="T130" s="227">
        <v>-0.56211895000000001</v>
      </c>
      <c r="U130" s="160">
        <v>0.89999998000000003</v>
      </c>
      <c r="V130" s="160">
        <v>1.8</v>
      </c>
      <c r="W130" s="160">
        <v>515908</v>
      </c>
      <c r="X130" s="160">
        <v>38.200000000000003</v>
      </c>
      <c r="Y130" s="160">
        <v>40.200000000000003</v>
      </c>
      <c r="Z130" s="160">
        <v>4.8057569999999998</v>
      </c>
      <c r="AA130" s="160">
        <v>2.6461749999999999</v>
      </c>
    </row>
    <row r="131" spans="1:27">
      <c r="A131">
        <v>12</v>
      </c>
      <c r="B131" t="s">
        <v>31</v>
      </c>
      <c r="C131" t="s">
        <v>30</v>
      </c>
      <c r="D131">
        <v>2018</v>
      </c>
      <c r="E131" s="161">
        <v>2.7859400000000001</v>
      </c>
      <c r="F131" s="162">
        <v>77000000000</v>
      </c>
      <c r="G131" s="160">
        <v>0.82</v>
      </c>
      <c r="H131" s="161">
        <v>45.25</v>
      </c>
      <c r="I131" s="160">
        <v>80.444000000000003</v>
      </c>
      <c r="J131" s="160">
        <v>2.9549099999999999</v>
      </c>
      <c r="K131" s="160">
        <v>10.54698</v>
      </c>
      <c r="L131" s="160">
        <v>2.6603289999999999</v>
      </c>
      <c r="M131" s="160">
        <v>1.085763</v>
      </c>
      <c r="N131" s="160">
        <v>6.3385939999999996</v>
      </c>
      <c r="O131" s="160">
        <v>4.3067640000000003</v>
      </c>
      <c r="P131" s="160">
        <v>2.9704139999999999</v>
      </c>
      <c r="Q131" s="160">
        <v>9.602525</v>
      </c>
      <c r="R131" s="160">
        <v>4.6347290000000001</v>
      </c>
      <c r="S131" s="160">
        <v>8.4386399999999995</v>
      </c>
      <c r="T131" s="227">
        <v>-0.59783697000000002</v>
      </c>
      <c r="U131" s="160">
        <v>0.80000000999999998</v>
      </c>
      <c r="V131" s="160">
        <v>1.7</v>
      </c>
      <c r="W131" s="160">
        <v>518745</v>
      </c>
      <c r="X131" s="160">
        <v>38.6</v>
      </c>
      <c r="Y131" s="160">
        <v>40.700000000000003</v>
      </c>
      <c r="Z131" s="160">
        <v>4.8093430000000001</v>
      </c>
      <c r="AA131" s="160">
        <v>2.721295</v>
      </c>
    </row>
    <row r="132" spans="1:27">
      <c r="A132">
        <v>12</v>
      </c>
      <c r="B132" t="s">
        <v>31</v>
      </c>
      <c r="C132" t="s">
        <v>30</v>
      </c>
      <c r="D132">
        <v>2019</v>
      </c>
      <c r="E132" s="161">
        <v>1.9648699999999999</v>
      </c>
      <c r="F132" s="162">
        <v>53000000000</v>
      </c>
      <c r="G132" s="160">
        <v>0.81</v>
      </c>
      <c r="H132" s="161">
        <v>45.012900000000002</v>
      </c>
      <c r="I132" s="160">
        <v>80.709000000000003</v>
      </c>
      <c r="J132" s="160">
        <v>2.99072</v>
      </c>
      <c r="K132" s="160">
        <v>10.56373</v>
      </c>
      <c r="L132" s="160">
        <v>2.6622859999999999</v>
      </c>
      <c r="M132" s="160">
        <v>1.0774570000000001</v>
      </c>
      <c r="N132" s="160">
        <v>6.4118190000000004</v>
      </c>
      <c r="O132" s="160">
        <v>4.3372909999999996</v>
      </c>
      <c r="P132" s="160">
        <v>2.8390780000000002</v>
      </c>
      <c r="Q132" s="160">
        <v>9.1817869999999999</v>
      </c>
      <c r="R132" s="160">
        <v>4.6051700000000002</v>
      </c>
      <c r="S132" s="160">
        <v>8.3149999999999995</v>
      </c>
      <c r="T132" s="227">
        <v>-0.2484614</v>
      </c>
      <c r="U132" s="160">
        <v>0.80000000999999998</v>
      </c>
      <c r="V132" s="160">
        <v>1.6</v>
      </c>
      <c r="W132" s="160">
        <v>524507</v>
      </c>
      <c r="X132" s="160">
        <v>37.5</v>
      </c>
      <c r="Y132" s="160">
        <v>41</v>
      </c>
      <c r="Z132" s="160">
        <v>4.8126639999999998</v>
      </c>
      <c r="AA132" s="160">
        <v>2.7408399999999999</v>
      </c>
    </row>
    <row r="133" spans="1:27">
      <c r="A133">
        <v>12</v>
      </c>
      <c r="B133" t="s">
        <v>31</v>
      </c>
      <c r="C133" t="s">
        <v>30</v>
      </c>
      <c r="D133">
        <v>2020</v>
      </c>
      <c r="E133" s="161">
        <v>0.73147200000000001</v>
      </c>
      <c r="F133" s="162">
        <v>19000000000</v>
      </c>
      <c r="G133" s="160">
        <v>0.81</v>
      </c>
      <c r="H133" s="161">
        <v>40.406500000000001</v>
      </c>
      <c r="I133" s="160">
        <v>80.974999999999994</v>
      </c>
      <c r="J133" s="160">
        <v>3.0155349999999999</v>
      </c>
      <c r="K133" s="160">
        <v>10.48316</v>
      </c>
      <c r="L133" s="160">
        <v>3.8214419999999998</v>
      </c>
      <c r="M133" s="160">
        <v>1.0946039999999999</v>
      </c>
      <c r="N133" s="160">
        <v>6.4457199999999997</v>
      </c>
      <c r="O133" s="160">
        <v>4.379524</v>
      </c>
      <c r="P133" s="160">
        <v>2.7850109999999999</v>
      </c>
      <c r="Q133" s="160">
        <v>8.8682859999999994</v>
      </c>
      <c r="R133" s="160">
        <v>4.5643479999999998</v>
      </c>
      <c r="S133" s="160">
        <v>8.1738859999999995</v>
      </c>
      <c r="T133" s="227">
        <v>-0.91629070000000001</v>
      </c>
      <c r="U133" s="160">
        <v>0.89999998000000003</v>
      </c>
      <c r="V133" s="160">
        <v>1.7</v>
      </c>
      <c r="W133" s="160">
        <v>521357</v>
      </c>
      <c r="X133" s="160">
        <v>36.700000000000003</v>
      </c>
      <c r="Y133" s="160">
        <v>41.7</v>
      </c>
      <c r="Z133" s="160">
        <v>4.8159090000000004</v>
      </c>
      <c r="AA133" s="160">
        <v>2.8213789999999999</v>
      </c>
    </row>
    <row r="134" spans="1:27">
      <c r="A134">
        <v>13</v>
      </c>
      <c r="B134" t="s">
        <v>29</v>
      </c>
      <c r="C134" t="s">
        <v>28</v>
      </c>
      <c r="D134">
        <v>2010</v>
      </c>
      <c r="E134" s="161">
        <v>2.6195400000000002</v>
      </c>
      <c r="F134" s="162">
        <v>1500000000</v>
      </c>
      <c r="G134" s="160">
        <v>0.48</v>
      </c>
      <c r="H134" s="161">
        <v>54.038800000000002</v>
      </c>
      <c r="I134" s="160">
        <v>55.155000000000001</v>
      </c>
      <c r="J134" s="160">
        <v>3.5263610000000001</v>
      </c>
      <c r="K134" s="160">
        <v>9.3897829999999995</v>
      </c>
      <c r="L134" s="160">
        <v>2.574824</v>
      </c>
      <c r="M134" s="160">
        <v>1.8134600000000001E-2</v>
      </c>
      <c r="N134" s="160">
        <v>6.2803959999999996</v>
      </c>
      <c r="O134" s="160">
        <v>4.3476939999999997</v>
      </c>
      <c r="P134" s="160">
        <v>0.47000360000000002</v>
      </c>
      <c r="Q134" s="160">
        <v>4.9677280000000001</v>
      </c>
      <c r="R134" s="160">
        <v>4.6051700000000002</v>
      </c>
      <c r="S134" s="160">
        <v>8.4790770000000002</v>
      </c>
      <c r="T134" s="227">
        <v>-1.4696758999999999</v>
      </c>
      <c r="U134" s="160">
        <v>0.20000002</v>
      </c>
      <c r="V134" s="160">
        <v>1.3</v>
      </c>
      <c r="W134" s="160">
        <v>43225</v>
      </c>
      <c r="X134" s="160">
        <v>26.8</v>
      </c>
      <c r="Y134" s="160">
        <v>4.0999999999999996</v>
      </c>
      <c r="Z134" s="160">
        <v>4.340598</v>
      </c>
      <c r="AA134" s="160">
        <v>3.3945080000000001</v>
      </c>
    </row>
    <row r="135" spans="1:27">
      <c r="A135">
        <v>13</v>
      </c>
      <c r="B135" t="s">
        <v>29</v>
      </c>
      <c r="C135" t="s">
        <v>28</v>
      </c>
      <c r="D135">
        <v>2011</v>
      </c>
      <c r="E135" s="161">
        <v>1.9855400000000001</v>
      </c>
      <c r="F135" s="162">
        <v>1200000000</v>
      </c>
      <c r="G135" s="160">
        <v>0.48</v>
      </c>
      <c r="H135" s="161">
        <v>57.231900000000003</v>
      </c>
      <c r="I135" s="160">
        <v>55.322000000000003</v>
      </c>
      <c r="J135" s="160">
        <v>3.5695329999999998</v>
      </c>
      <c r="K135" s="160">
        <v>9.3922539999999994</v>
      </c>
      <c r="L135" s="160">
        <v>2.6410550000000002</v>
      </c>
      <c r="M135" s="160">
        <v>2.1174200000000001E-2</v>
      </c>
      <c r="N135" s="160">
        <v>6.2803959999999996</v>
      </c>
      <c r="O135" s="160">
        <v>4.4367510000000001</v>
      </c>
      <c r="P135" s="160">
        <v>0.87546880000000005</v>
      </c>
      <c r="Q135" s="160">
        <v>7.1398979999999996</v>
      </c>
      <c r="R135" s="160">
        <v>4.6249729999999998</v>
      </c>
      <c r="S135" s="160">
        <v>8.4410080000000001</v>
      </c>
      <c r="T135" s="227">
        <v>-1.8325815000000001</v>
      </c>
      <c r="U135" s="160">
        <v>0.30000000999999998</v>
      </c>
      <c r="V135" s="160">
        <v>1.4</v>
      </c>
      <c r="W135" s="160">
        <v>42060</v>
      </c>
      <c r="X135" s="160">
        <v>27.3</v>
      </c>
      <c r="Y135" s="160">
        <v>8.3000000000000007</v>
      </c>
      <c r="Z135" s="160">
        <v>4.3371459999999997</v>
      </c>
      <c r="AA135" s="160">
        <v>3.3032170000000001</v>
      </c>
    </row>
    <row r="136" spans="1:27">
      <c r="A136">
        <v>13</v>
      </c>
      <c r="B136" t="s">
        <v>29</v>
      </c>
      <c r="C136" t="s">
        <v>28</v>
      </c>
      <c r="D136">
        <v>2012</v>
      </c>
      <c r="E136" s="161">
        <v>2.5457000000000001</v>
      </c>
      <c r="F136" s="162">
        <v>1500000000</v>
      </c>
      <c r="G136" s="160">
        <v>0.5</v>
      </c>
      <c r="H136" s="161">
        <v>57.6922</v>
      </c>
      <c r="I136" s="160">
        <v>55.506</v>
      </c>
      <c r="J136" s="160">
        <v>3.6243409999999998</v>
      </c>
      <c r="K136" s="160">
        <v>9.3742009999999993</v>
      </c>
      <c r="L136" s="160">
        <v>2.5610189999999999</v>
      </c>
      <c r="M136" s="160">
        <v>8.1764299999999998E-2</v>
      </c>
      <c r="N136" s="160">
        <v>6.2803959999999996</v>
      </c>
      <c r="O136" s="160">
        <v>4.5250440000000003</v>
      </c>
      <c r="P136" s="160">
        <v>1.2527630000000001</v>
      </c>
      <c r="Q136" s="160">
        <v>7.1206060000000004</v>
      </c>
      <c r="R136" s="160">
        <v>4.6539599999999997</v>
      </c>
      <c r="S136" s="160">
        <v>8.4172709999999995</v>
      </c>
      <c r="T136" s="227">
        <v>-3.2188759</v>
      </c>
      <c r="U136" s="160">
        <v>0.40000001000000002</v>
      </c>
      <c r="V136" s="160">
        <v>1.5</v>
      </c>
      <c r="W136" s="160">
        <v>42218</v>
      </c>
      <c r="X136" s="160">
        <v>28.4</v>
      </c>
      <c r="Y136" s="160">
        <v>14.7</v>
      </c>
      <c r="Z136" s="160">
        <v>4.3324020000000001</v>
      </c>
      <c r="AA136" s="160">
        <v>3.380995</v>
      </c>
    </row>
    <row r="137" spans="1:27">
      <c r="A137">
        <v>13</v>
      </c>
      <c r="B137" t="s">
        <v>29</v>
      </c>
      <c r="C137" t="s">
        <v>28</v>
      </c>
      <c r="D137">
        <v>2013</v>
      </c>
      <c r="E137" s="161">
        <v>1.59378</v>
      </c>
      <c r="F137" s="162">
        <v>950000000</v>
      </c>
      <c r="G137" s="160">
        <v>0.49</v>
      </c>
      <c r="H137" s="161">
        <v>57.944200000000002</v>
      </c>
      <c r="I137" s="160">
        <v>55.706000000000003</v>
      </c>
      <c r="J137" s="160">
        <v>3.6109179999999999</v>
      </c>
      <c r="K137" s="160">
        <v>9.3791709999999995</v>
      </c>
      <c r="L137" s="160">
        <v>2.5703960000000001</v>
      </c>
      <c r="M137" s="160">
        <v>5.0312799999999998E-2</v>
      </c>
      <c r="N137" s="160">
        <v>6.2671999999999999</v>
      </c>
      <c r="O137" s="160">
        <v>4.5788260000000003</v>
      </c>
      <c r="P137" s="160">
        <v>1.3609770000000001</v>
      </c>
      <c r="Q137" s="160">
        <v>7.5256939999999997</v>
      </c>
      <c r="R137" s="160">
        <v>4.6728290000000001</v>
      </c>
      <c r="S137" s="160">
        <v>8.431457</v>
      </c>
      <c r="T137" s="227">
        <v>-2.5776384999999999</v>
      </c>
      <c r="U137" s="160">
        <v>0.5</v>
      </c>
      <c r="V137" s="160">
        <v>1.6</v>
      </c>
      <c r="W137" s="160">
        <v>42218</v>
      </c>
      <c r="X137" s="160">
        <v>27.6</v>
      </c>
      <c r="Y137" s="160">
        <v>14.9</v>
      </c>
      <c r="Z137" s="160">
        <v>4.3261760000000002</v>
      </c>
      <c r="AA137" s="160">
        <v>3.4904280000000001</v>
      </c>
    </row>
    <row r="138" spans="1:27">
      <c r="A138">
        <v>13</v>
      </c>
      <c r="B138" t="s">
        <v>29</v>
      </c>
      <c r="C138" t="s">
        <v>28</v>
      </c>
      <c r="D138">
        <v>2014</v>
      </c>
      <c r="E138" s="161">
        <v>5.3474700000000004</v>
      </c>
      <c r="F138" s="162">
        <v>3200000000</v>
      </c>
      <c r="G138" s="160">
        <v>0.49</v>
      </c>
      <c r="H138" s="161">
        <v>61.470700000000001</v>
      </c>
      <c r="I138" s="160">
        <v>55.923000000000002</v>
      </c>
      <c r="J138" s="160">
        <v>3.6243409999999998</v>
      </c>
      <c r="K138" s="160">
        <v>9.3812549999999995</v>
      </c>
      <c r="L138" s="160">
        <v>2.4656389999999999</v>
      </c>
      <c r="M138" s="160">
        <v>0.13146669999999999</v>
      </c>
      <c r="N138" s="160">
        <v>6.2538289999999996</v>
      </c>
      <c r="O138" s="160">
        <v>4.5612180000000002</v>
      </c>
      <c r="P138" s="160">
        <v>1.568616</v>
      </c>
      <c r="Q138" s="160">
        <v>7.6635020000000003</v>
      </c>
      <c r="R138" s="160">
        <v>4.70953</v>
      </c>
      <c r="S138" s="160">
        <v>8.4390319999999992</v>
      </c>
      <c r="T138" s="227">
        <v>-1.9364011999999999</v>
      </c>
      <c r="U138" s="160">
        <v>0.60000001999999997</v>
      </c>
      <c r="V138" s="160">
        <v>1.8</v>
      </c>
      <c r="W138" s="160">
        <v>45261</v>
      </c>
      <c r="X138" s="160">
        <v>28.3</v>
      </c>
      <c r="Y138" s="160">
        <v>16.399999999999999</v>
      </c>
      <c r="Z138" s="160">
        <v>4.318511</v>
      </c>
      <c r="AA138" s="160">
        <v>3.514526</v>
      </c>
    </row>
    <row r="139" spans="1:27">
      <c r="A139">
        <v>13</v>
      </c>
      <c r="B139" t="s">
        <v>29</v>
      </c>
      <c r="C139" t="s">
        <v>28</v>
      </c>
      <c r="D139">
        <v>2015</v>
      </c>
      <c r="E139" s="161">
        <v>0.95805099999999999</v>
      </c>
      <c r="F139" s="162">
        <v>490000000</v>
      </c>
      <c r="G139" s="160">
        <v>0.48</v>
      </c>
      <c r="H139" s="161">
        <v>65.671700000000001</v>
      </c>
      <c r="I139" s="160">
        <v>56.155000000000001</v>
      </c>
      <c r="J139" s="160">
        <v>3.650658</v>
      </c>
      <c r="K139" s="160">
        <v>9.4161590000000004</v>
      </c>
      <c r="L139" s="160">
        <v>2.6104370000000001</v>
      </c>
      <c r="M139" s="160">
        <v>0.1018343</v>
      </c>
      <c r="N139" s="160">
        <v>6.248043</v>
      </c>
      <c r="O139" s="160">
        <v>4.527209</v>
      </c>
      <c r="P139" s="160">
        <v>1.5260560000000001</v>
      </c>
      <c r="Q139" s="160">
        <v>7.8279189999999996</v>
      </c>
      <c r="R139" s="160">
        <v>4.7361979999999999</v>
      </c>
      <c r="S139" s="160">
        <v>8.4941089999999999</v>
      </c>
      <c r="T139" s="227">
        <v>-1.2951638000000001</v>
      </c>
      <c r="U139" s="160">
        <v>0.60000001999999997</v>
      </c>
      <c r="V139" s="160">
        <v>1.8</v>
      </c>
      <c r="W139" s="160">
        <v>44872</v>
      </c>
      <c r="X139" s="160">
        <v>29.5</v>
      </c>
      <c r="Y139" s="160">
        <v>18</v>
      </c>
      <c r="Z139" s="160">
        <v>4.3065699999999998</v>
      </c>
      <c r="AA139" s="160">
        <v>3.499533</v>
      </c>
    </row>
    <row r="140" spans="1:27">
      <c r="A140">
        <v>13</v>
      </c>
      <c r="B140" t="s">
        <v>29</v>
      </c>
      <c r="C140" t="s">
        <v>28</v>
      </c>
      <c r="D140">
        <v>2016</v>
      </c>
      <c r="E140" s="161">
        <v>2.9901399999999998</v>
      </c>
      <c r="F140" s="162">
        <v>1600000000</v>
      </c>
      <c r="G140" s="160">
        <v>0.5</v>
      </c>
      <c r="H140" s="161">
        <v>67.830399999999997</v>
      </c>
      <c r="I140" s="160">
        <v>56.402999999999999</v>
      </c>
      <c r="J140" s="160">
        <v>3.6216710000000001</v>
      </c>
      <c r="K140" s="160">
        <v>9.4610439999999993</v>
      </c>
      <c r="L140" s="160">
        <v>2.5852040000000001</v>
      </c>
      <c r="M140" s="160">
        <v>0.11359660000000001</v>
      </c>
      <c r="N140" s="160">
        <v>6.2461070000000003</v>
      </c>
      <c r="O140" s="160">
        <v>4.5674679999999999</v>
      </c>
      <c r="P140" s="160">
        <v>1.5260560000000001</v>
      </c>
      <c r="Q140" s="160">
        <v>7.8781179999999997</v>
      </c>
      <c r="R140" s="160">
        <v>4.7874920000000003</v>
      </c>
      <c r="S140" s="160">
        <v>8.4509950000000007</v>
      </c>
      <c r="T140" s="227">
        <v>-0.65392649000000003</v>
      </c>
      <c r="U140" s="160">
        <v>0.60000001999999997</v>
      </c>
      <c r="V140" s="160">
        <v>1.9</v>
      </c>
      <c r="W140" s="160">
        <v>44088</v>
      </c>
      <c r="X140" s="160">
        <v>31</v>
      </c>
      <c r="Y140" s="160">
        <v>21</v>
      </c>
      <c r="Z140" s="160">
        <v>4.2957070000000002</v>
      </c>
      <c r="AA140" s="160">
        <v>3.4594659999999999</v>
      </c>
    </row>
    <row r="141" spans="1:27">
      <c r="A141">
        <v>13</v>
      </c>
      <c r="B141" t="s">
        <v>29</v>
      </c>
      <c r="C141" t="s">
        <v>28</v>
      </c>
      <c r="D141">
        <v>2017</v>
      </c>
      <c r="E141" s="161">
        <v>3.24</v>
      </c>
      <c r="F141" s="162">
        <v>1800000000</v>
      </c>
      <c r="G141" s="160">
        <v>0.5</v>
      </c>
      <c r="H141" s="161">
        <v>72.790099999999995</v>
      </c>
      <c r="I141" s="160">
        <v>56.667000000000002</v>
      </c>
      <c r="J141" s="160">
        <v>3.642836</v>
      </c>
      <c r="K141" s="160">
        <v>9.5093999999999994</v>
      </c>
      <c r="L141" s="160">
        <v>2.619729</v>
      </c>
      <c r="M141" s="160">
        <v>0.15922349999999999</v>
      </c>
      <c r="N141" s="160">
        <v>6.3153579999999998</v>
      </c>
      <c r="O141" s="160">
        <v>4.5559799999999999</v>
      </c>
      <c r="P141" s="160">
        <v>1.6292409999999999</v>
      </c>
      <c r="Q141" s="160">
        <v>8.0532509999999995</v>
      </c>
      <c r="R141" s="160">
        <v>4.8283139999999998</v>
      </c>
      <c r="S141" s="160">
        <v>8.4711689999999997</v>
      </c>
      <c r="T141" s="227">
        <v>-1.268914E-2</v>
      </c>
      <c r="U141" s="160">
        <v>0.69999999000000002</v>
      </c>
      <c r="V141" s="160">
        <v>1.9</v>
      </c>
      <c r="W141" s="160">
        <v>46104</v>
      </c>
      <c r="X141" s="160">
        <v>31.8</v>
      </c>
      <c r="Y141" s="160">
        <v>23.6</v>
      </c>
      <c r="Z141" s="160">
        <v>4.2796399999999997</v>
      </c>
      <c r="AA141" s="160">
        <v>3.3945080000000001</v>
      </c>
    </row>
    <row r="142" spans="1:27">
      <c r="A142">
        <v>13</v>
      </c>
      <c r="B142" t="s">
        <v>29</v>
      </c>
      <c r="C142" t="s">
        <v>28</v>
      </c>
      <c r="D142">
        <v>2018</v>
      </c>
      <c r="E142" s="161">
        <v>2.6691099999999999</v>
      </c>
      <c r="F142" s="162">
        <v>1600000000</v>
      </c>
      <c r="G142" s="160">
        <v>0.48</v>
      </c>
      <c r="H142" s="161">
        <v>73.952299999999994</v>
      </c>
      <c r="I142" s="160">
        <v>56.947000000000003</v>
      </c>
      <c r="J142" s="160">
        <v>3.6454499999999999</v>
      </c>
      <c r="K142" s="160">
        <v>9.5511389999999992</v>
      </c>
      <c r="L142" s="160">
        <v>2.6329669999999998</v>
      </c>
      <c r="M142" s="160">
        <v>0.1634785</v>
      </c>
      <c r="N142" s="160">
        <v>6.3243590000000003</v>
      </c>
      <c r="O142" s="160">
        <v>4.5130549999999996</v>
      </c>
      <c r="P142" s="160">
        <v>1.6094379999999999</v>
      </c>
      <c r="Q142" s="160">
        <v>8.1060619999999997</v>
      </c>
      <c r="R142" s="160">
        <v>4.8675350000000002</v>
      </c>
      <c r="S142" s="160">
        <v>8.4419489999999993</v>
      </c>
      <c r="T142" s="227">
        <v>0.6285482</v>
      </c>
      <c r="U142" s="160">
        <v>0.80000000999999998</v>
      </c>
      <c r="V142" s="160">
        <v>2.4000001000000002</v>
      </c>
      <c r="W142" s="160">
        <v>51368</v>
      </c>
      <c r="X142" s="160">
        <v>31.4</v>
      </c>
      <c r="Y142" s="160">
        <v>25.3</v>
      </c>
      <c r="Z142" s="160">
        <v>4.2665300000000004</v>
      </c>
      <c r="AA142" s="160">
        <v>3.4904280000000001</v>
      </c>
    </row>
    <row r="143" spans="1:27">
      <c r="A143">
        <v>13</v>
      </c>
      <c r="B143" t="s">
        <v>29</v>
      </c>
      <c r="C143" t="s">
        <v>28</v>
      </c>
      <c r="D143">
        <v>2019</v>
      </c>
      <c r="E143" s="161">
        <v>6.4727699999999997</v>
      </c>
      <c r="F143" s="162">
        <v>4000000000</v>
      </c>
      <c r="G143" s="160">
        <v>0.49</v>
      </c>
      <c r="H143" s="161">
        <v>73.762500000000003</v>
      </c>
      <c r="I143" s="160">
        <v>57.241999999999997</v>
      </c>
      <c r="J143" s="160">
        <v>3.6712250000000002</v>
      </c>
      <c r="K143" s="160">
        <v>9.5915949999999999</v>
      </c>
      <c r="L143" s="160">
        <v>2.6547200000000002</v>
      </c>
      <c r="M143" s="160">
        <v>0.1656839</v>
      </c>
      <c r="N143" s="160">
        <v>6.322565</v>
      </c>
      <c r="O143" s="160">
        <v>4.5250440000000003</v>
      </c>
      <c r="P143" s="160">
        <v>1.686399</v>
      </c>
      <c r="Q143" s="160">
        <v>7.9440670000000004</v>
      </c>
      <c r="R143" s="160">
        <v>4.8520300000000001</v>
      </c>
      <c r="S143" s="160">
        <v>8.7442820000000001</v>
      </c>
      <c r="T143" s="227">
        <v>1.2697856000000001</v>
      </c>
      <c r="U143" s="160">
        <v>0.60000001999999997</v>
      </c>
      <c r="V143" s="160">
        <v>2.5</v>
      </c>
      <c r="W143" s="160">
        <v>58574</v>
      </c>
      <c r="X143" s="160">
        <v>32.700000000000003</v>
      </c>
      <c r="Y143" s="160">
        <v>30.2</v>
      </c>
      <c r="Z143" s="160">
        <v>4.2566079999999999</v>
      </c>
      <c r="AA143" s="160">
        <v>3.453157</v>
      </c>
    </row>
    <row r="144" spans="1:27">
      <c r="A144">
        <v>13</v>
      </c>
      <c r="B144" t="s">
        <v>29</v>
      </c>
      <c r="C144" t="s">
        <v>28</v>
      </c>
      <c r="D144">
        <v>2020</v>
      </c>
      <c r="E144" s="161">
        <v>2.5390999999999999</v>
      </c>
      <c r="F144" s="162">
        <v>1500000000</v>
      </c>
      <c r="G144" s="160">
        <v>0.49</v>
      </c>
      <c r="H144" s="161">
        <v>75.949700000000007</v>
      </c>
      <c r="I144" s="160">
        <v>57.552999999999997</v>
      </c>
      <c r="J144" s="160">
        <v>3.6863760000000001</v>
      </c>
      <c r="K144" s="160">
        <v>9.5137730000000005</v>
      </c>
      <c r="L144" s="160">
        <v>2.5826380000000002</v>
      </c>
      <c r="M144" s="160">
        <v>6.0624600000000001E-2</v>
      </c>
      <c r="N144" s="160">
        <v>6.3189679999999999</v>
      </c>
      <c r="O144" s="160">
        <v>4.5528240000000002</v>
      </c>
      <c r="P144" s="160">
        <v>1.7047479999999999</v>
      </c>
      <c r="Q144" s="160">
        <v>7.9687000000000001</v>
      </c>
      <c r="R144" s="160">
        <v>4.8040209999999997</v>
      </c>
      <c r="S144" s="160">
        <v>8.7603570000000008</v>
      </c>
      <c r="T144" s="227">
        <v>1.9110229000000001</v>
      </c>
      <c r="U144" s="160">
        <v>0.80000000999999998</v>
      </c>
      <c r="V144" s="160">
        <v>2.4000001000000002</v>
      </c>
      <c r="W144" s="160">
        <v>50818</v>
      </c>
      <c r="X144" s="160">
        <v>33.799999999999997</v>
      </c>
      <c r="Y144" s="160">
        <v>29.5</v>
      </c>
      <c r="Z144" s="160">
        <v>4.2477309999999999</v>
      </c>
      <c r="AA144" s="160">
        <v>3.4781580000000001</v>
      </c>
    </row>
    <row r="145" spans="1:27">
      <c r="A145">
        <v>14</v>
      </c>
      <c r="B145" t="s">
        <v>27</v>
      </c>
      <c r="C145" t="s">
        <v>26</v>
      </c>
      <c r="D145">
        <v>2010</v>
      </c>
      <c r="E145" s="161">
        <v>-15.8522</v>
      </c>
      <c r="F145" s="162">
        <v>-21000000000</v>
      </c>
      <c r="G145" s="160">
        <v>0.56000000000000005</v>
      </c>
      <c r="H145" s="161">
        <v>138.953</v>
      </c>
      <c r="I145" s="160">
        <v>68.911000000000001</v>
      </c>
      <c r="J145" s="160">
        <v>3.4965079999999999</v>
      </c>
      <c r="K145" s="160">
        <v>9.33324</v>
      </c>
      <c r="L145" s="160">
        <v>2.2258119999999999</v>
      </c>
      <c r="M145" s="160">
        <v>2.90733E-2</v>
      </c>
      <c r="N145" s="160">
        <v>5.9889609999999998</v>
      </c>
      <c r="O145" s="160">
        <v>4.4103709999999996</v>
      </c>
      <c r="P145" s="160">
        <v>1.6486590000000001</v>
      </c>
      <c r="Q145" s="160">
        <v>5.7239120000000003</v>
      </c>
      <c r="R145" s="160">
        <v>4.6051700000000002</v>
      </c>
      <c r="S145" s="160">
        <v>8.5402389999999997</v>
      </c>
      <c r="T145" s="227">
        <v>-0.46203548</v>
      </c>
      <c r="U145" s="160">
        <v>0.69999999000000002</v>
      </c>
      <c r="V145" s="160">
        <v>3.0000005000000001</v>
      </c>
      <c r="W145" s="160">
        <v>140978</v>
      </c>
      <c r="X145" s="160">
        <v>28.9</v>
      </c>
      <c r="Y145" s="160">
        <v>19.600000000000001</v>
      </c>
      <c r="Z145" s="160">
        <v>4.7046619999999999</v>
      </c>
      <c r="AA145" s="160">
        <v>2.6026899999999999</v>
      </c>
    </row>
    <row r="146" spans="1:27">
      <c r="A146">
        <v>14</v>
      </c>
      <c r="B146" t="s">
        <v>27</v>
      </c>
      <c r="C146" t="s">
        <v>26</v>
      </c>
      <c r="D146">
        <v>2011</v>
      </c>
      <c r="E146" s="161">
        <v>7.4423700000000004</v>
      </c>
      <c r="F146" s="162">
        <v>11000000000</v>
      </c>
      <c r="G146" s="160">
        <v>0.53</v>
      </c>
      <c r="H146" s="161">
        <v>151.29499999999999</v>
      </c>
      <c r="I146" s="160">
        <v>69.358000000000004</v>
      </c>
      <c r="J146" s="160">
        <v>3.540959</v>
      </c>
      <c r="K146" s="160">
        <v>9.3545700000000007</v>
      </c>
      <c r="L146" s="160">
        <v>2.2005520000000001</v>
      </c>
      <c r="M146" s="160">
        <v>4.3442500000000002E-2</v>
      </c>
      <c r="N146" s="160">
        <v>6.0282780000000002</v>
      </c>
      <c r="O146" s="160">
        <v>4.473922</v>
      </c>
      <c r="P146" s="160">
        <v>1.686399</v>
      </c>
      <c r="Q146" s="160">
        <v>6.4975290000000001</v>
      </c>
      <c r="R146" s="160">
        <v>4.6051700000000002</v>
      </c>
      <c r="S146" s="160">
        <v>8.5137020000000003</v>
      </c>
      <c r="T146" s="227">
        <v>-0.77652878000000003</v>
      </c>
      <c r="U146" s="160">
        <v>0.59999999000000004</v>
      </c>
      <c r="V146" s="160">
        <v>2.7000003000000001</v>
      </c>
      <c r="W146" s="160">
        <v>121637</v>
      </c>
      <c r="X146" s="160">
        <v>29.5</v>
      </c>
      <c r="Y146" s="160">
        <v>22</v>
      </c>
      <c r="Z146" s="160">
        <v>4.7018250000000004</v>
      </c>
      <c r="AA146" s="160">
        <v>2.6878470000000001</v>
      </c>
    </row>
    <row r="147" spans="1:27">
      <c r="A147">
        <v>14</v>
      </c>
      <c r="B147" t="s">
        <v>27</v>
      </c>
      <c r="C147" t="s">
        <v>26</v>
      </c>
      <c r="D147">
        <v>2012</v>
      </c>
      <c r="E147" s="161">
        <v>8.2833199999999998</v>
      </c>
      <c r="F147" s="162">
        <v>11000000000</v>
      </c>
      <c r="G147" s="160">
        <v>0.47</v>
      </c>
      <c r="H147" s="161">
        <v>154.28899999999999</v>
      </c>
      <c r="I147" s="160">
        <v>69.677999999999997</v>
      </c>
      <c r="J147" s="160">
        <v>3.6243409999999998</v>
      </c>
      <c r="K147" s="160">
        <v>9.3471499999999992</v>
      </c>
      <c r="L147" s="160">
        <v>2.1018140000000001</v>
      </c>
      <c r="M147" s="160">
        <v>0.1633086</v>
      </c>
      <c r="N147" s="160">
        <v>6.0038869999999998</v>
      </c>
      <c r="O147" s="160">
        <v>4.4006030000000003</v>
      </c>
      <c r="P147" s="160">
        <v>1.7917590000000001</v>
      </c>
      <c r="Q147" s="160">
        <v>5.9854459999999996</v>
      </c>
      <c r="R147" s="160">
        <v>4.5643479999999998</v>
      </c>
      <c r="S147" s="160">
        <v>8.5372269999999997</v>
      </c>
      <c r="T147" s="227">
        <v>-1.0788096</v>
      </c>
      <c r="U147" s="160">
        <v>0.5</v>
      </c>
      <c r="V147" s="160">
        <v>2.4000001000000002</v>
      </c>
      <c r="W147" s="160">
        <v>112989</v>
      </c>
      <c r="X147" s="160">
        <v>31.4</v>
      </c>
      <c r="Y147" s="160">
        <v>25.5</v>
      </c>
      <c r="Z147" s="160">
        <v>4.6966640000000002</v>
      </c>
      <c r="AA147" s="160">
        <v>2.8033600000000001</v>
      </c>
    </row>
    <row r="148" spans="1:27">
      <c r="A148">
        <v>14</v>
      </c>
      <c r="B148" t="s">
        <v>27</v>
      </c>
      <c r="C148" t="s">
        <v>26</v>
      </c>
      <c r="D148">
        <v>2013</v>
      </c>
      <c r="E148" s="161">
        <v>-2.7490899999999998</v>
      </c>
      <c r="F148" s="162">
        <v>-3700000000</v>
      </c>
      <c r="G148" s="160">
        <v>0.47</v>
      </c>
      <c r="H148" s="161">
        <v>153.01300000000001</v>
      </c>
      <c r="I148" s="160">
        <v>69.953000000000003</v>
      </c>
      <c r="J148" s="160">
        <v>3.6243409999999998</v>
      </c>
      <c r="K148" s="160">
        <v>9.3677709999999994</v>
      </c>
      <c r="L148" s="160">
        <v>2.2682009999999999</v>
      </c>
      <c r="M148" s="160">
        <v>4.5451199999999997E-2</v>
      </c>
      <c r="N148" s="160">
        <v>5.9375359999999997</v>
      </c>
      <c r="O148" s="160">
        <v>4.473922</v>
      </c>
      <c r="P148" s="160">
        <v>1.808289</v>
      </c>
      <c r="Q148" s="160">
        <v>6.6966640000000002</v>
      </c>
      <c r="R148" s="160">
        <v>4.5432949999999996</v>
      </c>
      <c r="S148" s="160">
        <v>8.5826449999999994</v>
      </c>
      <c r="T148" s="227">
        <v>-2.0402209999999998</v>
      </c>
      <c r="U148" s="160">
        <v>0.40000001000000002</v>
      </c>
      <c r="V148" s="160">
        <v>2.0999998999999998</v>
      </c>
      <c r="W148" s="160">
        <v>99999</v>
      </c>
      <c r="X148" s="160">
        <v>30.2</v>
      </c>
      <c r="Y148" s="160">
        <v>26.4</v>
      </c>
      <c r="Z148" s="160">
        <v>4.6939130000000002</v>
      </c>
      <c r="AA148" s="160">
        <v>2.8449089999999999</v>
      </c>
    </row>
    <row r="149" spans="1:27">
      <c r="A149">
        <v>14</v>
      </c>
      <c r="B149" t="s">
        <v>27</v>
      </c>
      <c r="C149" t="s">
        <v>26</v>
      </c>
      <c r="D149">
        <v>2014</v>
      </c>
      <c r="E149" s="161">
        <v>9.1326400000000003</v>
      </c>
      <c r="F149" s="162">
        <v>13000000000</v>
      </c>
      <c r="G149" s="160">
        <v>0.43</v>
      </c>
      <c r="H149" s="161">
        <v>152.81399999999999</v>
      </c>
      <c r="I149" s="160">
        <v>70.227000000000004</v>
      </c>
      <c r="J149" s="160">
        <v>3.6323089999999998</v>
      </c>
      <c r="K149" s="160">
        <v>9.4119170000000008</v>
      </c>
      <c r="L149" s="160">
        <v>2.5503040000000001</v>
      </c>
      <c r="M149" s="160">
        <v>-0.16404949999999999</v>
      </c>
      <c r="N149" s="160">
        <v>5.9506430000000003</v>
      </c>
      <c r="O149" s="160">
        <v>4.4659079999999998</v>
      </c>
      <c r="P149" s="160">
        <v>1.6677070000000001</v>
      </c>
      <c r="Q149" s="160">
        <v>6.7085720000000002</v>
      </c>
      <c r="R149" s="160">
        <v>4.5951199999999996</v>
      </c>
      <c r="S149" s="160">
        <v>8.5809049999999996</v>
      </c>
      <c r="T149" s="227">
        <v>-1.2378743999999999</v>
      </c>
      <c r="U149" s="160">
        <v>0.69999999000000002</v>
      </c>
      <c r="V149" s="160">
        <v>1.9</v>
      </c>
      <c r="W149" s="160">
        <v>94592</v>
      </c>
      <c r="X149" s="160">
        <v>27.5</v>
      </c>
      <c r="Y149" s="160">
        <v>30.5</v>
      </c>
      <c r="Z149" s="160">
        <v>4.6831860000000001</v>
      </c>
      <c r="AA149" s="160">
        <v>2.7536610000000001</v>
      </c>
    </row>
    <row r="150" spans="1:27">
      <c r="A150">
        <v>14</v>
      </c>
      <c r="B150" t="s">
        <v>27</v>
      </c>
      <c r="C150" t="s">
        <v>26</v>
      </c>
      <c r="D150">
        <v>2015</v>
      </c>
      <c r="E150" s="161">
        <v>-4.3696999999999999</v>
      </c>
      <c r="F150" s="162">
        <v>-5500000000</v>
      </c>
      <c r="G150" s="160">
        <v>0.43</v>
      </c>
      <c r="H150" s="161">
        <v>152.18600000000001</v>
      </c>
      <c r="I150" s="160">
        <v>70.5</v>
      </c>
      <c r="J150" s="160">
        <v>3.6635620000000002</v>
      </c>
      <c r="K150" s="160">
        <v>9.4506949999999996</v>
      </c>
      <c r="L150" s="160">
        <v>2.5393949999999998</v>
      </c>
      <c r="M150" s="160">
        <v>-0.11048470000000001</v>
      </c>
      <c r="N150" s="160">
        <v>5.9687080000000003</v>
      </c>
      <c r="O150" s="160">
        <v>4.4224490000000003</v>
      </c>
      <c r="P150" s="160">
        <v>1.7404660000000001</v>
      </c>
      <c r="Q150" s="160">
        <v>6.6306830000000003</v>
      </c>
      <c r="R150" s="160">
        <v>4.6443909999999997</v>
      </c>
      <c r="S150" s="160">
        <v>8.6223939999999999</v>
      </c>
      <c r="T150" s="227">
        <v>-1.4271164000000001</v>
      </c>
      <c r="U150" s="160">
        <v>0.69999999000000002</v>
      </c>
      <c r="V150" s="160">
        <v>1.8</v>
      </c>
      <c r="W150" s="160">
        <v>102645</v>
      </c>
      <c r="X150" s="160">
        <v>26.7</v>
      </c>
      <c r="Y150" s="160">
        <v>32.200000000000003</v>
      </c>
      <c r="Z150" s="160">
        <v>4.6808059999999996</v>
      </c>
      <c r="AA150" s="160">
        <v>2.747271</v>
      </c>
    </row>
    <row r="151" spans="1:27">
      <c r="A151">
        <v>14</v>
      </c>
      <c r="B151" t="s">
        <v>27</v>
      </c>
      <c r="C151" t="s">
        <v>26</v>
      </c>
      <c r="D151">
        <v>2016</v>
      </c>
      <c r="E151" s="161">
        <v>54.0032</v>
      </c>
      <c r="F151" s="162">
        <v>69000000000</v>
      </c>
      <c r="G151" s="160">
        <v>0.43</v>
      </c>
      <c r="H151" s="161">
        <v>152.24299999999999</v>
      </c>
      <c r="I151" s="160">
        <v>70.778999999999996</v>
      </c>
      <c r="J151" s="160">
        <v>3.6270039999999999</v>
      </c>
      <c r="K151" s="160">
        <v>9.4754240000000003</v>
      </c>
      <c r="L151" s="160">
        <v>2.4905569999999999</v>
      </c>
      <c r="M151" s="160">
        <v>-4.52066E-2</v>
      </c>
      <c r="N151" s="160">
        <v>6.008813</v>
      </c>
      <c r="O151" s="160">
        <v>4.4308170000000002</v>
      </c>
      <c r="P151" s="160">
        <v>1.8405499999999999</v>
      </c>
      <c r="Q151" s="160">
        <v>4.726502</v>
      </c>
      <c r="R151" s="160">
        <v>4.6728290000000001</v>
      </c>
      <c r="S151" s="160">
        <v>8.6326680000000007</v>
      </c>
      <c r="T151" s="227">
        <v>-1.1394343</v>
      </c>
      <c r="U151" s="160">
        <v>0.80000000999999998</v>
      </c>
      <c r="V151" s="160">
        <v>2</v>
      </c>
      <c r="W151" s="160">
        <v>110391</v>
      </c>
      <c r="X151" s="160">
        <v>28.1</v>
      </c>
      <c r="Y151" s="160">
        <v>34.700000000000003</v>
      </c>
      <c r="Z151" s="160">
        <v>4.677854</v>
      </c>
      <c r="AA151" s="160">
        <v>2.7278530000000001</v>
      </c>
    </row>
    <row r="152" spans="1:27">
      <c r="A152">
        <v>14</v>
      </c>
      <c r="B152" t="s">
        <v>27</v>
      </c>
      <c r="C152" t="s">
        <v>26</v>
      </c>
      <c r="D152">
        <v>2017</v>
      </c>
      <c r="E152" s="161">
        <v>-8.6448</v>
      </c>
      <c r="F152" s="162">
        <v>-12000000000</v>
      </c>
      <c r="G152" s="160">
        <v>0.43</v>
      </c>
      <c r="H152" s="161">
        <v>154.65100000000001</v>
      </c>
      <c r="I152" s="160">
        <v>71.061999999999998</v>
      </c>
      <c r="J152" s="160">
        <v>3.6480570000000001</v>
      </c>
      <c r="K152" s="160">
        <v>9.5199110000000005</v>
      </c>
      <c r="L152" s="160">
        <v>2.6337579999999998</v>
      </c>
      <c r="M152" s="160">
        <v>-0.1172082</v>
      </c>
      <c r="N152" s="160">
        <v>5.9661470000000003</v>
      </c>
      <c r="O152" s="160">
        <v>4.4331950000000004</v>
      </c>
      <c r="P152" s="160">
        <v>1.902107</v>
      </c>
      <c r="Q152" s="160">
        <v>4.1255199999999999</v>
      </c>
      <c r="R152" s="160">
        <v>4.6913479999999996</v>
      </c>
      <c r="S152" s="160">
        <v>8.6074760000000001</v>
      </c>
      <c r="T152" s="227">
        <v>-2.3025850999999999</v>
      </c>
      <c r="U152" s="160">
        <v>0.80000000999999998</v>
      </c>
      <c r="V152" s="160">
        <v>2.2000000000000002</v>
      </c>
      <c r="W152" s="160">
        <v>114922</v>
      </c>
      <c r="X152" s="160">
        <v>29.6</v>
      </c>
      <c r="Y152" s="160">
        <v>35</v>
      </c>
      <c r="Z152" s="160">
        <v>4.6752000000000002</v>
      </c>
      <c r="AA152" s="160">
        <v>2.6810209999999999</v>
      </c>
    </row>
    <row r="153" spans="1:27">
      <c r="A153">
        <v>14</v>
      </c>
      <c r="B153" t="s">
        <v>27</v>
      </c>
      <c r="C153" t="s">
        <v>26</v>
      </c>
      <c r="D153">
        <v>2018</v>
      </c>
      <c r="E153" s="161">
        <v>-40.262900000000002</v>
      </c>
      <c r="F153" s="162">
        <v>-65000000000</v>
      </c>
      <c r="G153" s="160">
        <v>0.43</v>
      </c>
      <c r="H153" s="161">
        <v>152.863</v>
      </c>
      <c r="I153" s="160">
        <v>71.350999999999999</v>
      </c>
      <c r="J153" s="160">
        <v>3.6480570000000001</v>
      </c>
      <c r="K153" s="160">
        <v>9.5734130000000004</v>
      </c>
      <c r="L153" s="160">
        <v>2.766696</v>
      </c>
      <c r="M153" s="160">
        <v>-0.1994271</v>
      </c>
      <c r="N153" s="160">
        <v>5.9864519999999999</v>
      </c>
      <c r="O153" s="160">
        <v>4.4248469999999998</v>
      </c>
      <c r="P153" s="160">
        <v>1.931521</v>
      </c>
      <c r="Q153" s="160">
        <v>2.8903720000000002</v>
      </c>
      <c r="R153" s="160">
        <v>4.7273880000000004</v>
      </c>
      <c r="S153" s="160">
        <v>8.5520800000000001</v>
      </c>
      <c r="T153" s="227">
        <v>-1.6094379000000001</v>
      </c>
      <c r="U153" s="160">
        <v>0.80000000999999998</v>
      </c>
      <c r="V153" s="160">
        <v>2.5</v>
      </c>
      <c r="W153" s="160">
        <v>119781</v>
      </c>
      <c r="X153" s="160">
        <v>29.5</v>
      </c>
      <c r="Y153" s="160">
        <v>37.4</v>
      </c>
      <c r="Z153" s="160">
        <v>4.6739309999999996</v>
      </c>
      <c r="AA153" s="160">
        <v>2.6100699999999999</v>
      </c>
    </row>
    <row r="154" spans="1:27">
      <c r="A154">
        <v>14</v>
      </c>
      <c r="B154" t="s">
        <v>27</v>
      </c>
      <c r="C154" t="s">
        <v>26</v>
      </c>
      <c r="D154">
        <v>2019</v>
      </c>
      <c r="E154" s="161">
        <v>59.910400000000003</v>
      </c>
      <c r="F154" s="162">
        <v>98000000000</v>
      </c>
      <c r="G154" s="160">
        <v>0.44</v>
      </c>
      <c r="H154" s="161">
        <v>148.99700000000001</v>
      </c>
      <c r="I154" s="160">
        <v>71.644000000000005</v>
      </c>
      <c r="J154" s="160">
        <v>3.6686770000000002</v>
      </c>
      <c r="K154" s="160">
        <v>9.6213639999999998</v>
      </c>
      <c r="L154" s="160">
        <v>2.8152889999999999</v>
      </c>
      <c r="M154" s="160">
        <v>-0.189467</v>
      </c>
      <c r="N154" s="160">
        <v>6.0137150000000004</v>
      </c>
      <c r="O154" s="160">
        <v>4.4272390000000001</v>
      </c>
      <c r="P154" s="160">
        <v>1.7047479999999999</v>
      </c>
      <c r="Q154" s="160">
        <v>1.974081</v>
      </c>
      <c r="R154" s="160">
        <v>4.7273880000000004</v>
      </c>
      <c r="S154" s="160">
        <v>8.4934349999999998</v>
      </c>
      <c r="T154" s="227">
        <v>-1.1711830000000001</v>
      </c>
      <c r="U154" s="160">
        <v>0.80000000999999998</v>
      </c>
      <c r="V154" s="160">
        <v>1.8</v>
      </c>
      <c r="W154" s="160">
        <v>109768</v>
      </c>
      <c r="X154" s="160">
        <v>27.1</v>
      </c>
      <c r="Y154" s="160">
        <v>35.9</v>
      </c>
      <c r="Z154" s="160">
        <v>4.6734730000000004</v>
      </c>
      <c r="AA154" s="160">
        <v>2.6100699999999999</v>
      </c>
    </row>
    <row r="155" spans="1:27">
      <c r="A155">
        <v>14</v>
      </c>
      <c r="B155" t="s">
        <v>27</v>
      </c>
      <c r="C155" t="s">
        <v>26</v>
      </c>
      <c r="D155">
        <v>2020</v>
      </c>
      <c r="E155" s="161">
        <v>106.428</v>
      </c>
      <c r="F155" s="162">
        <v>170000000000</v>
      </c>
      <c r="G155" s="160">
        <v>0.47</v>
      </c>
      <c r="H155" s="161">
        <v>150.471</v>
      </c>
      <c r="I155" s="160">
        <v>71.941999999999993</v>
      </c>
      <c r="J155" s="160">
        <v>3.6863760000000001</v>
      </c>
      <c r="K155" s="160">
        <v>9.5776050000000001</v>
      </c>
      <c r="L155" s="160">
        <v>2.66005</v>
      </c>
      <c r="M155" s="160">
        <v>-8.9705900000000005E-2</v>
      </c>
      <c r="N155" s="160">
        <v>6.0497339999999999</v>
      </c>
      <c r="O155" s="160">
        <v>4.4054989999999998</v>
      </c>
      <c r="P155" s="160">
        <v>1.6292409999999999</v>
      </c>
      <c r="Q155" s="160">
        <v>6.4740450000000003</v>
      </c>
      <c r="R155" s="160">
        <v>4.70953</v>
      </c>
      <c r="S155" s="160">
        <v>8.4311340000000001</v>
      </c>
      <c r="T155" s="227">
        <v>-0.73292804</v>
      </c>
      <c r="U155" s="160">
        <v>0.69999999000000002</v>
      </c>
      <c r="V155" s="160">
        <v>1.8</v>
      </c>
      <c r="W155" s="160">
        <v>105907</v>
      </c>
      <c r="X155" s="160">
        <v>26.8</v>
      </c>
      <c r="Y155" s="160">
        <v>32</v>
      </c>
      <c r="Z155" s="160">
        <v>4.6713230000000001</v>
      </c>
      <c r="AA155" s="160">
        <v>2.6946270000000001</v>
      </c>
    </row>
    <row r="156" spans="1:27">
      <c r="A156">
        <v>15</v>
      </c>
      <c r="B156" t="s">
        <v>25</v>
      </c>
      <c r="C156" t="s">
        <v>24</v>
      </c>
      <c r="D156">
        <v>2010</v>
      </c>
      <c r="E156" s="161">
        <v>17.004899999999999</v>
      </c>
      <c r="F156" s="162">
        <v>38000000000</v>
      </c>
      <c r="G156" s="160">
        <v>0.73</v>
      </c>
      <c r="H156" s="161">
        <v>79.632599999999996</v>
      </c>
      <c r="I156" s="160">
        <v>61.542000000000002</v>
      </c>
      <c r="J156" s="160">
        <v>2.9177710000000001</v>
      </c>
      <c r="K156" s="160">
        <v>10.758760000000001</v>
      </c>
      <c r="L156" s="160">
        <v>2.7835909999999999</v>
      </c>
      <c r="M156" s="160">
        <v>0.55641070000000004</v>
      </c>
      <c r="N156" s="160">
        <v>6.1333979999999997</v>
      </c>
      <c r="O156" s="160">
        <v>4.3857699999999999</v>
      </c>
      <c r="P156" s="160">
        <v>0.64185389999999998</v>
      </c>
      <c r="Q156" s="160">
        <v>5.2225159999999997</v>
      </c>
      <c r="R156" s="160">
        <v>4.6051700000000002</v>
      </c>
      <c r="S156" s="160">
        <v>9.3796250000000008</v>
      </c>
      <c r="T156" s="227">
        <v>-0.77652878000000003</v>
      </c>
      <c r="U156" s="160">
        <v>0.30000000999999998</v>
      </c>
      <c r="V156" s="160">
        <v>6.2999996999999999</v>
      </c>
      <c r="W156" s="160">
        <v>22354</v>
      </c>
      <c r="X156" s="160">
        <v>28.5</v>
      </c>
      <c r="Y156" s="160">
        <v>35.700000000000003</v>
      </c>
      <c r="Z156" s="160">
        <v>4.1925999999999997</v>
      </c>
      <c r="AA156" s="160">
        <v>1.6677070000000001</v>
      </c>
    </row>
    <row r="157" spans="1:27">
      <c r="A157">
        <v>15</v>
      </c>
      <c r="B157" t="s">
        <v>25</v>
      </c>
      <c r="C157" t="s">
        <v>24</v>
      </c>
      <c r="D157">
        <v>2011</v>
      </c>
      <c r="E157" s="161">
        <v>9.8200099999999999</v>
      </c>
      <c r="F157" s="162">
        <v>24000000000</v>
      </c>
      <c r="G157" s="160">
        <v>0.66</v>
      </c>
      <c r="H157" s="161">
        <v>79.700100000000006</v>
      </c>
      <c r="I157" s="160">
        <v>61.741999999999997</v>
      </c>
      <c r="J157" s="160">
        <v>2.9177710000000001</v>
      </c>
      <c r="K157" s="160">
        <v>10.77075</v>
      </c>
      <c r="L157" s="160">
        <v>2.7106469999999998</v>
      </c>
      <c r="M157" s="160">
        <v>0.71759589999999995</v>
      </c>
      <c r="N157" s="160">
        <v>6.1484680000000003</v>
      </c>
      <c r="O157" s="160">
        <v>4.4079379999999997</v>
      </c>
      <c r="P157" s="160">
        <v>0.78845739999999997</v>
      </c>
      <c r="Q157" s="160">
        <v>2.6532420000000001</v>
      </c>
      <c r="R157" s="160">
        <v>4.6443909999999997</v>
      </c>
      <c r="S157" s="160">
        <v>9.3801500000000004</v>
      </c>
      <c r="T157" s="227">
        <v>-0.19845094999999999</v>
      </c>
      <c r="U157" s="160">
        <v>0.30000000999999998</v>
      </c>
      <c r="V157" s="160">
        <v>6.1999997999999996</v>
      </c>
      <c r="W157" s="160">
        <v>22818</v>
      </c>
      <c r="X157" s="160">
        <v>31.3</v>
      </c>
      <c r="Y157" s="160">
        <v>36.1</v>
      </c>
      <c r="Z157" s="160">
        <v>4.1969609999999999</v>
      </c>
      <c r="AA157" s="160">
        <v>1.94591</v>
      </c>
    </row>
    <row r="158" spans="1:27">
      <c r="A158">
        <v>15</v>
      </c>
      <c r="B158" t="s">
        <v>25</v>
      </c>
      <c r="C158" t="s">
        <v>24</v>
      </c>
      <c r="D158">
        <v>2012</v>
      </c>
      <c r="E158" s="161">
        <v>25.56</v>
      </c>
      <c r="F158" s="162">
        <v>58000000000</v>
      </c>
      <c r="G158" s="160">
        <v>0.68</v>
      </c>
      <c r="H158" s="161">
        <v>78.999099999999999</v>
      </c>
      <c r="I158" s="160">
        <v>61.942</v>
      </c>
      <c r="J158" s="160">
        <v>3.0204249999999999</v>
      </c>
      <c r="K158" s="160">
        <v>10.76252</v>
      </c>
      <c r="L158" s="160">
        <v>2.7495120000000002</v>
      </c>
      <c r="M158" s="160">
        <v>0.71201800000000004</v>
      </c>
      <c r="N158" s="160">
        <v>6.1246830000000001</v>
      </c>
      <c r="O158" s="160">
        <v>4.423648</v>
      </c>
      <c r="P158" s="160">
        <v>0.64185389999999998</v>
      </c>
      <c r="Q158" s="160">
        <v>0.83290909999999996</v>
      </c>
      <c r="R158" s="160">
        <v>4.6539599999999997</v>
      </c>
      <c r="S158" s="160">
        <v>9.3843800000000002</v>
      </c>
      <c r="T158" s="227">
        <v>-1.2039728000000001</v>
      </c>
      <c r="U158" s="160">
        <v>0.30000000999999998</v>
      </c>
      <c r="V158" s="160">
        <v>6.0999999000000003</v>
      </c>
      <c r="W158" s="160">
        <v>23458</v>
      </c>
      <c r="X158" s="160">
        <v>30.9</v>
      </c>
      <c r="Y158" s="160">
        <v>36.6</v>
      </c>
      <c r="Z158" s="160">
        <v>4.2011989999999999</v>
      </c>
      <c r="AA158" s="160">
        <v>1.931521</v>
      </c>
    </row>
    <row r="159" spans="1:27">
      <c r="A159">
        <v>15</v>
      </c>
      <c r="B159" t="s">
        <v>25</v>
      </c>
      <c r="C159" t="s">
        <v>24</v>
      </c>
      <c r="D159">
        <v>2013</v>
      </c>
      <c r="E159" s="161">
        <v>29.815000000000001</v>
      </c>
      <c r="F159" s="162">
        <v>73000000000</v>
      </c>
      <c r="G159" s="160">
        <v>0.71</v>
      </c>
      <c r="H159" s="161">
        <v>77.587299999999999</v>
      </c>
      <c r="I159" s="160">
        <v>62.140999999999998</v>
      </c>
      <c r="J159" s="160">
        <v>3.0204249999999999</v>
      </c>
      <c r="K159" s="160">
        <v>10.77894</v>
      </c>
      <c r="L159" s="160">
        <v>2.8504170000000002</v>
      </c>
      <c r="M159" s="160">
        <v>0.66557040000000001</v>
      </c>
      <c r="N159" s="160">
        <v>6.1180969999999997</v>
      </c>
      <c r="O159" s="160">
        <v>4.4224490000000003</v>
      </c>
      <c r="P159" s="160">
        <v>0.64185389999999998</v>
      </c>
      <c r="Q159" s="160">
        <v>2.9496880000000001</v>
      </c>
      <c r="R159" s="160">
        <v>4.6249729999999998</v>
      </c>
      <c r="S159" s="160">
        <v>9.4183920000000008</v>
      </c>
      <c r="T159" s="227">
        <v>-0.63487833999999999</v>
      </c>
      <c r="U159" s="160">
        <v>0.30000000999999998</v>
      </c>
      <c r="V159" s="160">
        <v>6</v>
      </c>
      <c r="W159" s="160">
        <v>24219</v>
      </c>
      <c r="X159" s="160">
        <v>30.9</v>
      </c>
      <c r="Y159" s="160">
        <v>38.200000000000003</v>
      </c>
      <c r="Z159" s="160">
        <v>4.2064640000000004</v>
      </c>
      <c r="AA159" s="160">
        <v>2.04122</v>
      </c>
    </row>
    <row r="160" spans="1:27">
      <c r="A160">
        <v>15</v>
      </c>
      <c r="B160" t="s">
        <v>25</v>
      </c>
      <c r="C160" t="s">
        <v>24</v>
      </c>
      <c r="D160">
        <v>2014</v>
      </c>
      <c r="E160" s="161">
        <v>39.321199999999997</v>
      </c>
      <c r="F160" s="162">
        <v>100000000000</v>
      </c>
      <c r="G160" s="160">
        <v>0.7</v>
      </c>
      <c r="H160" s="161">
        <v>76.117999999999995</v>
      </c>
      <c r="I160" s="160">
        <v>62.34</v>
      </c>
      <c r="J160" s="160">
        <v>3.0056829999999999</v>
      </c>
      <c r="K160" s="160">
        <v>10.86088</v>
      </c>
      <c r="L160" s="160">
        <v>2.8058420000000002</v>
      </c>
      <c r="M160" s="160">
        <v>0.77992099999999998</v>
      </c>
      <c r="N160" s="160">
        <v>6.0637850000000002</v>
      </c>
      <c r="O160" s="160">
        <v>4.4272390000000001</v>
      </c>
      <c r="P160" s="160">
        <v>0.78845739999999997</v>
      </c>
      <c r="Q160" s="160">
        <v>4.8582609999999997</v>
      </c>
      <c r="R160" s="160">
        <v>4.682131</v>
      </c>
      <c r="S160" s="160">
        <v>9.4803660000000001</v>
      </c>
      <c r="T160" s="227">
        <v>-0.18632960000000001</v>
      </c>
      <c r="U160" s="160">
        <v>0.2</v>
      </c>
      <c r="V160" s="160">
        <v>5.5</v>
      </c>
      <c r="W160" s="160">
        <v>26019</v>
      </c>
      <c r="X160" s="160">
        <v>31.1</v>
      </c>
      <c r="Y160" s="160">
        <v>39.799999999999997</v>
      </c>
      <c r="Z160" s="160">
        <v>4.213775</v>
      </c>
      <c r="AA160" s="160">
        <v>2.1747519999999998</v>
      </c>
    </row>
    <row r="161" spans="1:27">
      <c r="A161">
        <v>15</v>
      </c>
      <c r="B161" t="s">
        <v>25</v>
      </c>
      <c r="C161" t="s">
        <v>24</v>
      </c>
      <c r="D161">
        <v>2015</v>
      </c>
      <c r="E161" s="161">
        <v>74.745199999999997</v>
      </c>
      <c r="F161" s="162">
        <v>230000000000</v>
      </c>
      <c r="G161" s="160">
        <v>0.67</v>
      </c>
      <c r="H161" s="161">
        <v>66.251199999999997</v>
      </c>
      <c r="I161" s="160">
        <v>62.537999999999997</v>
      </c>
      <c r="J161" s="160">
        <v>3.0445229999999999</v>
      </c>
      <c r="K161" s="160">
        <v>11.0715</v>
      </c>
      <c r="L161" s="160">
        <v>2.627996</v>
      </c>
      <c r="M161" s="160">
        <v>0.9687694</v>
      </c>
      <c r="N161" s="160">
        <v>5.9989369999999997</v>
      </c>
      <c r="O161" s="160">
        <v>4.4212470000000001</v>
      </c>
      <c r="P161" s="160">
        <v>0.74193730000000002</v>
      </c>
      <c r="Q161" s="160">
        <v>4.8441869999999998</v>
      </c>
      <c r="R161" s="160">
        <v>4.6443909999999997</v>
      </c>
      <c r="S161" s="160">
        <v>9.5103980000000004</v>
      </c>
      <c r="T161" s="227">
        <v>-1.1711830000000001</v>
      </c>
      <c r="U161" s="160">
        <v>0.2</v>
      </c>
      <c r="V161" s="160">
        <v>4.1999997999999996</v>
      </c>
      <c r="W161" s="160">
        <v>27163</v>
      </c>
      <c r="X161" s="160">
        <v>32.1</v>
      </c>
      <c r="Y161" s="160">
        <v>40.25</v>
      </c>
      <c r="Z161" s="160">
        <v>4.2232229999999999</v>
      </c>
      <c r="AA161" s="160">
        <v>2.2512919999999998</v>
      </c>
    </row>
    <row r="162" spans="1:27">
      <c r="A162">
        <v>15</v>
      </c>
      <c r="B162" t="s">
        <v>25</v>
      </c>
      <c r="C162" t="s">
        <v>24</v>
      </c>
      <c r="D162">
        <v>2016</v>
      </c>
      <c r="E162" s="161">
        <v>26.099599999999999</v>
      </c>
      <c r="F162" s="162">
        <v>80000000000</v>
      </c>
      <c r="G162" s="160">
        <v>0.67</v>
      </c>
      <c r="H162" s="161">
        <v>69.357500000000002</v>
      </c>
      <c r="I162" s="160">
        <v>62.737000000000002</v>
      </c>
      <c r="J162" s="160">
        <v>3.0056829999999999</v>
      </c>
      <c r="K162" s="160">
        <v>11.07236</v>
      </c>
      <c r="L162" s="160">
        <v>2.8163659999999999</v>
      </c>
      <c r="M162" s="160">
        <v>0.91492969999999996</v>
      </c>
      <c r="N162" s="160">
        <v>5.9454209999999996</v>
      </c>
      <c r="O162" s="160">
        <v>4.4438269999999997</v>
      </c>
      <c r="P162" s="160">
        <v>0.69314719999999996</v>
      </c>
      <c r="Q162" s="160">
        <v>4.4807399999999999</v>
      </c>
      <c r="R162" s="160">
        <v>4.5951199999999996</v>
      </c>
      <c r="S162" s="160">
        <v>9.5139980000000008</v>
      </c>
      <c r="T162" s="227">
        <v>3.9220680000000001E-2</v>
      </c>
      <c r="U162" s="160">
        <v>0.1</v>
      </c>
      <c r="V162" s="160">
        <v>4.0999999000000003</v>
      </c>
      <c r="W162" s="160">
        <v>28227</v>
      </c>
      <c r="X162" s="160">
        <v>29.9</v>
      </c>
      <c r="Y162" s="160">
        <v>40.700000000000003</v>
      </c>
      <c r="Z162" s="160">
        <v>4.2345110000000004</v>
      </c>
      <c r="AA162" s="160">
        <v>2.1517620000000002</v>
      </c>
    </row>
    <row r="163" spans="1:27">
      <c r="A163">
        <v>15</v>
      </c>
      <c r="B163" t="s">
        <v>25</v>
      </c>
      <c r="C163" t="s">
        <v>24</v>
      </c>
      <c r="D163">
        <v>2017</v>
      </c>
      <c r="E163" s="161">
        <v>20.406700000000001</v>
      </c>
      <c r="F163" s="162">
        <v>71000000000</v>
      </c>
      <c r="G163" s="160">
        <v>0.69</v>
      </c>
      <c r="H163" s="161">
        <v>66.150800000000004</v>
      </c>
      <c r="I163" s="160">
        <v>62.947000000000003</v>
      </c>
      <c r="J163" s="160">
        <v>3.0445229999999999</v>
      </c>
      <c r="K163" s="160">
        <v>11.15724</v>
      </c>
      <c r="L163" s="160">
        <v>2.8522080000000001</v>
      </c>
      <c r="M163" s="160">
        <v>0.95281550000000004</v>
      </c>
      <c r="N163" s="160">
        <v>5.9964519999999997</v>
      </c>
      <c r="O163" s="160">
        <v>4.4284330000000001</v>
      </c>
      <c r="P163" s="160">
        <v>0.64185389999999998</v>
      </c>
      <c r="Q163" s="160">
        <v>3.0587070000000001</v>
      </c>
      <c r="R163" s="160">
        <v>4.6539599999999997</v>
      </c>
      <c r="S163" s="160">
        <v>9.4698770000000003</v>
      </c>
      <c r="T163" s="227">
        <v>-0.2484614</v>
      </c>
      <c r="U163" s="160">
        <v>0.2</v>
      </c>
      <c r="V163" s="160">
        <v>3.8</v>
      </c>
      <c r="W163" s="160">
        <v>30489</v>
      </c>
      <c r="X163" s="160">
        <v>29.8</v>
      </c>
      <c r="Y163" s="160">
        <v>40.4</v>
      </c>
      <c r="Z163" s="160">
        <v>4.2453979999999998</v>
      </c>
      <c r="AA163" s="160">
        <v>2.3125360000000001</v>
      </c>
    </row>
    <row r="164" spans="1:27">
      <c r="A164">
        <v>15</v>
      </c>
      <c r="B164" t="s">
        <v>25</v>
      </c>
      <c r="C164" t="s">
        <v>24</v>
      </c>
      <c r="D164">
        <v>2018</v>
      </c>
      <c r="E164" s="161">
        <v>20.3766</v>
      </c>
      <c r="F164" s="162">
        <v>81000000000</v>
      </c>
      <c r="G164" s="160">
        <v>0.67</v>
      </c>
      <c r="H164" s="161">
        <v>68.897499999999994</v>
      </c>
      <c r="I164" s="160">
        <v>63.17</v>
      </c>
      <c r="J164" s="160">
        <v>3.0587070000000001</v>
      </c>
      <c r="K164" s="160">
        <v>11.21758</v>
      </c>
      <c r="L164" s="160">
        <v>2.8493759999999999</v>
      </c>
      <c r="M164" s="160">
        <v>0.96408990000000006</v>
      </c>
      <c r="N164" s="160">
        <v>5.9375359999999997</v>
      </c>
      <c r="O164" s="160">
        <v>4.4176349999999998</v>
      </c>
      <c r="P164" s="160">
        <v>0.64185389999999998</v>
      </c>
      <c r="Q164" s="160">
        <v>2.186051</v>
      </c>
      <c r="R164" s="160">
        <v>4.5951199999999996</v>
      </c>
      <c r="S164" s="160">
        <v>9.2373150000000006</v>
      </c>
      <c r="T164" s="227">
        <v>-0.96758401000000005</v>
      </c>
      <c r="U164" s="160">
        <v>0.2</v>
      </c>
      <c r="V164" s="160">
        <v>3.5</v>
      </c>
      <c r="W164" s="160">
        <v>30721</v>
      </c>
      <c r="X164" s="160">
        <v>30.7</v>
      </c>
      <c r="Y164" s="160">
        <v>37.700000000000003</v>
      </c>
      <c r="Z164" s="160">
        <v>4.2577879999999997</v>
      </c>
      <c r="AA164" s="160">
        <v>2.3795459999999999</v>
      </c>
    </row>
    <row r="165" spans="1:27">
      <c r="A165">
        <v>15</v>
      </c>
      <c r="B165" t="s">
        <v>25</v>
      </c>
      <c r="C165" t="s">
        <v>24</v>
      </c>
      <c r="D165">
        <v>2019</v>
      </c>
      <c r="E165" s="161">
        <v>7.6763199999999996</v>
      </c>
      <c r="F165" s="162">
        <v>31000000000</v>
      </c>
      <c r="G165" s="160">
        <v>0.66</v>
      </c>
      <c r="H165" s="161">
        <v>66.497799999999998</v>
      </c>
      <c r="I165" s="160">
        <v>63.405000000000001</v>
      </c>
      <c r="J165" s="160">
        <v>3.091043</v>
      </c>
      <c r="K165" s="160">
        <v>11.253080000000001</v>
      </c>
      <c r="L165" s="160">
        <v>3.0580029999999998</v>
      </c>
      <c r="M165" s="160">
        <v>0.99299249999999994</v>
      </c>
      <c r="N165" s="160">
        <v>5.9558369999999998</v>
      </c>
      <c r="O165" s="160">
        <v>4.4414740000000004</v>
      </c>
      <c r="P165" s="160">
        <v>0.58778660000000005</v>
      </c>
      <c r="Q165" s="160">
        <v>1.4816050000000001</v>
      </c>
      <c r="R165" s="160">
        <v>4.553877</v>
      </c>
      <c r="S165" s="160">
        <v>8.9337370000000007</v>
      </c>
      <c r="T165" s="227">
        <v>9.5310199999999998E-2</v>
      </c>
      <c r="U165" s="160">
        <v>0.5</v>
      </c>
      <c r="V165" s="160">
        <v>3.3</v>
      </c>
      <c r="W165" s="160">
        <v>32165</v>
      </c>
      <c r="X165" s="160">
        <v>28.6</v>
      </c>
      <c r="Y165" s="160">
        <v>37.4</v>
      </c>
      <c r="Z165" s="160">
        <v>4.2714639999999999</v>
      </c>
      <c r="AA165" s="160">
        <v>2.5095990000000001</v>
      </c>
    </row>
    <row r="166" spans="1:27">
      <c r="A166">
        <v>15</v>
      </c>
      <c r="B166" t="s">
        <v>25</v>
      </c>
      <c r="C166" t="s">
        <v>24</v>
      </c>
      <c r="D166">
        <v>2020</v>
      </c>
      <c r="E166" s="161">
        <v>8.0833300000000001</v>
      </c>
      <c r="F166" s="162">
        <v>35000000000</v>
      </c>
      <c r="G166" s="160">
        <v>0.64</v>
      </c>
      <c r="H166" s="161">
        <v>64.121700000000004</v>
      </c>
      <c r="I166" s="160">
        <v>63.652999999999999</v>
      </c>
      <c r="J166" s="160">
        <v>3.11795</v>
      </c>
      <c r="K166" s="160">
        <v>11.311920000000001</v>
      </c>
      <c r="L166" s="160">
        <v>2.922409</v>
      </c>
      <c r="M166" s="160">
        <v>1.1202430000000001</v>
      </c>
      <c r="N166" s="160">
        <v>5.9375359999999997</v>
      </c>
      <c r="O166" s="160">
        <v>4.440296</v>
      </c>
      <c r="P166" s="160">
        <v>0.58778660000000005</v>
      </c>
      <c r="Q166" s="160">
        <v>6.092892</v>
      </c>
      <c r="R166" s="160">
        <v>4.4308170000000002</v>
      </c>
      <c r="S166" s="160">
        <v>8.4956999999999994</v>
      </c>
      <c r="T166" s="227">
        <v>-0.26136479000000001</v>
      </c>
      <c r="U166" s="160">
        <v>0.60000001999999997</v>
      </c>
      <c r="V166" s="160">
        <v>3.2</v>
      </c>
      <c r="W166" s="160">
        <v>33250</v>
      </c>
      <c r="X166" s="160">
        <v>29.3</v>
      </c>
      <c r="Y166" s="160">
        <v>40.799999999999997</v>
      </c>
      <c r="Z166" s="160">
        <v>4.2817540000000003</v>
      </c>
      <c r="AA166" s="160">
        <v>2.6173959999999998</v>
      </c>
    </row>
    <row r="167" spans="1:27">
      <c r="A167">
        <v>16</v>
      </c>
      <c r="B167" t="s">
        <v>23</v>
      </c>
      <c r="C167" t="s">
        <v>22</v>
      </c>
      <c r="D167">
        <v>2010</v>
      </c>
      <c r="E167" s="161">
        <v>0.462974</v>
      </c>
      <c r="F167" s="162">
        <v>9900000000</v>
      </c>
      <c r="G167" s="160">
        <v>0.76</v>
      </c>
      <c r="H167" s="161">
        <v>43.560699999999997</v>
      </c>
      <c r="I167" s="160">
        <v>68.326999999999998</v>
      </c>
      <c r="J167" s="160">
        <v>2.7408399999999999</v>
      </c>
      <c r="K167" s="160">
        <v>10.38036</v>
      </c>
      <c r="L167" s="160">
        <v>2.7125729999999999</v>
      </c>
      <c r="M167" s="160">
        <v>0.91529020000000005</v>
      </c>
      <c r="N167" s="160">
        <v>6.593045</v>
      </c>
      <c r="O167" s="160">
        <v>4.4566699999999999</v>
      </c>
      <c r="P167" s="160">
        <v>2.4510049999999999</v>
      </c>
      <c r="Q167" s="160">
        <v>9.3713449999999998</v>
      </c>
      <c r="R167" s="160">
        <v>4.6051700000000002</v>
      </c>
      <c r="S167" s="160">
        <v>8.7658609999999992</v>
      </c>
      <c r="T167" s="227">
        <v>-0.73396921000000004</v>
      </c>
      <c r="U167" s="160">
        <v>0.40000001000000002</v>
      </c>
      <c r="V167" s="160">
        <v>1.6999998999999999</v>
      </c>
      <c r="W167" s="160">
        <v>576050</v>
      </c>
      <c r="X167" s="160">
        <v>41.7</v>
      </c>
      <c r="Y167" s="160">
        <v>31</v>
      </c>
      <c r="Z167" s="160">
        <v>5.3005800000000001</v>
      </c>
      <c r="AA167" s="160">
        <v>2.549445</v>
      </c>
    </row>
    <row r="168" spans="1:27">
      <c r="A168">
        <v>16</v>
      </c>
      <c r="B168" t="s">
        <v>23</v>
      </c>
      <c r="C168" t="s">
        <v>22</v>
      </c>
      <c r="D168">
        <v>2011</v>
      </c>
      <c r="E168" s="161">
        <v>1.49397</v>
      </c>
      <c r="F168" s="162">
        <v>34000000000</v>
      </c>
      <c r="G168" s="160">
        <v>0.74</v>
      </c>
      <c r="H168" s="161">
        <v>46.903199999999998</v>
      </c>
      <c r="I168" s="160">
        <v>68.444000000000003</v>
      </c>
      <c r="J168" s="160">
        <v>2.7408399999999999</v>
      </c>
      <c r="K168" s="160">
        <v>10.38557</v>
      </c>
      <c r="L168" s="160">
        <v>2.7203740000000001</v>
      </c>
      <c r="M168" s="160">
        <v>0.91075550000000005</v>
      </c>
      <c r="N168" s="160">
        <v>6.6025879999999999</v>
      </c>
      <c r="O168" s="160">
        <v>4.5336740000000004</v>
      </c>
      <c r="P168" s="160">
        <v>2.4510049999999999</v>
      </c>
      <c r="Q168" s="160">
        <v>9.7456929999999993</v>
      </c>
      <c r="R168" s="160">
        <v>4.5951199999999996</v>
      </c>
      <c r="S168" s="160">
        <v>8.6761210000000002</v>
      </c>
      <c r="T168" s="227">
        <v>-0.69314717999999997</v>
      </c>
      <c r="U168" s="160">
        <v>0.40000001000000002</v>
      </c>
      <c r="V168" s="160">
        <v>1.8</v>
      </c>
      <c r="W168" s="160">
        <v>560435</v>
      </c>
      <c r="X168" s="160">
        <v>40.5</v>
      </c>
      <c r="Y168" s="160">
        <v>35.5</v>
      </c>
      <c r="Z168" s="160">
        <v>5.3022989999999997</v>
      </c>
      <c r="AA168" s="160">
        <v>2.4765380000000001</v>
      </c>
    </row>
    <row r="169" spans="1:27">
      <c r="A169">
        <v>16</v>
      </c>
      <c r="B169" t="s">
        <v>23</v>
      </c>
      <c r="C169" t="s">
        <v>22</v>
      </c>
      <c r="D169">
        <v>2012</v>
      </c>
      <c r="E169" s="161">
        <v>1.6639999999999999E-3</v>
      </c>
      <c r="F169" s="162">
        <v>35000000</v>
      </c>
      <c r="G169" s="160">
        <v>0.76</v>
      </c>
      <c r="H169" s="161">
        <v>47.184899999999999</v>
      </c>
      <c r="I169" s="160">
        <v>68.683999999999997</v>
      </c>
      <c r="J169" s="160">
        <v>2.8332130000000002</v>
      </c>
      <c r="K169" s="160">
        <v>10.35112</v>
      </c>
      <c r="L169" s="160">
        <v>2.524127</v>
      </c>
      <c r="M169" s="160">
        <v>1.0392159999999999</v>
      </c>
      <c r="N169" s="160">
        <v>6.5944130000000003</v>
      </c>
      <c r="O169" s="160">
        <v>4.3820269999999999</v>
      </c>
      <c r="P169" s="160">
        <v>2.6318890000000001</v>
      </c>
      <c r="Q169" s="160">
        <v>9.4663529999999998</v>
      </c>
      <c r="R169" s="160">
        <v>4.5747109999999997</v>
      </c>
      <c r="S169" s="160">
        <v>8.6210299999999993</v>
      </c>
      <c r="T169" s="227">
        <v>-0.57981848999999996</v>
      </c>
      <c r="U169" s="160">
        <v>0.40000001000000002</v>
      </c>
      <c r="V169" s="160">
        <v>1.9</v>
      </c>
      <c r="W169" s="160">
        <v>573325</v>
      </c>
      <c r="X169" s="160">
        <v>42.8</v>
      </c>
      <c r="Y169" s="160">
        <v>38.4</v>
      </c>
      <c r="Z169" s="160">
        <v>5.3049949999999999</v>
      </c>
      <c r="AA169" s="160">
        <v>2.6672280000000002</v>
      </c>
    </row>
    <row r="170" spans="1:27">
      <c r="A170">
        <v>16</v>
      </c>
      <c r="B170" t="s">
        <v>23</v>
      </c>
      <c r="C170" t="s">
        <v>22</v>
      </c>
      <c r="D170">
        <v>2013</v>
      </c>
      <c r="E170" s="161">
        <v>0.90707700000000002</v>
      </c>
      <c r="F170" s="162">
        <v>20000000000</v>
      </c>
      <c r="G170" s="160">
        <v>0.74</v>
      </c>
      <c r="H170" s="161">
        <v>46.335799999999999</v>
      </c>
      <c r="I170" s="160">
        <v>68.978999999999999</v>
      </c>
      <c r="J170" s="160">
        <v>2.8332130000000002</v>
      </c>
      <c r="K170" s="160">
        <v>10.32118</v>
      </c>
      <c r="L170" s="160">
        <v>2.4008910000000001</v>
      </c>
      <c r="M170" s="160">
        <v>1.186593</v>
      </c>
      <c r="N170" s="160">
        <v>6.6745619999999999</v>
      </c>
      <c r="O170" s="160">
        <v>4.4773370000000003</v>
      </c>
      <c r="P170" s="160">
        <v>2.772589</v>
      </c>
      <c r="Q170" s="160">
        <v>9.1043909999999997</v>
      </c>
      <c r="R170" s="160">
        <v>4.553877</v>
      </c>
      <c r="S170" s="160">
        <v>8.6326440000000009</v>
      </c>
      <c r="T170" s="227">
        <v>-0.79850774999999996</v>
      </c>
      <c r="U170" s="160">
        <v>0.40000001000000002</v>
      </c>
      <c r="V170" s="160">
        <v>2</v>
      </c>
      <c r="W170" s="160">
        <v>579522</v>
      </c>
      <c r="X170" s="160">
        <v>46.5</v>
      </c>
      <c r="Y170" s="160">
        <v>39.4</v>
      </c>
      <c r="Z170" s="160">
        <v>5.3165849999999999</v>
      </c>
      <c r="AA170" s="160">
        <v>2.7911649999999999</v>
      </c>
    </row>
    <row r="171" spans="1:27">
      <c r="A171">
        <v>16</v>
      </c>
      <c r="B171" t="s">
        <v>23</v>
      </c>
      <c r="C171" t="s">
        <v>22</v>
      </c>
      <c r="D171">
        <v>2014</v>
      </c>
      <c r="E171" s="161">
        <v>0.78374299999999997</v>
      </c>
      <c r="F171" s="162">
        <v>17000000000</v>
      </c>
      <c r="G171" s="160">
        <v>0.76</v>
      </c>
      <c r="H171" s="161">
        <v>46.206800000000001</v>
      </c>
      <c r="I171" s="160">
        <v>69.272000000000006</v>
      </c>
      <c r="J171" s="160">
        <v>2.8390780000000002</v>
      </c>
      <c r="K171" s="160">
        <v>10.31199</v>
      </c>
      <c r="L171" s="160">
        <v>2.36368</v>
      </c>
      <c r="M171" s="160">
        <v>1.1922539999999999</v>
      </c>
      <c r="N171" s="160">
        <v>6.6489839999999996</v>
      </c>
      <c r="O171" s="160">
        <v>4.4103709999999996</v>
      </c>
      <c r="P171" s="160">
        <v>2.7788189999999999</v>
      </c>
      <c r="Q171" s="160">
        <v>8.9886330000000001</v>
      </c>
      <c r="R171" s="160">
        <v>4.6249729999999998</v>
      </c>
      <c r="S171" s="160">
        <v>8.6271109999999993</v>
      </c>
      <c r="T171" s="227">
        <v>-1.1711830000000001</v>
      </c>
      <c r="U171" s="160">
        <v>0.40000001000000002</v>
      </c>
      <c r="V171" s="160">
        <v>2.2000000000000002</v>
      </c>
      <c r="W171" s="160">
        <v>596574</v>
      </c>
      <c r="X171" s="160">
        <v>46.5</v>
      </c>
      <c r="Y171" s="160">
        <v>41.6</v>
      </c>
      <c r="Z171" s="160">
        <v>5.3257620000000001</v>
      </c>
      <c r="AA171" s="160">
        <v>2.8390780000000002</v>
      </c>
    </row>
    <row r="172" spans="1:27">
      <c r="A172">
        <v>16</v>
      </c>
      <c r="B172" t="s">
        <v>23</v>
      </c>
      <c r="C172" t="s">
        <v>22</v>
      </c>
      <c r="D172">
        <v>2015</v>
      </c>
      <c r="E172" s="161">
        <v>0.72088600000000003</v>
      </c>
      <c r="F172" s="162">
        <v>13000000000</v>
      </c>
      <c r="G172" s="160">
        <v>0.78</v>
      </c>
      <c r="H172" s="161">
        <v>47.030200000000001</v>
      </c>
      <c r="I172" s="160">
        <v>69.564999999999998</v>
      </c>
      <c r="J172" s="160">
        <v>2.8848009999999999</v>
      </c>
      <c r="K172" s="160">
        <v>10.321770000000001</v>
      </c>
      <c r="L172" s="160">
        <v>2.3612310000000001</v>
      </c>
      <c r="M172" s="160">
        <v>1.232094</v>
      </c>
      <c r="N172" s="160">
        <v>6.5764690000000003</v>
      </c>
      <c r="O172" s="160">
        <v>4.4508530000000004</v>
      </c>
      <c r="P172" s="160">
        <v>2.8449089999999999</v>
      </c>
      <c r="Q172" s="160">
        <v>9.2198550000000008</v>
      </c>
      <c r="R172" s="160">
        <v>4.6249729999999998</v>
      </c>
      <c r="S172" s="160">
        <v>8.6271559999999994</v>
      </c>
      <c r="T172" s="227">
        <v>-1.0788096</v>
      </c>
      <c r="U172" s="160">
        <v>0.40000001000000002</v>
      </c>
      <c r="V172" s="160">
        <v>2.2999999999999998</v>
      </c>
      <c r="W172" s="160">
        <v>603247</v>
      </c>
      <c r="X172" s="160">
        <v>48.6</v>
      </c>
      <c r="Y172" s="160">
        <v>44.3</v>
      </c>
      <c r="Z172" s="160">
        <v>5.3247989999999996</v>
      </c>
      <c r="AA172" s="160">
        <v>2.8094030000000001</v>
      </c>
    </row>
    <row r="173" spans="1:27">
      <c r="A173">
        <v>16</v>
      </c>
      <c r="B173" t="s">
        <v>23</v>
      </c>
      <c r="C173" t="s">
        <v>22</v>
      </c>
      <c r="D173">
        <v>2016</v>
      </c>
      <c r="E173" s="161">
        <v>1.3595699999999999</v>
      </c>
      <c r="F173" s="162">
        <v>26000000000</v>
      </c>
      <c r="G173" s="160">
        <v>0.76</v>
      </c>
      <c r="H173" s="161">
        <v>46.024099999999997</v>
      </c>
      <c r="I173" s="160">
        <v>69.855000000000004</v>
      </c>
      <c r="J173" s="160">
        <v>2.8390780000000002</v>
      </c>
      <c r="K173" s="160">
        <v>10.335760000000001</v>
      </c>
      <c r="L173" s="160">
        <v>2.3539430000000001</v>
      </c>
      <c r="M173" s="160">
        <v>1.2414419999999999</v>
      </c>
      <c r="N173" s="160">
        <v>6.4785089999999999</v>
      </c>
      <c r="O173" s="160">
        <v>4.4543470000000003</v>
      </c>
      <c r="P173" s="160">
        <v>2.8791980000000001</v>
      </c>
      <c r="Q173" s="160">
        <v>9.0989170000000001</v>
      </c>
      <c r="R173" s="160">
        <v>4.6347290000000001</v>
      </c>
      <c r="S173" s="160">
        <v>8.6083029999999994</v>
      </c>
      <c r="T173" s="227">
        <v>-0.73396921000000004</v>
      </c>
      <c r="U173" s="160">
        <v>0.5</v>
      </c>
      <c r="V173" s="160">
        <v>2.2999999999999998</v>
      </c>
      <c r="W173" s="160">
        <v>612645</v>
      </c>
      <c r="X173" s="160">
        <v>48.9</v>
      </c>
      <c r="Y173" s="160">
        <v>45.9</v>
      </c>
      <c r="Z173" s="160">
        <v>5.3230979999999999</v>
      </c>
      <c r="AA173" s="160">
        <v>2.7788189999999999</v>
      </c>
    </row>
    <row r="174" spans="1:27">
      <c r="A174">
        <v>16</v>
      </c>
      <c r="B174" t="s">
        <v>23</v>
      </c>
      <c r="C174" t="s">
        <v>22</v>
      </c>
      <c r="D174">
        <v>2017</v>
      </c>
      <c r="E174" s="161">
        <v>0.44334200000000001</v>
      </c>
      <c r="F174" s="162">
        <v>8700000000</v>
      </c>
      <c r="G174" s="160">
        <v>0.79</v>
      </c>
      <c r="H174" s="161">
        <v>48.740499999999997</v>
      </c>
      <c r="I174" s="160">
        <v>70.144000000000005</v>
      </c>
      <c r="J174" s="160">
        <v>2.8735650000000001</v>
      </c>
      <c r="K174" s="160">
        <v>10.35317</v>
      </c>
      <c r="L174" s="160">
        <v>2.3410359999999999</v>
      </c>
      <c r="M174" s="160">
        <v>1.2640420000000001</v>
      </c>
      <c r="N174" s="160">
        <v>6.4361509999999997</v>
      </c>
      <c r="O174" s="160">
        <v>4.4875119999999997</v>
      </c>
      <c r="P174" s="160">
        <v>2.9123510000000001</v>
      </c>
      <c r="Q174" s="160">
        <v>9.0158450000000006</v>
      </c>
      <c r="R174" s="160">
        <v>4.682131</v>
      </c>
      <c r="S174" s="160">
        <v>8.5886859999999992</v>
      </c>
      <c r="T174" s="227">
        <v>-0.75502259000000005</v>
      </c>
      <c r="U174" s="160">
        <v>0.60000001999999997</v>
      </c>
      <c r="V174" s="160">
        <v>2.0999998999999998</v>
      </c>
      <c r="W174" s="160">
        <v>591196</v>
      </c>
      <c r="X174" s="160">
        <v>50.8</v>
      </c>
      <c r="Y174" s="160">
        <v>47.8</v>
      </c>
      <c r="Z174" s="160">
        <v>5.321599</v>
      </c>
      <c r="AA174" s="160">
        <v>2.7972809999999999</v>
      </c>
    </row>
    <row r="175" spans="1:27">
      <c r="A175">
        <v>16</v>
      </c>
      <c r="B175" t="s">
        <v>23</v>
      </c>
      <c r="C175" t="s">
        <v>22</v>
      </c>
      <c r="D175">
        <v>2018</v>
      </c>
      <c r="E175" s="161">
        <v>2.1076999999999999</v>
      </c>
      <c r="F175" s="162">
        <v>44000000000</v>
      </c>
      <c r="G175" s="160">
        <v>0.77</v>
      </c>
      <c r="H175" s="161">
        <v>50.145200000000003</v>
      </c>
      <c r="I175" s="160">
        <v>70.438000000000002</v>
      </c>
      <c r="J175" s="160">
        <v>2.8848009999999999</v>
      </c>
      <c r="K175" s="160">
        <v>10.363300000000001</v>
      </c>
      <c r="L175" s="160">
        <v>2.3769499999999999</v>
      </c>
      <c r="M175" s="160">
        <v>1.260419</v>
      </c>
      <c r="N175" s="160">
        <v>6.4232469999999999</v>
      </c>
      <c r="O175" s="160">
        <v>4.4343820000000003</v>
      </c>
      <c r="P175" s="160">
        <v>2.9338570000000002</v>
      </c>
      <c r="Q175" s="160">
        <v>8.6014599999999994</v>
      </c>
      <c r="R175" s="160">
        <v>4.6443909999999997</v>
      </c>
      <c r="S175" s="160">
        <v>8.5006210000000006</v>
      </c>
      <c r="T175" s="227">
        <v>-0.94160854999999999</v>
      </c>
      <c r="U175" s="160">
        <v>0.69999999000000002</v>
      </c>
      <c r="V175" s="160">
        <v>2.0999998999999998</v>
      </c>
      <c r="W175" s="160">
        <v>585644</v>
      </c>
      <c r="X175" s="160">
        <v>50.6</v>
      </c>
      <c r="Y175" s="160">
        <v>49.8</v>
      </c>
      <c r="Z175" s="160">
        <v>5.3196969999999997</v>
      </c>
      <c r="AA175" s="160">
        <v>2.8390780000000002</v>
      </c>
    </row>
    <row r="176" spans="1:27">
      <c r="A176">
        <v>16</v>
      </c>
      <c r="B176" t="s">
        <v>23</v>
      </c>
      <c r="C176" t="s">
        <v>22</v>
      </c>
      <c r="D176">
        <v>2019</v>
      </c>
      <c r="E176" s="161">
        <v>1.77067</v>
      </c>
      <c r="F176" s="162">
        <v>36000000000</v>
      </c>
      <c r="G176" s="160">
        <v>0.77</v>
      </c>
      <c r="H176" s="161">
        <v>50.144599999999997</v>
      </c>
      <c r="I176" s="160">
        <v>70.736000000000004</v>
      </c>
      <c r="J176" s="160">
        <v>2.9014220000000002</v>
      </c>
      <c r="K176" s="160">
        <v>10.379110000000001</v>
      </c>
      <c r="L176" s="160">
        <v>2.3558409999999999</v>
      </c>
      <c r="M176" s="160">
        <v>1.2416149999999999</v>
      </c>
      <c r="N176" s="160">
        <v>6.3716119999999998</v>
      </c>
      <c r="O176" s="160">
        <v>4.4091550000000002</v>
      </c>
      <c r="P176" s="160">
        <v>2.9338570000000002</v>
      </c>
      <c r="Q176" s="160">
        <v>8.5995100000000004</v>
      </c>
      <c r="R176" s="160">
        <v>4.6634390000000003</v>
      </c>
      <c r="S176" s="160">
        <v>8.404045</v>
      </c>
      <c r="T176" s="227">
        <v>-0.21072103</v>
      </c>
      <c r="U176" s="160">
        <v>0.89999998000000003</v>
      </c>
      <c r="V176" s="160">
        <v>2.4000001000000002</v>
      </c>
      <c r="W176" s="160">
        <v>644581</v>
      </c>
      <c r="X176" s="160">
        <v>48.9</v>
      </c>
      <c r="Y176" s="160">
        <v>51.4</v>
      </c>
      <c r="Z176" s="160">
        <v>5.3081740000000002</v>
      </c>
      <c r="AA176" s="160">
        <v>2.8507060000000002</v>
      </c>
    </row>
    <row r="177" spans="1:27">
      <c r="A177">
        <v>16</v>
      </c>
      <c r="B177" t="s">
        <v>23</v>
      </c>
      <c r="C177" t="s">
        <v>22</v>
      </c>
      <c r="D177">
        <v>2020</v>
      </c>
      <c r="E177" s="161">
        <v>-0.89387000000000005</v>
      </c>
      <c r="F177" s="162">
        <v>-17000000000</v>
      </c>
      <c r="G177" s="160">
        <v>0.79</v>
      </c>
      <c r="H177" s="161">
        <v>48.580199999999998</v>
      </c>
      <c r="I177" s="160">
        <v>71.039000000000001</v>
      </c>
      <c r="J177" s="160">
        <v>2.9285239999999999</v>
      </c>
      <c r="K177" s="160">
        <v>10.291119999999999</v>
      </c>
      <c r="L177" s="160">
        <v>2.261971</v>
      </c>
      <c r="M177" s="160">
        <v>1.2321519999999999</v>
      </c>
      <c r="N177" s="160">
        <v>6.3171650000000001</v>
      </c>
      <c r="O177" s="160">
        <v>4.4589879999999997</v>
      </c>
      <c r="P177" s="160">
        <v>0.95551140000000001</v>
      </c>
      <c r="Q177" s="160">
        <v>8.7392479999999999</v>
      </c>
      <c r="R177" s="160">
        <v>4.6151200000000001</v>
      </c>
      <c r="S177" s="160">
        <v>8.2971350000000008</v>
      </c>
      <c r="T177" s="227">
        <v>-1.0216510999999999</v>
      </c>
      <c r="U177" s="160">
        <v>0.69999999000000002</v>
      </c>
      <c r="V177" s="160">
        <v>2.5999998999999998</v>
      </c>
      <c r="W177" s="160">
        <v>617149</v>
      </c>
      <c r="X177" s="160">
        <v>46.5</v>
      </c>
      <c r="Y177" s="160">
        <v>51.4</v>
      </c>
      <c r="Z177" s="160">
        <v>5.3033000000000001</v>
      </c>
      <c r="AA177" s="160">
        <v>2.9285239999999999</v>
      </c>
    </row>
    <row r="178" spans="1:27">
      <c r="A178">
        <v>17</v>
      </c>
      <c r="B178" t="s">
        <v>21</v>
      </c>
      <c r="C178" t="s">
        <v>20</v>
      </c>
      <c r="D178">
        <v>2010</v>
      </c>
      <c r="E178" s="161">
        <v>3.0097</v>
      </c>
      <c r="F178" s="162">
        <v>1100000000</v>
      </c>
      <c r="G178" s="160">
        <v>0.25</v>
      </c>
      <c r="H178" s="161">
        <v>120.506</v>
      </c>
      <c r="I178" s="160">
        <v>66.757000000000005</v>
      </c>
      <c r="J178" s="160">
        <v>3.1986729999999999</v>
      </c>
      <c r="K178" s="160">
        <v>9.2950579999999992</v>
      </c>
      <c r="L178" s="160">
        <v>2.6243059999999998</v>
      </c>
      <c r="M178" s="160">
        <v>-0.2155475</v>
      </c>
      <c r="N178" s="160">
        <v>6.2461070000000003</v>
      </c>
      <c r="O178" s="160">
        <v>4.2822069999999997</v>
      </c>
      <c r="P178" s="160">
        <v>1.3609770000000001</v>
      </c>
      <c r="Q178" s="160">
        <v>4.8146199999999997</v>
      </c>
      <c r="R178" s="160">
        <v>4.6051700000000002</v>
      </c>
      <c r="S178" s="160">
        <v>8.7610130000000002</v>
      </c>
      <c r="T178" s="227">
        <v>-0.43078294</v>
      </c>
      <c r="U178" s="160">
        <v>0.20000002</v>
      </c>
      <c r="V178" s="160">
        <v>1.4</v>
      </c>
      <c r="W178" s="160">
        <v>27198</v>
      </c>
      <c r="X178" s="160">
        <v>41</v>
      </c>
      <c r="Y178" s="160">
        <v>4.9000000000000004</v>
      </c>
      <c r="Z178" s="160">
        <v>3.9003169999999998</v>
      </c>
      <c r="AA178" s="160">
        <v>3.0680529999999999</v>
      </c>
    </row>
    <row r="179" spans="1:27">
      <c r="A179">
        <v>17</v>
      </c>
      <c r="B179" t="s">
        <v>21</v>
      </c>
      <c r="C179" t="s">
        <v>20</v>
      </c>
      <c r="D179">
        <v>2011</v>
      </c>
      <c r="E179" s="161">
        <v>4.3550899999999997</v>
      </c>
      <c r="F179" s="162">
        <v>1900000000</v>
      </c>
      <c r="G179" s="160">
        <v>0.23</v>
      </c>
      <c r="H179" s="161">
        <v>138.52199999999999</v>
      </c>
      <c r="I179" s="160">
        <v>66.741</v>
      </c>
      <c r="J179" s="160">
        <v>3.2580960000000001</v>
      </c>
      <c r="K179" s="160">
        <v>9.3789610000000003</v>
      </c>
      <c r="L179" s="160">
        <v>2.768894</v>
      </c>
      <c r="M179" s="160">
        <v>-0.2382572</v>
      </c>
      <c r="N179" s="160">
        <v>6.259582</v>
      </c>
      <c r="O179" s="160">
        <v>4.2527720000000002</v>
      </c>
      <c r="P179" s="160">
        <v>1.280934</v>
      </c>
      <c r="Q179" s="160">
        <v>5.849901</v>
      </c>
      <c r="R179" s="160">
        <v>4.6051700000000002</v>
      </c>
      <c r="S179" s="160">
        <v>8.7083639999999995</v>
      </c>
      <c r="T179" s="227">
        <v>-0.69314717999999997</v>
      </c>
      <c r="U179" s="160">
        <v>0.30000000999999998</v>
      </c>
      <c r="V179" s="160">
        <v>1.4</v>
      </c>
      <c r="W179" s="160">
        <v>29071</v>
      </c>
      <c r="X179" s="160">
        <v>40.299999999999997</v>
      </c>
      <c r="Y179" s="160">
        <v>20</v>
      </c>
      <c r="Z179" s="160">
        <v>3.877748</v>
      </c>
      <c r="AA179" s="160">
        <v>3.1223649999999998</v>
      </c>
    </row>
    <row r="180" spans="1:27">
      <c r="A180">
        <v>17</v>
      </c>
      <c r="B180" t="s">
        <v>21</v>
      </c>
      <c r="C180" t="s">
        <v>20</v>
      </c>
      <c r="D180">
        <v>2012</v>
      </c>
      <c r="E180" s="161">
        <v>1.5855600000000001</v>
      </c>
      <c r="F180" s="162">
        <v>680000000</v>
      </c>
      <c r="G180" s="160">
        <v>0.23</v>
      </c>
      <c r="H180" s="161">
        <v>144.17400000000001</v>
      </c>
      <c r="I180" s="160">
        <v>66.864000000000004</v>
      </c>
      <c r="J180" s="160">
        <v>3.2958370000000001</v>
      </c>
      <c r="K180" s="160">
        <v>9.4352660000000004</v>
      </c>
      <c r="L180" s="160">
        <v>2.681295</v>
      </c>
      <c r="M180" s="160">
        <v>-0.1145134</v>
      </c>
      <c r="N180" s="160">
        <v>6.259582</v>
      </c>
      <c r="O180" s="160">
        <v>4.229749</v>
      </c>
      <c r="P180" s="160">
        <v>1.3350010000000001</v>
      </c>
      <c r="Q180" s="160">
        <v>5.8830439999999999</v>
      </c>
      <c r="R180" s="160">
        <v>4.6728290000000001</v>
      </c>
      <c r="S180" s="160">
        <v>8.7577379999999998</v>
      </c>
      <c r="T180" s="227">
        <v>-0.96758401000000005</v>
      </c>
      <c r="U180" s="160">
        <v>0.40000001000000002</v>
      </c>
      <c r="V180" s="160">
        <v>1.4</v>
      </c>
      <c r="W180" s="160">
        <v>30335</v>
      </c>
      <c r="X180" s="160">
        <v>41.8</v>
      </c>
      <c r="Y180" s="160">
        <v>23.5</v>
      </c>
      <c r="Z180" s="160">
        <v>3.8643360000000002</v>
      </c>
      <c r="AA180" s="160">
        <v>3.1738780000000002</v>
      </c>
    </row>
    <row r="181" spans="1:27">
      <c r="A181">
        <v>17</v>
      </c>
      <c r="B181" t="s">
        <v>21</v>
      </c>
      <c r="C181" t="s">
        <v>20</v>
      </c>
      <c r="D181">
        <v>2013</v>
      </c>
      <c r="E181" s="161">
        <v>1.66004</v>
      </c>
      <c r="F181" s="162">
        <v>770000000</v>
      </c>
      <c r="G181" s="160">
        <v>0.22</v>
      </c>
      <c r="H181" s="161">
        <v>145.56899999999999</v>
      </c>
      <c r="I181" s="160">
        <v>66.986000000000004</v>
      </c>
      <c r="J181" s="160">
        <v>3.2958370000000001</v>
      </c>
      <c r="K181" s="160">
        <v>9.4850589999999997</v>
      </c>
      <c r="L181" s="160">
        <v>2.857332</v>
      </c>
      <c r="M181" s="160">
        <v>-0.27062829999999999</v>
      </c>
      <c r="N181" s="160">
        <v>6.2897160000000003</v>
      </c>
      <c r="O181" s="160">
        <v>4.2413270000000001</v>
      </c>
      <c r="P181" s="160">
        <v>1.131402</v>
      </c>
      <c r="Q181" s="160">
        <v>5.8949540000000002</v>
      </c>
      <c r="R181" s="160">
        <v>4.6443909999999997</v>
      </c>
      <c r="S181" s="160">
        <v>8.8017070000000004</v>
      </c>
      <c r="T181" s="227">
        <v>-1.0788096</v>
      </c>
      <c r="U181" s="160">
        <v>0.5</v>
      </c>
      <c r="V181" s="160">
        <v>1.4</v>
      </c>
      <c r="W181" s="160">
        <v>33120</v>
      </c>
      <c r="X181" s="160">
        <v>38.6</v>
      </c>
      <c r="Y181" s="160">
        <v>27.8</v>
      </c>
      <c r="Z181" s="160">
        <v>3.8542010000000002</v>
      </c>
      <c r="AA181" s="160">
        <v>3.2695690000000002</v>
      </c>
    </row>
    <row r="182" spans="1:27">
      <c r="A182">
        <v>17</v>
      </c>
      <c r="B182" t="s">
        <v>21</v>
      </c>
      <c r="C182" t="s">
        <v>20</v>
      </c>
      <c r="D182">
        <v>2014</v>
      </c>
      <c r="E182" s="161">
        <v>0.739699</v>
      </c>
      <c r="F182" s="162">
        <v>360000000</v>
      </c>
      <c r="G182" s="160">
        <v>0.21</v>
      </c>
      <c r="H182" s="161">
        <v>138.03100000000001</v>
      </c>
      <c r="I182" s="160">
        <v>67.108000000000004</v>
      </c>
      <c r="J182" s="160">
        <v>3.2809110000000001</v>
      </c>
      <c r="K182" s="160">
        <v>9.5306899999999999</v>
      </c>
      <c r="L182" s="160">
        <v>2.8519199999999998</v>
      </c>
      <c r="M182" s="160">
        <v>-0.17268810000000001</v>
      </c>
      <c r="N182" s="160">
        <v>6.2989490000000004</v>
      </c>
      <c r="O182" s="160">
        <v>4.326778</v>
      </c>
      <c r="P182" s="160">
        <v>1.308333</v>
      </c>
      <c r="Q182" s="160">
        <v>6.1647869999999996</v>
      </c>
      <c r="R182" s="160">
        <v>4.6443909999999997</v>
      </c>
      <c r="S182" s="160">
        <v>8.7956420000000008</v>
      </c>
      <c r="T182" s="227">
        <v>-1.0017057</v>
      </c>
      <c r="U182" s="160">
        <v>0.60000001999999997</v>
      </c>
      <c r="V182" s="160">
        <v>1.5</v>
      </c>
      <c r="W182" s="160">
        <v>34685</v>
      </c>
      <c r="X182" s="160">
        <v>39.9</v>
      </c>
      <c r="Y182" s="160">
        <v>30.5</v>
      </c>
      <c r="Z182" s="160">
        <v>3.8460009999999998</v>
      </c>
      <c r="AA182" s="160">
        <v>3.3214320000000002</v>
      </c>
    </row>
    <row r="183" spans="1:27">
      <c r="A183">
        <v>17</v>
      </c>
      <c r="B183" t="s">
        <v>21</v>
      </c>
      <c r="C183" t="s">
        <v>20</v>
      </c>
      <c r="D183">
        <v>2015</v>
      </c>
      <c r="E183" s="161">
        <v>2.4962200000000001</v>
      </c>
      <c r="F183" s="162">
        <v>1000000000</v>
      </c>
      <c r="G183" s="160">
        <v>0.21</v>
      </c>
      <c r="H183" s="161">
        <v>128.899</v>
      </c>
      <c r="I183" s="160">
        <v>67.23</v>
      </c>
      <c r="J183" s="160">
        <v>3.3141859999999999</v>
      </c>
      <c r="K183" s="160">
        <v>9.5680359999999993</v>
      </c>
      <c r="L183" s="160">
        <v>2.8074729999999999</v>
      </c>
      <c r="M183" s="160">
        <v>-0.15245210000000001</v>
      </c>
      <c r="N183" s="160">
        <v>6.322565</v>
      </c>
      <c r="O183" s="160">
        <v>4.3907379999999998</v>
      </c>
      <c r="P183" s="160">
        <v>1.410987</v>
      </c>
      <c r="Q183" s="160">
        <v>5.3636369999999998</v>
      </c>
      <c r="R183" s="160">
        <v>4.6151200000000001</v>
      </c>
      <c r="S183" s="160">
        <v>8.844398</v>
      </c>
      <c r="T183" s="227">
        <v>-0.92460176999999999</v>
      </c>
      <c r="U183" s="160">
        <v>0.60000001999999997</v>
      </c>
      <c r="V183" s="160">
        <v>1.6</v>
      </c>
      <c r="W183" s="160">
        <v>34866</v>
      </c>
      <c r="X183" s="160">
        <v>40.700000000000003</v>
      </c>
      <c r="Y183" s="160">
        <v>33.200000000000003</v>
      </c>
      <c r="Z183" s="160">
        <v>3.8365939999999998</v>
      </c>
      <c r="AA183" s="160">
        <v>3.3672960000000001</v>
      </c>
    </row>
    <row r="184" spans="1:27">
      <c r="A184">
        <v>17</v>
      </c>
      <c r="B184" t="s">
        <v>21</v>
      </c>
      <c r="C184" t="s">
        <v>20</v>
      </c>
      <c r="D184">
        <v>2016</v>
      </c>
      <c r="E184" s="161">
        <v>2.74031</v>
      </c>
      <c r="F184" s="162">
        <v>1200000000</v>
      </c>
      <c r="G184" s="160">
        <v>0.21</v>
      </c>
      <c r="H184" s="161">
        <v>121.911</v>
      </c>
      <c r="I184" s="160">
        <v>67.366</v>
      </c>
      <c r="J184" s="160">
        <v>3.2809110000000001</v>
      </c>
      <c r="K184" s="160">
        <v>9.6071080000000002</v>
      </c>
      <c r="L184" s="160">
        <v>2.8886479999999999</v>
      </c>
      <c r="M184" s="160">
        <v>-0.1624013</v>
      </c>
      <c r="N184" s="160">
        <v>6.3171650000000001</v>
      </c>
      <c r="O184" s="160">
        <v>4.4103709999999996</v>
      </c>
      <c r="P184" s="160">
        <v>1.5260560000000001</v>
      </c>
      <c r="Q184" s="160">
        <v>5.0632279999999996</v>
      </c>
      <c r="R184" s="160">
        <v>4.6249729999999998</v>
      </c>
      <c r="S184" s="160">
        <v>8.8863529999999997</v>
      </c>
      <c r="T184" s="227">
        <v>-0.84749785</v>
      </c>
      <c r="U184" s="160">
        <v>0.89999998000000003</v>
      </c>
      <c r="V184" s="160">
        <v>1.8</v>
      </c>
      <c r="W184" s="160">
        <v>35211</v>
      </c>
      <c r="X184" s="160">
        <v>40.4</v>
      </c>
      <c r="Y184" s="160">
        <v>48</v>
      </c>
      <c r="Z184" s="160">
        <v>3.8240159999999999</v>
      </c>
      <c r="AA184" s="160">
        <v>3.4499879999999998</v>
      </c>
    </row>
    <row r="185" spans="1:27">
      <c r="A185">
        <v>17</v>
      </c>
      <c r="B185" t="s">
        <v>21</v>
      </c>
      <c r="C185" t="s">
        <v>20</v>
      </c>
      <c r="D185">
        <v>2017</v>
      </c>
      <c r="E185" s="161">
        <v>2.8974600000000001</v>
      </c>
      <c r="F185" s="162">
        <v>1400000000</v>
      </c>
      <c r="G185" s="160">
        <v>0.22</v>
      </c>
      <c r="H185" s="161">
        <v>130.15700000000001</v>
      </c>
      <c r="I185" s="160">
        <v>67.516000000000005</v>
      </c>
      <c r="J185" s="160">
        <v>3.3068870000000001</v>
      </c>
      <c r="K185" s="160">
        <v>9.6661819999999992</v>
      </c>
      <c r="L185" s="160">
        <v>3.0095369999999999</v>
      </c>
      <c r="M185" s="160">
        <v>-0.23332020000000001</v>
      </c>
      <c r="N185" s="160">
        <v>6.3062750000000003</v>
      </c>
      <c r="O185" s="160">
        <v>4.4091550000000002</v>
      </c>
      <c r="P185" s="160">
        <v>1.4816050000000001</v>
      </c>
      <c r="Q185" s="160">
        <v>4.9794879999999999</v>
      </c>
      <c r="R185" s="160">
        <v>4.6539599999999997</v>
      </c>
      <c r="S185" s="160">
        <v>8.9072410000000009</v>
      </c>
      <c r="T185" s="227">
        <v>-0.77039393</v>
      </c>
      <c r="U185" s="160">
        <v>1.1000000000000001</v>
      </c>
      <c r="V185" s="160">
        <v>1.9</v>
      </c>
      <c r="W185" s="160">
        <v>35822</v>
      </c>
      <c r="X185" s="160">
        <v>39.200000000000003</v>
      </c>
      <c r="Y185" s="160">
        <v>48.1</v>
      </c>
      <c r="Z185" s="160">
        <v>3.8100480000000001</v>
      </c>
      <c r="AA185" s="160">
        <v>3.5204610000000001</v>
      </c>
    </row>
    <row r="186" spans="1:27">
      <c r="A186">
        <v>17</v>
      </c>
      <c r="B186" t="s">
        <v>21</v>
      </c>
      <c r="C186" t="s">
        <v>20</v>
      </c>
      <c r="D186">
        <v>2018</v>
      </c>
      <c r="E186" s="161">
        <v>2.3955000000000002</v>
      </c>
      <c r="F186" s="162">
        <v>1300000000</v>
      </c>
      <c r="G186" s="160">
        <v>0.21</v>
      </c>
      <c r="H186" s="161">
        <v>128.708</v>
      </c>
      <c r="I186" s="160">
        <v>67.679000000000002</v>
      </c>
      <c r="J186" s="160">
        <v>3.3032170000000001</v>
      </c>
      <c r="K186" s="160">
        <v>9.7237390000000001</v>
      </c>
      <c r="L186" s="160">
        <v>3.0053860000000001</v>
      </c>
      <c r="M186" s="160">
        <v>-0.17745340000000001</v>
      </c>
      <c r="N186" s="160">
        <v>6.2897160000000003</v>
      </c>
      <c r="O186" s="160">
        <v>4.4042770000000004</v>
      </c>
      <c r="P186" s="160">
        <v>1.458615</v>
      </c>
      <c r="Q186" s="160">
        <v>4.9052749999999996</v>
      </c>
      <c r="R186" s="160">
        <v>4.682131</v>
      </c>
      <c r="S186" s="160">
        <v>8.9893509999999992</v>
      </c>
      <c r="T186" s="227">
        <v>-0.69329001000000001</v>
      </c>
      <c r="U186" s="160">
        <v>0.69999999000000002</v>
      </c>
      <c r="V186" s="160">
        <v>1.9</v>
      </c>
      <c r="W186" s="160">
        <v>35808</v>
      </c>
      <c r="X186" s="160">
        <v>41.4</v>
      </c>
      <c r="Y186" s="160">
        <v>52.6</v>
      </c>
      <c r="Z186" s="160">
        <v>3.8006799999999998</v>
      </c>
      <c r="AA186" s="160">
        <v>3.5174979999999998</v>
      </c>
    </row>
    <row r="187" spans="1:27">
      <c r="A187">
        <v>17</v>
      </c>
      <c r="B187" t="s">
        <v>21</v>
      </c>
      <c r="C187" t="s">
        <v>20</v>
      </c>
      <c r="D187">
        <v>2019</v>
      </c>
      <c r="E187" s="161">
        <v>6.2303499999999996</v>
      </c>
      <c r="F187" s="162">
        <v>3400000000</v>
      </c>
      <c r="G187" s="160">
        <v>0.2</v>
      </c>
      <c r="H187" s="161">
        <v>125.01300000000001</v>
      </c>
      <c r="I187" s="160">
        <v>67.855000000000004</v>
      </c>
      <c r="J187" s="160">
        <v>3.328627</v>
      </c>
      <c r="K187" s="160">
        <v>9.7720970000000005</v>
      </c>
      <c r="L187" s="160">
        <v>3.0234450000000002</v>
      </c>
      <c r="M187" s="160">
        <v>-0.1978413</v>
      </c>
      <c r="N187" s="160">
        <v>6.2952659999999998</v>
      </c>
      <c r="O187" s="160">
        <v>4.4152199999999997</v>
      </c>
      <c r="P187" s="160">
        <v>1.3609770000000001</v>
      </c>
      <c r="Q187" s="160">
        <v>5.8676000000000004</v>
      </c>
      <c r="R187" s="160">
        <v>4.7004799999999998</v>
      </c>
      <c r="S187" s="160">
        <v>9.0652279999999994</v>
      </c>
      <c r="T187" s="227">
        <v>-0.61618607999999997</v>
      </c>
      <c r="U187" s="160">
        <v>0.69999999000000002</v>
      </c>
      <c r="V187" s="160">
        <v>2</v>
      </c>
      <c r="W187" s="160">
        <v>37606</v>
      </c>
      <c r="X187" s="160">
        <v>40.5</v>
      </c>
      <c r="Y187" s="160">
        <v>49.7</v>
      </c>
      <c r="Z187" s="160">
        <v>3.7981929999999999</v>
      </c>
      <c r="AA187" s="160">
        <v>3.5115449999999999</v>
      </c>
    </row>
    <row r="188" spans="1:27">
      <c r="A188">
        <v>17</v>
      </c>
      <c r="B188" t="s">
        <v>21</v>
      </c>
      <c r="C188" t="s">
        <v>20</v>
      </c>
      <c r="D188">
        <v>2020</v>
      </c>
      <c r="E188" s="161">
        <v>7.9434500000000003</v>
      </c>
      <c r="F188" s="162">
        <v>4600000000</v>
      </c>
      <c r="G188" s="160">
        <v>0.21</v>
      </c>
      <c r="H188" s="161">
        <v>115.19199999999999</v>
      </c>
      <c r="I188" s="160">
        <v>68.046000000000006</v>
      </c>
      <c r="J188" s="160">
        <v>3.349904</v>
      </c>
      <c r="K188" s="160">
        <v>9.7722569999999997</v>
      </c>
      <c r="L188" s="160">
        <v>3.0847959999999999</v>
      </c>
      <c r="M188" s="160">
        <v>-0.25411830000000002</v>
      </c>
      <c r="N188" s="160">
        <v>6.259582</v>
      </c>
      <c r="O188" s="160">
        <v>4.4067189999999998</v>
      </c>
      <c r="P188" s="160">
        <v>1.3862939999999999</v>
      </c>
      <c r="Q188" s="160">
        <v>6.0068450000000002</v>
      </c>
      <c r="R188" s="160">
        <v>4.7184990000000004</v>
      </c>
      <c r="S188" s="160">
        <v>9.1357510000000008</v>
      </c>
      <c r="T188" s="227">
        <v>-0.53908215999999998</v>
      </c>
      <c r="U188" s="160">
        <v>0.80000000999999998</v>
      </c>
      <c r="V188" s="160">
        <v>1.9</v>
      </c>
      <c r="W188" s="160">
        <v>38335</v>
      </c>
      <c r="X188" s="160">
        <v>36.700000000000003</v>
      </c>
      <c r="Y188" s="160">
        <v>45.3</v>
      </c>
      <c r="Z188" s="160">
        <v>3.7984619999999998</v>
      </c>
      <c r="AA188" s="160">
        <v>3.4563169999999999</v>
      </c>
    </row>
    <row r="189" spans="1:27">
      <c r="A189">
        <v>18</v>
      </c>
      <c r="B189" t="s">
        <v>19</v>
      </c>
      <c r="C189" t="s">
        <v>18</v>
      </c>
      <c r="D189">
        <v>2010</v>
      </c>
      <c r="E189" s="161">
        <v>41.364600000000003</v>
      </c>
      <c r="F189" s="162">
        <v>23000000000</v>
      </c>
      <c r="G189" s="160">
        <v>0.74</v>
      </c>
      <c r="H189" s="161">
        <v>79.766599999999997</v>
      </c>
      <c r="I189" s="160">
        <v>88.546999999999997</v>
      </c>
      <c r="J189" s="160">
        <v>3.349904</v>
      </c>
      <c r="K189" s="160">
        <v>11.576309999999999</v>
      </c>
      <c r="L189" s="160">
        <v>3.4809009999999998</v>
      </c>
      <c r="M189" s="160">
        <v>1.451918</v>
      </c>
      <c r="N189" s="160">
        <v>6.1862089999999998</v>
      </c>
      <c r="O189" s="160">
        <v>4.4508530000000004</v>
      </c>
      <c r="P189" s="160">
        <v>3.152736</v>
      </c>
      <c r="Q189" s="160">
        <v>7.8281970000000003</v>
      </c>
      <c r="R189" s="160">
        <v>4.6051700000000002</v>
      </c>
      <c r="S189" s="160">
        <v>9.5683059999999998</v>
      </c>
      <c r="T189" s="227">
        <v>1.2669476</v>
      </c>
      <c r="U189" s="160">
        <v>0.69999999000000002</v>
      </c>
      <c r="V189" s="160">
        <v>0.89999998000000003</v>
      </c>
      <c r="W189" s="160">
        <v>1643</v>
      </c>
      <c r="X189" s="160">
        <v>90.2</v>
      </c>
      <c r="Y189" s="160">
        <v>46.5</v>
      </c>
      <c r="Z189" s="160">
        <v>5.2827770000000003</v>
      </c>
      <c r="AA189" s="160">
        <v>1.308333</v>
      </c>
    </row>
    <row r="190" spans="1:27">
      <c r="A190">
        <v>18</v>
      </c>
      <c r="B190" t="s">
        <v>19</v>
      </c>
      <c r="C190" t="s">
        <v>18</v>
      </c>
      <c r="D190">
        <v>2011</v>
      </c>
      <c r="E190" s="161">
        <v>17.368600000000001</v>
      </c>
      <c r="F190" s="162">
        <v>11000000000</v>
      </c>
      <c r="G190" s="160">
        <v>0.72</v>
      </c>
      <c r="H190" s="161">
        <v>80.598100000000002</v>
      </c>
      <c r="I190" s="160">
        <v>88.906000000000006</v>
      </c>
      <c r="J190" s="160">
        <v>3.4011969999999998</v>
      </c>
      <c r="K190" s="160">
        <v>11.56447</v>
      </c>
      <c r="L190" s="160">
        <v>3.4892080000000001</v>
      </c>
      <c r="M190" s="160">
        <v>1.4483299999999999</v>
      </c>
      <c r="N190" s="160">
        <v>5.8998980000000003</v>
      </c>
      <c r="O190" s="160">
        <v>4.4543470000000003</v>
      </c>
      <c r="P190" s="160">
        <v>2.9856820000000002</v>
      </c>
      <c r="Q190" s="160">
        <v>7.668234</v>
      </c>
      <c r="R190" s="160">
        <v>4.6347290000000001</v>
      </c>
      <c r="S190" s="160">
        <v>9.5235699999999994</v>
      </c>
      <c r="T190" s="227">
        <v>1.1693814</v>
      </c>
      <c r="U190" s="160">
        <v>0.69999999000000002</v>
      </c>
      <c r="V190" s="160">
        <v>0.89999998000000003</v>
      </c>
      <c r="W190" s="160">
        <v>1700</v>
      </c>
      <c r="X190" s="160">
        <v>91.9</v>
      </c>
      <c r="Y190" s="160">
        <v>46.4</v>
      </c>
      <c r="Z190" s="160">
        <v>5.3050050000000004</v>
      </c>
      <c r="AA190" s="160">
        <v>1.3350010000000001</v>
      </c>
    </row>
    <row r="191" spans="1:27">
      <c r="A191">
        <v>18</v>
      </c>
      <c r="B191" t="s">
        <v>19</v>
      </c>
      <c r="C191" t="s">
        <v>18</v>
      </c>
      <c r="D191">
        <v>2012</v>
      </c>
      <c r="E191" s="161">
        <v>-22.412299999999998</v>
      </c>
      <c r="F191" s="162">
        <v>-13000000000</v>
      </c>
      <c r="G191" s="160">
        <v>0.72</v>
      </c>
      <c r="H191" s="161">
        <v>77.582499999999996</v>
      </c>
      <c r="I191" s="160">
        <v>89.248999999999995</v>
      </c>
      <c r="J191" s="160">
        <v>3.4499879999999998</v>
      </c>
      <c r="K191" s="160">
        <v>11.55683</v>
      </c>
      <c r="L191" s="160">
        <v>3.393132</v>
      </c>
      <c r="M191" s="160">
        <v>1.473252</v>
      </c>
      <c r="N191" s="160">
        <v>5.9348939999999999</v>
      </c>
      <c r="O191" s="160">
        <v>4.4636069999999997</v>
      </c>
      <c r="P191" s="160">
        <v>2.8735650000000001</v>
      </c>
      <c r="Q191" s="160">
        <v>7.8786100000000001</v>
      </c>
      <c r="R191" s="160">
        <v>4.682131</v>
      </c>
      <c r="S191" s="160">
        <v>9.531307</v>
      </c>
      <c r="T191" s="227">
        <v>1.6658181999999999</v>
      </c>
      <c r="U191" s="160">
        <v>0.69999999000000002</v>
      </c>
      <c r="V191" s="160">
        <v>0.89999998000000003</v>
      </c>
      <c r="W191" s="160">
        <v>1722</v>
      </c>
      <c r="X191" s="160">
        <v>87.6</v>
      </c>
      <c r="Y191" s="160">
        <v>47.4</v>
      </c>
      <c r="Z191" s="160">
        <v>5.329021</v>
      </c>
      <c r="AA191" s="160">
        <v>1.435084</v>
      </c>
    </row>
    <row r="192" spans="1:27">
      <c r="A192">
        <v>18</v>
      </c>
      <c r="B192" t="s">
        <v>19</v>
      </c>
      <c r="C192" t="s">
        <v>18</v>
      </c>
      <c r="D192">
        <v>2013</v>
      </c>
      <c r="E192" s="161">
        <v>71.500399999999999</v>
      </c>
      <c r="F192" s="162">
        <v>47000000000</v>
      </c>
      <c r="G192" s="160">
        <v>0.72</v>
      </c>
      <c r="H192" s="161">
        <v>69.218900000000005</v>
      </c>
      <c r="I192" s="160">
        <v>89.573999999999998</v>
      </c>
      <c r="J192" s="160">
        <v>3.4499879999999998</v>
      </c>
      <c r="K192" s="160">
        <v>11.56494</v>
      </c>
      <c r="L192" s="160">
        <v>3.4234810000000002</v>
      </c>
      <c r="M192" s="160">
        <v>1.4970300000000001</v>
      </c>
      <c r="N192" s="160">
        <v>6.0038869999999998</v>
      </c>
      <c r="O192" s="160">
        <v>4.4727810000000003</v>
      </c>
      <c r="P192" s="160">
        <v>2.721295</v>
      </c>
      <c r="Q192" s="160">
        <v>7.3702940000000003</v>
      </c>
      <c r="R192" s="160">
        <v>4.682131</v>
      </c>
      <c r="S192" s="160">
        <v>9.6139109999999999</v>
      </c>
      <c r="T192" s="227">
        <v>1.8718022000000001</v>
      </c>
      <c r="U192" s="160">
        <v>0.69999999000000002</v>
      </c>
      <c r="V192" s="160">
        <v>0.89999998000000003</v>
      </c>
      <c r="W192" s="160">
        <v>1799</v>
      </c>
      <c r="X192" s="160">
        <v>87.2</v>
      </c>
      <c r="Y192" s="160">
        <v>46.3</v>
      </c>
      <c r="Z192" s="160">
        <v>5.3521330000000003</v>
      </c>
      <c r="AA192" s="160">
        <v>1.7404660000000001</v>
      </c>
    </row>
    <row r="193" spans="1:27">
      <c r="A193">
        <v>18</v>
      </c>
      <c r="B193" t="s">
        <v>19</v>
      </c>
      <c r="C193" t="s">
        <v>18</v>
      </c>
      <c r="D193">
        <v>2014</v>
      </c>
      <c r="E193" s="161">
        <v>63.106900000000003</v>
      </c>
      <c r="F193" s="162">
        <v>43000000000</v>
      </c>
      <c r="G193" s="160">
        <v>0.73</v>
      </c>
      <c r="H193" s="161">
        <v>66.499700000000004</v>
      </c>
      <c r="I193" s="160">
        <v>89.884</v>
      </c>
      <c r="J193" s="160">
        <v>3.407842</v>
      </c>
      <c r="K193" s="160">
        <v>11.567259999999999</v>
      </c>
      <c r="L193" s="160">
        <v>3.3959169999999999</v>
      </c>
      <c r="M193" s="160">
        <v>1.4729760000000001</v>
      </c>
      <c r="N193" s="160">
        <v>5.9635790000000002</v>
      </c>
      <c r="O193" s="160">
        <v>4.4773370000000003</v>
      </c>
      <c r="P193" s="160">
        <v>2.4069449999999999</v>
      </c>
      <c r="Q193" s="160">
        <v>7.6657529999999996</v>
      </c>
      <c r="R193" s="160">
        <v>4.7184990000000004</v>
      </c>
      <c r="S193" s="160">
        <v>9.5759559999999997</v>
      </c>
      <c r="T193" s="227">
        <v>2.4765383999999999</v>
      </c>
      <c r="U193" s="160">
        <v>0.69999999000000002</v>
      </c>
      <c r="V193" s="160">
        <v>0.89999998000000003</v>
      </c>
      <c r="W193" s="160">
        <v>1800</v>
      </c>
      <c r="X193" s="160">
        <v>89.3</v>
      </c>
      <c r="Y193" s="160">
        <v>47.7</v>
      </c>
      <c r="Z193" s="160">
        <v>5.3757039999999998</v>
      </c>
      <c r="AA193" s="160">
        <v>1.9169229999999999</v>
      </c>
    </row>
    <row r="194" spans="1:27">
      <c r="A194">
        <v>18</v>
      </c>
      <c r="B194" t="s">
        <v>19</v>
      </c>
      <c r="C194" t="s">
        <v>18</v>
      </c>
      <c r="D194">
        <v>2015</v>
      </c>
      <c r="E194" s="161">
        <v>53.1357</v>
      </c>
      <c r="F194" s="162">
        <v>32000000000</v>
      </c>
      <c r="G194" s="160">
        <v>0.72</v>
      </c>
      <c r="H194" s="161">
        <v>67.299700000000001</v>
      </c>
      <c r="I194" s="160">
        <v>90.179000000000002</v>
      </c>
      <c r="J194" s="160">
        <v>3.4436179999999998</v>
      </c>
      <c r="K194" s="160">
        <v>11.56611</v>
      </c>
      <c r="L194" s="160">
        <v>3.5156559999999999</v>
      </c>
      <c r="M194" s="160">
        <v>1.359</v>
      </c>
      <c r="N194" s="160">
        <v>5.9215780000000002</v>
      </c>
      <c r="O194" s="160">
        <v>4.4647579999999998</v>
      </c>
      <c r="P194" s="160">
        <v>2.2617630000000002</v>
      </c>
      <c r="Q194" s="160">
        <v>7.5493459999999999</v>
      </c>
      <c r="R194" s="160">
        <v>4.7706850000000003</v>
      </c>
      <c r="S194" s="160">
        <v>9.5498809999999992</v>
      </c>
      <c r="T194" s="227">
        <v>1.8261609000000001</v>
      </c>
      <c r="U194" s="160">
        <v>1.1000000000000001</v>
      </c>
      <c r="V194" s="160">
        <v>1</v>
      </c>
      <c r="W194" s="160">
        <v>1839</v>
      </c>
      <c r="X194" s="160">
        <v>91.2</v>
      </c>
      <c r="Y194" s="160">
        <v>47.4</v>
      </c>
      <c r="Z194" s="160">
        <v>5.3993019999999996</v>
      </c>
      <c r="AA194" s="160">
        <v>2.2082739999999998</v>
      </c>
    </row>
    <row r="195" spans="1:27">
      <c r="A195">
        <v>18</v>
      </c>
      <c r="B195" t="s">
        <v>19</v>
      </c>
      <c r="C195" t="s">
        <v>18</v>
      </c>
      <c r="D195">
        <v>2016</v>
      </c>
      <c r="E195" s="161">
        <v>-1.99438</v>
      </c>
      <c r="F195" s="162">
        <v>-1200000000</v>
      </c>
      <c r="G195" s="160">
        <v>0.74</v>
      </c>
      <c r="H195" s="161">
        <v>60.542999999999999</v>
      </c>
      <c r="I195" s="160">
        <v>90.46</v>
      </c>
      <c r="J195" s="160">
        <v>3.4209999999999998</v>
      </c>
      <c r="K195" s="160">
        <v>11.59313</v>
      </c>
      <c r="L195" s="160">
        <v>3.4304649999999999</v>
      </c>
      <c r="M195" s="160">
        <v>1.4</v>
      </c>
      <c r="N195" s="160">
        <v>5.9584250000000001</v>
      </c>
      <c r="O195" s="160">
        <v>4.4704949999999997</v>
      </c>
      <c r="P195" s="160">
        <v>1.9600949999999999</v>
      </c>
      <c r="Q195" s="160">
        <v>7.643866</v>
      </c>
      <c r="R195" s="160">
        <v>4.7706850000000003</v>
      </c>
      <c r="S195" s="160">
        <v>9.5467259999999996</v>
      </c>
      <c r="T195" s="227">
        <v>1.5347143000000001</v>
      </c>
      <c r="U195" s="160">
        <v>0.89999998000000003</v>
      </c>
      <c r="V195" s="160">
        <v>1</v>
      </c>
      <c r="W195" s="160">
        <v>1924</v>
      </c>
      <c r="X195" s="160">
        <v>90.9</v>
      </c>
      <c r="Y195" s="160">
        <v>49.2</v>
      </c>
      <c r="Z195" s="160">
        <v>5.4208540000000003</v>
      </c>
      <c r="AA195" s="160">
        <v>2.6026899999999999</v>
      </c>
    </row>
    <row r="196" spans="1:27">
      <c r="A196">
        <v>18</v>
      </c>
      <c r="B196" t="s">
        <v>19</v>
      </c>
      <c r="C196" t="s">
        <v>18</v>
      </c>
      <c r="D196">
        <v>2017</v>
      </c>
      <c r="E196" s="161">
        <v>22.855799999999999</v>
      </c>
      <c r="F196" s="162">
        <v>15000000000</v>
      </c>
      <c r="G196" s="160">
        <v>0.73</v>
      </c>
      <c r="H196" s="161">
        <v>58.7973</v>
      </c>
      <c r="I196" s="160">
        <v>90.727000000000004</v>
      </c>
      <c r="J196" s="160">
        <v>3.4436179999999998</v>
      </c>
      <c r="K196" s="160">
        <v>11.581910000000001</v>
      </c>
      <c r="L196" s="160">
        <v>3.4789910000000002</v>
      </c>
      <c r="M196" s="160">
        <v>1.3552420000000001</v>
      </c>
      <c r="N196" s="160">
        <v>6.0038869999999998</v>
      </c>
      <c r="O196" s="160">
        <v>4.4897590000000003</v>
      </c>
      <c r="P196" s="160">
        <v>0.47000360000000002</v>
      </c>
      <c r="Q196" s="160">
        <v>7.33446</v>
      </c>
      <c r="R196" s="160">
        <v>4.8040209999999997</v>
      </c>
      <c r="S196" s="160">
        <v>9.5963949999999993</v>
      </c>
      <c r="T196" s="227">
        <v>2.2648833000000002</v>
      </c>
      <c r="U196" s="160">
        <v>1</v>
      </c>
      <c r="V196" s="160">
        <v>1.1000000000000001</v>
      </c>
      <c r="W196" s="160">
        <v>1956</v>
      </c>
      <c r="X196" s="160">
        <v>91.4</v>
      </c>
      <c r="Y196" s="160">
        <v>48.9</v>
      </c>
      <c r="Z196" s="160">
        <v>5.445163</v>
      </c>
      <c r="AA196" s="160">
        <v>2.7278530000000001</v>
      </c>
    </row>
    <row r="197" spans="1:27">
      <c r="A197">
        <v>18</v>
      </c>
      <c r="B197" t="s">
        <v>19</v>
      </c>
      <c r="C197" t="s">
        <v>18</v>
      </c>
      <c r="D197">
        <v>2018</v>
      </c>
      <c r="E197" s="161">
        <v>30.784500000000001</v>
      </c>
      <c r="F197" s="162">
        <v>22000000000</v>
      </c>
      <c r="G197" s="160">
        <v>0.73</v>
      </c>
      <c r="H197" s="161">
        <v>57.164499999999997</v>
      </c>
      <c r="I197" s="160">
        <v>90.980999999999995</v>
      </c>
      <c r="J197" s="160">
        <v>3.4436179999999998</v>
      </c>
      <c r="K197" s="160">
        <v>11.57474</v>
      </c>
      <c r="L197" s="160">
        <v>3.3440979999999998</v>
      </c>
      <c r="M197" s="160">
        <v>1.4257070000000001</v>
      </c>
      <c r="N197" s="160">
        <v>6.037871</v>
      </c>
      <c r="O197" s="160">
        <v>4.4773370000000003</v>
      </c>
      <c r="P197" s="160">
        <v>0.58778660000000005</v>
      </c>
      <c r="Q197" s="160">
        <v>7.4245229999999998</v>
      </c>
      <c r="R197" s="160">
        <v>4.8040209999999997</v>
      </c>
      <c r="S197" s="160">
        <v>9.4786009999999994</v>
      </c>
      <c r="T197" s="227">
        <v>1.3428648000000001</v>
      </c>
      <c r="U197" s="160">
        <v>0.69999999000000002</v>
      </c>
      <c r="V197" s="160">
        <v>1.2</v>
      </c>
      <c r="W197" s="160">
        <v>2106</v>
      </c>
      <c r="X197" s="160">
        <v>91.2</v>
      </c>
      <c r="Y197" s="160">
        <v>49</v>
      </c>
      <c r="Z197" s="160">
        <v>5.4644550000000001</v>
      </c>
      <c r="AA197" s="160">
        <v>2.772589</v>
      </c>
    </row>
    <row r="198" spans="1:27">
      <c r="A198">
        <v>18</v>
      </c>
      <c r="B198" t="s">
        <v>19</v>
      </c>
      <c r="C198" t="s">
        <v>18</v>
      </c>
      <c r="D198">
        <v>2019</v>
      </c>
      <c r="E198" s="161">
        <v>252.92</v>
      </c>
      <c r="F198" s="162">
        <v>180000000000</v>
      </c>
      <c r="G198" s="160">
        <v>0.73</v>
      </c>
      <c r="H198" s="161">
        <v>58.255400000000002</v>
      </c>
      <c r="I198" s="160">
        <v>91.222999999999999</v>
      </c>
      <c r="J198" s="160">
        <v>3.4719669999999998</v>
      </c>
      <c r="K198" s="160">
        <v>11.58386</v>
      </c>
      <c r="L198" s="160">
        <v>3.298352</v>
      </c>
      <c r="M198" s="160">
        <v>1.441918</v>
      </c>
      <c r="N198" s="160">
        <v>6.0591229999999996</v>
      </c>
      <c r="O198" s="160">
        <v>4.4830030000000001</v>
      </c>
      <c r="P198" s="160">
        <v>2.2082739999999998</v>
      </c>
      <c r="Q198" s="160">
        <v>7.3019569999999998</v>
      </c>
      <c r="R198" s="160">
        <v>4.8283139999999998</v>
      </c>
      <c r="S198" s="160">
        <v>9.3450570000000006</v>
      </c>
      <c r="T198" s="227">
        <v>1.1724821000000001</v>
      </c>
      <c r="U198" s="160">
        <v>1.3</v>
      </c>
      <c r="V198" s="160">
        <v>1.3</v>
      </c>
      <c r="W198" s="160">
        <v>2074</v>
      </c>
      <c r="X198" s="160">
        <v>91</v>
      </c>
      <c r="Y198" s="160">
        <v>48.9</v>
      </c>
      <c r="Z198" s="160">
        <v>5.484083</v>
      </c>
      <c r="AA198" s="160">
        <v>2.7972809999999999</v>
      </c>
    </row>
    <row r="199" spans="1:27">
      <c r="A199">
        <v>18</v>
      </c>
      <c r="B199" t="s">
        <v>19</v>
      </c>
      <c r="C199" t="s">
        <v>18</v>
      </c>
      <c r="D199">
        <v>2020</v>
      </c>
      <c r="E199" s="161">
        <v>200.83199999999999</v>
      </c>
      <c r="F199" s="162">
        <v>150000000000</v>
      </c>
      <c r="G199" s="160">
        <v>0.72</v>
      </c>
      <c r="H199" s="161">
        <v>47.495699999999999</v>
      </c>
      <c r="I199" s="160">
        <v>91.453000000000003</v>
      </c>
      <c r="J199" s="160">
        <v>3.4904280000000001</v>
      </c>
      <c r="K199" s="160">
        <v>11.55805</v>
      </c>
      <c r="L199" s="160">
        <v>3.3103600000000002</v>
      </c>
      <c r="M199" s="160">
        <v>1.4071499999999999</v>
      </c>
      <c r="N199" s="160">
        <v>5.9428000000000001</v>
      </c>
      <c r="O199" s="160">
        <v>4.4762000000000004</v>
      </c>
      <c r="P199" s="160">
        <v>2.24071</v>
      </c>
      <c r="Q199" s="160">
        <v>6.8417219999999999</v>
      </c>
      <c r="R199" s="160">
        <v>4.8362819999999997</v>
      </c>
      <c r="S199" s="160">
        <v>9.1908860000000008</v>
      </c>
      <c r="T199" s="227">
        <v>1.3787661</v>
      </c>
      <c r="U199" s="160">
        <v>1.1000000000000001</v>
      </c>
      <c r="V199" s="160">
        <v>1.2</v>
      </c>
      <c r="W199" s="160">
        <v>2100</v>
      </c>
      <c r="X199" s="160">
        <v>90.4</v>
      </c>
      <c r="Y199" s="160">
        <v>52.8</v>
      </c>
      <c r="Z199" s="160">
        <v>5.5007440000000001</v>
      </c>
      <c r="AA199" s="160">
        <v>3.0349529999999998</v>
      </c>
    </row>
    <row r="200" spans="1:27">
      <c r="A200">
        <v>19</v>
      </c>
      <c r="B200" t="s">
        <v>17</v>
      </c>
      <c r="C200" t="s">
        <v>16</v>
      </c>
      <c r="D200">
        <v>2010</v>
      </c>
      <c r="E200" s="161">
        <v>2.02393</v>
      </c>
      <c r="F200" s="162">
        <v>470000000</v>
      </c>
      <c r="G200" s="160">
        <v>0.31</v>
      </c>
      <c r="H200" s="161">
        <v>90.432500000000005</v>
      </c>
      <c r="I200" s="160">
        <v>67.840999999999994</v>
      </c>
      <c r="J200" s="160">
        <v>3.0445229999999999</v>
      </c>
      <c r="K200" s="160">
        <v>9.2592160000000003</v>
      </c>
      <c r="L200" s="160">
        <v>2.4556490000000002</v>
      </c>
      <c r="M200" s="160">
        <v>3.7199400000000001E-2</v>
      </c>
      <c r="N200" s="160">
        <v>6.1737859999999998</v>
      </c>
      <c r="O200" s="160">
        <v>4.4379340000000003</v>
      </c>
      <c r="P200" s="160">
        <v>0.1823216</v>
      </c>
      <c r="Q200" s="160">
        <v>3.8877299999999999</v>
      </c>
      <c r="R200" s="160">
        <v>4.6051700000000002</v>
      </c>
      <c r="S200" s="160">
        <v>8.5468069999999994</v>
      </c>
      <c r="T200" s="227">
        <v>-0.32850403</v>
      </c>
      <c r="U200" s="160">
        <v>1.0000001000000001</v>
      </c>
      <c r="V200" s="160">
        <v>1.8000001000000001</v>
      </c>
      <c r="W200" s="160">
        <v>18815</v>
      </c>
      <c r="X200" s="160">
        <v>26.4</v>
      </c>
      <c r="Y200" s="160">
        <v>9.4</v>
      </c>
      <c r="Z200" s="160">
        <v>3.517738</v>
      </c>
      <c r="AA200" s="160">
        <v>3.499533</v>
      </c>
    </row>
    <row r="201" spans="1:27">
      <c r="A201">
        <v>19</v>
      </c>
      <c r="B201" t="s">
        <v>17</v>
      </c>
      <c r="C201" t="s">
        <v>16</v>
      </c>
      <c r="D201">
        <v>2011</v>
      </c>
      <c r="E201" s="161">
        <v>5.7177300000000004</v>
      </c>
      <c r="F201" s="162">
        <v>1500000000</v>
      </c>
      <c r="G201" s="160">
        <v>0.3</v>
      </c>
      <c r="H201" s="161">
        <v>110.703</v>
      </c>
      <c r="I201" s="160">
        <v>67.869</v>
      </c>
      <c r="J201" s="160">
        <v>3.091043</v>
      </c>
      <c r="K201" s="160">
        <v>9.3073309999999996</v>
      </c>
      <c r="L201" s="160">
        <v>2.6704180000000002</v>
      </c>
      <c r="M201" s="160">
        <v>-8.2403799999999999E-2</v>
      </c>
      <c r="N201" s="160">
        <v>6.1717000000000004</v>
      </c>
      <c r="O201" s="160">
        <v>4.4006030000000003</v>
      </c>
      <c r="P201" s="160">
        <v>1.064711</v>
      </c>
      <c r="Q201" s="160">
        <v>4.0792310000000001</v>
      </c>
      <c r="R201" s="160">
        <v>4.5951199999999996</v>
      </c>
      <c r="S201" s="160">
        <v>8.5332679999999996</v>
      </c>
      <c r="T201" s="227">
        <v>-9.4371049999999998E-2</v>
      </c>
      <c r="U201" s="160">
        <v>0.90000004</v>
      </c>
      <c r="V201" s="160">
        <v>1.7</v>
      </c>
      <c r="W201" s="160">
        <v>19182</v>
      </c>
      <c r="X201" s="160">
        <v>27.4</v>
      </c>
      <c r="Y201" s="160">
        <v>9.6999999999999993</v>
      </c>
      <c r="Z201" s="160">
        <v>3.49953</v>
      </c>
      <c r="AA201" s="160">
        <v>3.5695329999999998</v>
      </c>
    </row>
    <row r="202" spans="1:27">
      <c r="A202">
        <v>19</v>
      </c>
      <c r="B202" t="s">
        <v>17</v>
      </c>
      <c r="C202" t="s">
        <v>16</v>
      </c>
      <c r="D202">
        <v>2012</v>
      </c>
      <c r="E202" s="161">
        <v>3.9857399999999998</v>
      </c>
      <c r="F202" s="162">
        <v>1100000000</v>
      </c>
      <c r="G202" s="160">
        <v>0.28000000000000003</v>
      </c>
      <c r="H202" s="161">
        <v>115.57299999999999</v>
      </c>
      <c r="I202" s="160">
        <v>67.897000000000006</v>
      </c>
      <c r="J202" s="160">
        <v>3.113515</v>
      </c>
      <c r="K202" s="160">
        <v>9.3902429999999999</v>
      </c>
      <c r="L202" s="160">
        <v>2.6105839999999998</v>
      </c>
      <c r="M202" s="160">
        <v>-1.8978999999999999E-2</v>
      </c>
      <c r="N202" s="160">
        <v>6.1420370000000002</v>
      </c>
      <c r="O202" s="160">
        <v>4.4260440000000001</v>
      </c>
      <c r="P202" s="160">
        <v>0.26236419999999999</v>
      </c>
      <c r="Q202" s="160">
        <v>3.586293</v>
      </c>
      <c r="R202" s="160">
        <v>4.5849679999999999</v>
      </c>
      <c r="S202" s="160">
        <v>8.5340399999999992</v>
      </c>
      <c r="T202" s="227">
        <v>0.13976192000000001</v>
      </c>
      <c r="U202" s="160">
        <v>0.80000000999999998</v>
      </c>
      <c r="V202" s="160">
        <v>1.6</v>
      </c>
      <c r="W202" s="160">
        <v>20476</v>
      </c>
      <c r="X202" s="160">
        <v>30.3</v>
      </c>
      <c r="Y202" s="160">
        <v>14.6</v>
      </c>
      <c r="Z202" s="160">
        <v>3.4871270000000001</v>
      </c>
      <c r="AA202" s="160">
        <v>3.6988300000000001</v>
      </c>
    </row>
    <row r="203" spans="1:27">
      <c r="A203">
        <v>19</v>
      </c>
      <c r="B203" t="s">
        <v>17</v>
      </c>
      <c r="C203" t="s">
        <v>16</v>
      </c>
      <c r="D203">
        <v>2013</v>
      </c>
      <c r="E203" s="161">
        <v>3.3935200000000001</v>
      </c>
      <c r="F203" s="162">
        <v>990000000</v>
      </c>
      <c r="G203" s="160">
        <v>0.26</v>
      </c>
      <c r="H203" s="161">
        <v>110.908</v>
      </c>
      <c r="I203" s="160">
        <v>67.924999999999997</v>
      </c>
      <c r="J203" s="160">
        <v>3.113515</v>
      </c>
      <c r="K203" s="160">
        <v>9.4216949999999997</v>
      </c>
      <c r="L203" s="160">
        <v>2.7052459999999998</v>
      </c>
      <c r="M203" s="160">
        <v>-7.6341199999999998E-2</v>
      </c>
      <c r="N203" s="160">
        <v>6.4831079999999996</v>
      </c>
      <c r="O203" s="160">
        <v>4.5031379999999999</v>
      </c>
      <c r="P203" s="160">
        <v>1.3609770000000001</v>
      </c>
      <c r="Q203" s="160">
        <v>3.8044380000000002</v>
      </c>
      <c r="R203" s="160">
        <v>4.5432949999999996</v>
      </c>
      <c r="S203" s="160">
        <v>8.5699199999999998</v>
      </c>
      <c r="T203" s="227">
        <v>0.68813466999999995</v>
      </c>
      <c r="U203" s="160">
        <v>0.69999999000000002</v>
      </c>
      <c r="V203" s="160">
        <v>1.5</v>
      </c>
      <c r="W203" s="160">
        <v>21567</v>
      </c>
      <c r="X203" s="160">
        <v>29.7</v>
      </c>
      <c r="Y203" s="160">
        <v>25.9</v>
      </c>
      <c r="Z203" s="160">
        <v>3.476416</v>
      </c>
      <c r="AA203" s="160">
        <v>3.6788289999999999</v>
      </c>
    </row>
    <row r="204" spans="1:27">
      <c r="A204">
        <v>19</v>
      </c>
      <c r="B204" t="s">
        <v>17</v>
      </c>
      <c r="C204" t="s">
        <v>16</v>
      </c>
      <c r="D204">
        <v>2014</v>
      </c>
      <c r="E204" s="161">
        <v>3.4518</v>
      </c>
      <c r="F204" s="162">
        <v>1000000000</v>
      </c>
      <c r="G204" s="160">
        <v>0.25</v>
      </c>
      <c r="H204" s="161">
        <v>107.93300000000001</v>
      </c>
      <c r="I204" s="160">
        <v>67.951999999999998</v>
      </c>
      <c r="J204" s="160">
        <v>3.0680529999999999</v>
      </c>
      <c r="K204" s="160">
        <v>9.4518500000000003</v>
      </c>
      <c r="L204" s="160">
        <v>2.7077830000000001</v>
      </c>
      <c r="M204" s="160">
        <v>-1.19714E-2</v>
      </c>
      <c r="N204" s="160">
        <v>6.4707990000000004</v>
      </c>
      <c r="O204" s="160">
        <v>4.5031379999999999</v>
      </c>
      <c r="P204" s="160">
        <v>1.6677070000000001</v>
      </c>
      <c r="Q204" s="160">
        <v>2.04122</v>
      </c>
      <c r="R204" s="160">
        <v>4.5747109999999997</v>
      </c>
      <c r="S204" s="160">
        <v>8.5669079999999997</v>
      </c>
      <c r="T204" s="227">
        <v>-3.2188759</v>
      </c>
      <c r="U204" s="160">
        <v>0.80000000999999998</v>
      </c>
      <c r="V204" s="160">
        <v>1.5</v>
      </c>
      <c r="W204" s="160">
        <v>22835</v>
      </c>
      <c r="X204" s="160">
        <v>31.1</v>
      </c>
      <c r="Y204" s="160">
        <v>27</v>
      </c>
      <c r="Z204" s="160">
        <v>3.4670010000000002</v>
      </c>
      <c r="AA204" s="160">
        <v>3.693867</v>
      </c>
    </row>
    <row r="205" spans="1:27">
      <c r="A205">
        <v>19</v>
      </c>
      <c r="B205" t="s">
        <v>17</v>
      </c>
      <c r="C205" t="s">
        <v>16</v>
      </c>
      <c r="D205">
        <v>2015</v>
      </c>
      <c r="E205" s="161">
        <v>3.0854300000000001</v>
      </c>
      <c r="F205" s="162">
        <v>810000000</v>
      </c>
      <c r="G205" s="160">
        <v>0.24</v>
      </c>
      <c r="H205" s="161">
        <v>102.50700000000001</v>
      </c>
      <c r="I205" s="160">
        <v>67.98</v>
      </c>
      <c r="J205" s="160">
        <v>3.1000920000000001</v>
      </c>
      <c r="K205" s="160">
        <v>9.4971720000000008</v>
      </c>
      <c r="L205" s="160">
        <v>2.7807430000000002</v>
      </c>
      <c r="M205" s="160">
        <v>-4.1030299999999999E-2</v>
      </c>
      <c r="N205" s="160">
        <v>6.4815769999999997</v>
      </c>
      <c r="O205" s="160">
        <v>4.4091550000000002</v>
      </c>
      <c r="P205" s="160">
        <v>1.6677070000000001</v>
      </c>
      <c r="Q205" s="160">
        <v>-0.35667500000000002</v>
      </c>
      <c r="R205" s="160">
        <v>4.6051700000000002</v>
      </c>
      <c r="S205" s="160">
        <v>8.5906020000000005</v>
      </c>
      <c r="T205" s="227">
        <v>0.14841998000000001</v>
      </c>
      <c r="U205" s="160">
        <v>0.69999999000000002</v>
      </c>
      <c r="V205" s="160">
        <v>1.5</v>
      </c>
      <c r="W205" s="160">
        <v>23214</v>
      </c>
      <c r="X205" s="160">
        <v>31.4</v>
      </c>
      <c r="Y205" s="160">
        <v>28.7</v>
      </c>
      <c r="Z205" s="160">
        <v>3.458812</v>
      </c>
      <c r="AA205" s="160">
        <v>3.6402139999999998</v>
      </c>
    </row>
    <row r="206" spans="1:27">
      <c r="A206">
        <v>19</v>
      </c>
      <c r="B206" t="s">
        <v>17</v>
      </c>
      <c r="C206" t="s">
        <v>16</v>
      </c>
      <c r="D206">
        <v>2016</v>
      </c>
      <c r="E206" s="161">
        <v>1.2369399999999999</v>
      </c>
      <c r="F206" s="162">
        <v>340000000</v>
      </c>
      <c r="G206" s="160">
        <v>0.25</v>
      </c>
      <c r="H206" s="161">
        <v>98.565100000000001</v>
      </c>
      <c r="I206" s="160">
        <v>68.021000000000001</v>
      </c>
      <c r="J206" s="160">
        <v>3.0633910000000002</v>
      </c>
      <c r="K206" s="160">
        <v>9.5315030000000007</v>
      </c>
      <c r="L206" s="160">
        <v>2.6742180000000002</v>
      </c>
      <c r="M206" s="160">
        <v>9.0662999999999994E-2</v>
      </c>
      <c r="N206" s="160">
        <v>6.5191470000000002</v>
      </c>
      <c r="O206" s="160">
        <v>4.4830030000000001</v>
      </c>
      <c r="P206" s="160">
        <v>1.88707</v>
      </c>
      <c r="Q206" s="160">
        <v>4.3214800000000002</v>
      </c>
      <c r="R206" s="160">
        <v>4.6249729999999998</v>
      </c>
      <c r="S206" s="160">
        <v>8.6406069999999993</v>
      </c>
      <c r="T206" s="227">
        <v>-0.67334455000000004</v>
      </c>
      <c r="U206" s="160">
        <v>0.5</v>
      </c>
      <c r="V206" s="160">
        <v>1.5</v>
      </c>
      <c r="W206" s="160">
        <v>23624</v>
      </c>
      <c r="X206" s="160">
        <v>32</v>
      </c>
      <c r="Y206" s="160">
        <v>25.2</v>
      </c>
      <c r="Z206" s="160">
        <v>3.4496730000000002</v>
      </c>
      <c r="AA206" s="160">
        <v>3.650658</v>
      </c>
    </row>
    <row r="207" spans="1:27">
      <c r="A207">
        <v>19</v>
      </c>
      <c r="B207" t="s">
        <v>17</v>
      </c>
      <c r="C207" t="s">
        <v>16</v>
      </c>
      <c r="D207">
        <v>2017</v>
      </c>
      <c r="E207" s="161">
        <v>4.0488</v>
      </c>
      <c r="F207" s="162">
        <v>1200000000</v>
      </c>
      <c r="G207" s="160">
        <v>0.25</v>
      </c>
      <c r="H207" s="161">
        <v>106.015</v>
      </c>
      <c r="I207" s="160">
        <v>68.075000000000003</v>
      </c>
      <c r="J207" s="160">
        <v>3.086487</v>
      </c>
      <c r="K207" s="160">
        <v>9.5737950000000005</v>
      </c>
      <c r="L207" s="160">
        <v>2.7989259999999998</v>
      </c>
      <c r="M207" s="160">
        <v>1.0643100000000001E-2</v>
      </c>
      <c r="N207" s="160">
        <v>6.5206210000000002</v>
      </c>
      <c r="O207" s="160">
        <v>4.3919769999999998</v>
      </c>
      <c r="P207" s="160">
        <v>1.7047479999999999</v>
      </c>
      <c r="Q207" s="160">
        <v>3.8918200000000001</v>
      </c>
      <c r="R207" s="160">
        <v>4.6249729999999998</v>
      </c>
      <c r="S207" s="160">
        <v>8.6617060000000006</v>
      </c>
      <c r="T207" s="227">
        <v>-0.67334455000000004</v>
      </c>
      <c r="U207" s="160">
        <v>0.69999999000000002</v>
      </c>
      <c r="V207" s="160">
        <v>1.5</v>
      </c>
      <c r="W207" s="160">
        <v>23397</v>
      </c>
      <c r="X207" s="160">
        <v>30.5</v>
      </c>
      <c r="Y207" s="160">
        <v>24.8</v>
      </c>
      <c r="Z207" s="160">
        <v>3.4408120000000002</v>
      </c>
      <c r="AA207" s="160">
        <v>3.7518539999999998</v>
      </c>
    </row>
    <row r="208" spans="1:27">
      <c r="A208">
        <v>19</v>
      </c>
      <c r="B208" t="s">
        <v>17</v>
      </c>
      <c r="C208" t="s">
        <v>16</v>
      </c>
      <c r="D208">
        <v>2018</v>
      </c>
      <c r="E208" s="161">
        <v>1.32077</v>
      </c>
      <c r="F208" s="162">
        <v>440000000</v>
      </c>
      <c r="G208" s="160">
        <v>0.25</v>
      </c>
      <c r="H208" s="161">
        <v>107.81699999999999</v>
      </c>
      <c r="I208" s="160">
        <v>68.141999999999996</v>
      </c>
      <c r="J208" s="160">
        <v>3.091043</v>
      </c>
      <c r="K208" s="160">
        <v>9.62378</v>
      </c>
      <c r="L208" s="160">
        <v>2.836033</v>
      </c>
      <c r="M208" s="160">
        <v>-3.5938100000000001E-2</v>
      </c>
      <c r="N208" s="160">
        <v>6.5102580000000003</v>
      </c>
      <c r="O208" s="160">
        <v>4.399375</v>
      </c>
      <c r="P208" s="160">
        <v>1.5475620000000001</v>
      </c>
      <c r="Q208" s="160">
        <v>3.6532520000000002</v>
      </c>
      <c r="R208" s="160">
        <v>4.6249729999999998</v>
      </c>
      <c r="S208" s="160">
        <v>8.511177</v>
      </c>
      <c r="T208" s="227">
        <v>-0.89792092999999995</v>
      </c>
      <c r="U208" s="160">
        <v>0.80000000999999998</v>
      </c>
      <c r="V208" s="160">
        <v>1.8</v>
      </c>
      <c r="W208" s="160">
        <v>22420</v>
      </c>
      <c r="X208" s="160">
        <v>32.9</v>
      </c>
      <c r="Y208" s="160">
        <v>25.2</v>
      </c>
      <c r="Z208" s="160">
        <v>3.4330219999999998</v>
      </c>
      <c r="AA208" s="160">
        <v>3.7135720000000001</v>
      </c>
    </row>
    <row r="209" spans="1:27">
      <c r="A209">
        <v>19</v>
      </c>
      <c r="B209" t="s">
        <v>17</v>
      </c>
      <c r="C209" t="s">
        <v>16</v>
      </c>
      <c r="D209">
        <v>2019</v>
      </c>
      <c r="E209" s="161">
        <v>3.371</v>
      </c>
      <c r="F209" s="162">
        <v>1100000000</v>
      </c>
      <c r="G209" s="160">
        <v>0.22</v>
      </c>
      <c r="H209" s="161">
        <v>104.727</v>
      </c>
      <c r="I209" s="160">
        <v>68.221999999999994</v>
      </c>
      <c r="J209" s="160">
        <v>3.11795</v>
      </c>
      <c r="K209" s="160">
        <v>9.6374630000000003</v>
      </c>
      <c r="L209" s="160">
        <v>2.8510529999999998</v>
      </c>
      <c r="M209" s="160">
        <v>-3.2110100000000003E-2</v>
      </c>
      <c r="N209" s="160">
        <v>6.5264949999999997</v>
      </c>
      <c r="O209" s="160">
        <v>4.4188400000000003</v>
      </c>
      <c r="P209" s="160">
        <v>1.568616</v>
      </c>
      <c r="Q209" s="160">
        <v>0.99325180000000002</v>
      </c>
      <c r="R209" s="160">
        <v>4.6347290000000001</v>
      </c>
      <c r="S209" s="160">
        <v>8.8530859999999993</v>
      </c>
      <c r="T209" s="227">
        <v>-1.1224973</v>
      </c>
      <c r="U209" s="160">
        <v>1.1000000000000001</v>
      </c>
      <c r="V209" s="160">
        <v>1.8</v>
      </c>
      <c r="W209" s="160">
        <v>21108</v>
      </c>
      <c r="X209" s="160">
        <v>31.5</v>
      </c>
      <c r="Y209" s="160">
        <v>41</v>
      </c>
      <c r="Z209" s="160">
        <v>3.426069</v>
      </c>
      <c r="AA209" s="160">
        <v>3.7256930000000001</v>
      </c>
    </row>
    <row r="210" spans="1:27">
      <c r="A210">
        <v>19</v>
      </c>
      <c r="B210" t="s">
        <v>17</v>
      </c>
      <c r="C210" t="s">
        <v>16</v>
      </c>
      <c r="D210">
        <v>2020</v>
      </c>
      <c r="E210" s="161">
        <v>2.8141400000000001</v>
      </c>
      <c r="F210" s="162">
        <v>940000000</v>
      </c>
      <c r="G210" s="160">
        <v>0.21</v>
      </c>
      <c r="H210" s="161">
        <v>104.188</v>
      </c>
      <c r="I210" s="160">
        <v>68.314999999999998</v>
      </c>
      <c r="J210" s="160">
        <v>3.1441520000000001</v>
      </c>
      <c r="K210" s="160">
        <v>9.6091630000000006</v>
      </c>
      <c r="L210" s="160">
        <v>2.8651110000000002</v>
      </c>
      <c r="M210" s="160">
        <v>-7.1496000000000004E-2</v>
      </c>
      <c r="N210" s="160">
        <v>6.5439119999999997</v>
      </c>
      <c r="O210" s="160">
        <v>4.4248469999999998</v>
      </c>
      <c r="P210" s="160">
        <v>1.6486590000000001</v>
      </c>
      <c r="Q210" s="160">
        <v>1.6094379999999999</v>
      </c>
      <c r="R210" s="160">
        <v>4.6443909999999997</v>
      </c>
      <c r="S210" s="160">
        <v>8.9273140000000009</v>
      </c>
      <c r="T210" s="227">
        <v>-1.3470736999999999</v>
      </c>
      <c r="U210" s="160">
        <v>0.80000000999999998</v>
      </c>
      <c r="V210" s="160">
        <v>1.6</v>
      </c>
      <c r="W210" s="160">
        <v>23720</v>
      </c>
      <c r="X210" s="160">
        <v>32</v>
      </c>
      <c r="Y210" s="160">
        <v>39.700000000000003</v>
      </c>
      <c r="Z210" s="160">
        <v>3.4190079999999998</v>
      </c>
      <c r="AA210" s="160">
        <v>3.7796340000000002</v>
      </c>
    </row>
    <row r="211" spans="1:27">
      <c r="A211">
        <v>20</v>
      </c>
      <c r="B211" t="s">
        <v>15</v>
      </c>
      <c r="C211" t="s">
        <v>14</v>
      </c>
      <c r="D211">
        <v>2010</v>
      </c>
      <c r="E211" s="161">
        <v>101.626</v>
      </c>
      <c r="F211" s="162">
        <v>9200000000</v>
      </c>
      <c r="G211" s="160">
        <v>0.51</v>
      </c>
      <c r="H211" s="161">
        <v>95.063800000000001</v>
      </c>
      <c r="I211" s="160">
        <v>94.072000000000003</v>
      </c>
      <c r="J211" s="160">
        <v>2.7408399999999999</v>
      </c>
      <c r="K211" s="160">
        <v>9.9403310000000005</v>
      </c>
      <c r="L211" s="160">
        <v>2.6229279999999999</v>
      </c>
      <c r="M211" s="160">
        <v>0.94999630000000002</v>
      </c>
      <c r="N211" s="160">
        <v>6.6883540000000004</v>
      </c>
      <c r="O211" s="160">
        <v>4.0324689999999999</v>
      </c>
      <c r="P211" s="160">
        <v>1.6677070000000001</v>
      </c>
      <c r="Q211" s="160">
        <v>1.589235</v>
      </c>
      <c r="R211" s="160">
        <v>4.6051700000000002</v>
      </c>
      <c r="S211" s="160">
        <v>8.9119119999999992</v>
      </c>
      <c r="T211" s="227">
        <v>-0.50311380999999999</v>
      </c>
      <c r="U211" s="160">
        <v>0.89999998000000003</v>
      </c>
      <c r="V211" s="160">
        <v>2.0999998999999998</v>
      </c>
      <c r="W211" s="160">
        <v>4436</v>
      </c>
      <c r="X211" s="160">
        <v>57.7</v>
      </c>
      <c r="Y211" s="160">
        <v>8.9</v>
      </c>
      <c r="Z211" s="160">
        <v>7.1665279999999996</v>
      </c>
      <c r="AA211" s="160">
        <v>0.1823216</v>
      </c>
    </row>
    <row r="212" spans="1:27">
      <c r="A212">
        <v>20</v>
      </c>
      <c r="B212" t="s">
        <v>15</v>
      </c>
      <c r="C212" t="s">
        <v>14</v>
      </c>
      <c r="D212">
        <v>2011</v>
      </c>
      <c r="E212" s="161">
        <v>79.748900000000006</v>
      </c>
      <c r="F212" s="162">
        <v>7800000000</v>
      </c>
      <c r="G212" s="160">
        <v>0.51</v>
      </c>
      <c r="H212" s="161">
        <v>109.08799999999999</v>
      </c>
      <c r="I212" s="160">
        <v>94.141000000000005</v>
      </c>
      <c r="J212" s="160">
        <v>2.7408399999999999</v>
      </c>
      <c r="K212" s="160">
        <v>9.9459630000000008</v>
      </c>
      <c r="L212" s="160">
        <v>2.6092610000000001</v>
      </c>
      <c r="M212" s="160">
        <v>0.67884540000000004</v>
      </c>
      <c r="N212" s="160">
        <v>6.673298</v>
      </c>
      <c r="O212" s="160">
        <v>4.8105570000000002</v>
      </c>
      <c r="P212" s="160">
        <v>1.5040770000000001</v>
      </c>
      <c r="Q212" s="160">
        <v>0.47000360000000002</v>
      </c>
      <c r="R212" s="160">
        <v>4.6249729999999998</v>
      </c>
      <c r="S212" s="160">
        <v>8.7988750000000007</v>
      </c>
      <c r="T212" s="227">
        <v>-0.24030501000000001</v>
      </c>
      <c r="U212" s="160">
        <v>0.89999998000000003</v>
      </c>
      <c r="V212" s="160">
        <v>2.0999998999999998</v>
      </c>
      <c r="W212" s="160">
        <v>4359</v>
      </c>
      <c r="X212" s="160">
        <v>62.4</v>
      </c>
      <c r="Y212" s="160">
        <v>15.4</v>
      </c>
      <c r="Z212" s="160">
        <v>7.1707650000000003</v>
      </c>
      <c r="AA212" s="160">
        <v>0.69314719999999996</v>
      </c>
    </row>
    <row r="213" spans="1:27">
      <c r="A213">
        <v>20</v>
      </c>
      <c r="B213" t="s">
        <v>15</v>
      </c>
      <c r="C213" t="s">
        <v>14</v>
      </c>
      <c r="D213">
        <v>2012</v>
      </c>
      <c r="E213" s="161">
        <v>34.586500000000001</v>
      </c>
      <c r="F213" s="162">
        <v>3300000000</v>
      </c>
      <c r="G213" s="160">
        <v>0.53</v>
      </c>
      <c r="H213" s="161">
        <v>112.88800000000001</v>
      </c>
      <c r="I213" s="160">
        <v>94.210999999999999</v>
      </c>
      <c r="J213" s="160">
        <v>2.772589</v>
      </c>
      <c r="K213" s="160">
        <v>9.9771800000000006</v>
      </c>
      <c r="L213" s="160">
        <v>2.462491</v>
      </c>
      <c r="M213" s="160">
        <v>0.58911910000000001</v>
      </c>
      <c r="N213" s="160">
        <v>6.6720329999999999</v>
      </c>
      <c r="O213" s="160">
        <v>4.2724909999999996</v>
      </c>
      <c r="P213" s="160">
        <v>1.3609770000000001</v>
      </c>
      <c r="Q213" s="160">
        <v>0.1823216</v>
      </c>
      <c r="R213" s="160">
        <v>4.6728290000000001</v>
      </c>
      <c r="S213" s="160">
        <v>8.7837429999999994</v>
      </c>
      <c r="T213" s="227">
        <v>2.2503789999999999E-2</v>
      </c>
      <c r="U213" s="160">
        <v>0.89999998000000003</v>
      </c>
      <c r="V213" s="160">
        <v>2.0999998999999998</v>
      </c>
      <c r="W213" s="160">
        <v>4361</v>
      </c>
      <c r="X213" s="160">
        <v>68.099999999999994</v>
      </c>
      <c r="Y213" s="160">
        <v>14.8</v>
      </c>
      <c r="Z213" s="160">
        <v>7.1797579999999996</v>
      </c>
      <c r="AA213" s="160">
        <v>0.99325180000000002</v>
      </c>
    </row>
    <row r="214" spans="1:27">
      <c r="A214">
        <v>20</v>
      </c>
      <c r="B214" t="s">
        <v>15</v>
      </c>
      <c r="C214" t="s">
        <v>14</v>
      </c>
      <c r="D214">
        <v>2013</v>
      </c>
      <c r="E214" s="161">
        <v>4.7241600000000004</v>
      </c>
      <c r="F214" s="162">
        <v>510000000</v>
      </c>
      <c r="G214" s="160">
        <v>0.54</v>
      </c>
      <c r="H214" s="161">
        <v>90.573300000000003</v>
      </c>
      <c r="I214" s="160">
        <v>94.278999999999996</v>
      </c>
      <c r="J214" s="160">
        <v>2.772589</v>
      </c>
      <c r="K214" s="160">
        <v>10.02416</v>
      </c>
      <c r="L214" s="160">
        <v>2.5327440000000001</v>
      </c>
      <c r="M214" s="160">
        <v>0.82268300000000005</v>
      </c>
      <c r="N214" s="160">
        <v>6.6758230000000003</v>
      </c>
      <c r="O214" s="160">
        <v>4.579853</v>
      </c>
      <c r="P214" s="160">
        <v>1.8405499999999999</v>
      </c>
      <c r="Q214" s="160">
        <v>-2.3025850000000001</v>
      </c>
      <c r="R214" s="160">
        <v>4.7004799999999998</v>
      </c>
      <c r="S214" s="160">
        <v>8.4639729999999993</v>
      </c>
      <c r="T214" s="227">
        <v>0.28531258999999998</v>
      </c>
      <c r="U214" s="160">
        <v>0.89999998000000003</v>
      </c>
      <c r="V214" s="160">
        <v>2.0999998999999998</v>
      </c>
      <c r="W214" s="160">
        <v>4365</v>
      </c>
      <c r="X214" s="160">
        <v>68.8</v>
      </c>
      <c r="Y214" s="160">
        <v>12.5</v>
      </c>
      <c r="Z214" s="160">
        <v>7.1937990000000003</v>
      </c>
      <c r="AA214" s="160">
        <v>1.163151</v>
      </c>
    </row>
    <row r="215" spans="1:27">
      <c r="A215">
        <v>20</v>
      </c>
      <c r="B215" t="s">
        <v>15</v>
      </c>
      <c r="C215" t="s">
        <v>14</v>
      </c>
      <c r="D215">
        <v>2014</v>
      </c>
      <c r="E215" s="161">
        <v>1.3112200000000001</v>
      </c>
      <c r="F215" s="162">
        <v>160000000</v>
      </c>
      <c r="G215" s="160">
        <v>0.53</v>
      </c>
      <c r="H215" s="161">
        <v>81.821799999999996</v>
      </c>
      <c r="I215" s="160">
        <v>94.346999999999994</v>
      </c>
      <c r="J215" s="160">
        <v>2.7343670000000002</v>
      </c>
      <c r="K215" s="160">
        <v>10.077730000000001</v>
      </c>
      <c r="L215" s="160">
        <v>2.4623200000000001</v>
      </c>
      <c r="M215" s="160">
        <v>0.5702448</v>
      </c>
      <c r="N215" s="160">
        <v>6.5806389999999997</v>
      </c>
      <c r="O215" s="160">
        <v>4.6737630000000001</v>
      </c>
      <c r="P215" s="160">
        <v>1.856298</v>
      </c>
      <c r="Q215" s="160">
        <v>1.5260560000000001</v>
      </c>
      <c r="R215" s="160">
        <v>4.7361979999999999</v>
      </c>
      <c r="S215" s="160">
        <v>8.2780090000000008</v>
      </c>
      <c r="T215" s="227">
        <v>0.54812139000000004</v>
      </c>
      <c r="U215" s="160">
        <v>1</v>
      </c>
      <c r="V215" s="160">
        <v>2.0999998999999998</v>
      </c>
      <c r="W215" s="160">
        <v>4393</v>
      </c>
      <c r="X215" s="160">
        <v>74</v>
      </c>
      <c r="Y215" s="160">
        <v>11.7</v>
      </c>
      <c r="Z215" s="160">
        <v>7.2137609999999999</v>
      </c>
      <c r="AA215" s="160">
        <v>1.5040770000000001</v>
      </c>
    </row>
    <row r="216" spans="1:27">
      <c r="A216">
        <v>20</v>
      </c>
      <c r="B216" t="s">
        <v>15</v>
      </c>
      <c r="C216" t="s">
        <v>14</v>
      </c>
      <c r="D216">
        <v>2015</v>
      </c>
      <c r="E216" s="161">
        <v>32.102699999999999</v>
      </c>
      <c r="F216" s="162">
        <v>3600000000</v>
      </c>
      <c r="G216" s="160">
        <v>0.54</v>
      </c>
      <c r="H216" s="161">
        <v>76.211600000000004</v>
      </c>
      <c r="I216" s="160">
        <v>94.414000000000001</v>
      </c>
      <c r="J216" s="160">
        <v>2.7850109999999999</v>
      </c>
      <c r="K216" s="160">
        <v>10.145720000000001</v>
      </c>
      <c r="L216" s="160">
        <v>2.637127</v>
      </c>
      <c r="M216" s="160">
        <v>0.4867378</v>
      </c>
      <c r="N216" s="160">
        <v>5.6021190000000001</v>
      </c>
      <c r="O216" s="160">
        <v>4.1759240000000002</v>
      </c>
      <c r="P216" s="160">
        <v>1.5260560000000001</v>
      </c>
      <c r="Q216" s="160">
        <v>1.0296190000000001</v>
      </c>
      <c r="R216" s="160">
        <v>4.7621739999999999</v>
      </c>
      <c r="S216" s="160">
        <v>8.3275590000000008</v>
      </c>
      <c r="T216" s="227">
        <v>0.81093019</v>
      </c>
      <c r="U216" s="160">
        <v>1</v>
      </c>
      <c r="V216" s="160">
        <v>2</v>
      </c>
      <c r="W216" s="160">
        <v>4474</v>
      </c>
      <c r="X216" s="160">
        <v>74.599999999999994</v>
      </c>
      <c r="Y216" s="160">
        <v>10.9</v>
      </c>
      <c r="Z216" s="160">
        <v>7.2376269999999998</v>
      </c>
      <c r="AA216" s="160">
        <v>1.7917590000000001</v>
      </c>
    </row>
    <row r="217" spans="1:27">
      <c r="A217">
        <v>20</v>
      </c>
      <c r="B217" t="s">
        <v>15</v>
      </c>
      <c r="C217" t="s">
        <v>14</v>
      </c>
      <c r="D217">
        <v>2016</v>
      </c>
      <c r="E217" s="161">
        <v>23.084</v>
      </c>
      <c r="F217" s="162">
        <v>2800000000</v>
      </c>
      <c r="G217" s="160">
        <v>0.52</v>
      </c>
      <c r="H217" s="161">
        <v>80.0779</v>
      </c>
      <c r="I217" s="160">
        <v>94.48</v>
      </c>
      <c r="J217" s="160">
        <v>2.721295</v>
      </c>
      <c r="K217" s="160">
        <v>10.162800000000001</v>
      </c>
      <c r="L217" s="160">
        <v>2.4833219999999998</v>
      </c>
      <c r="M217" s="160">
        <v>0.5134223</v>
      </c>
      <c r="N217" s="160">
        <v>5.7203119999999998</v>
      </c>
      <c r="O217" s="160">
        <v>4.6386050000000001</v>
      </c>
      <c r="P217" s="160">
        <v>1.435084</v>
      </c>
      <c r="Q217" s="160">
        <v>-1.203973</v>
      </c>
      <c r="R217" s="160">
        <v>4.8202819999999997</v>
      </c>
      <c r="S217" s="160">
        <v>8.3540930000000007</v>
      </c>
      <c r="T217" s="227">
        <v>1.073739</v>
      </c>
      <c r="U217" s="160">
        <v>1</v>
      </c>
      <c r="V217" s="160">
        <v>2.2999999999999998</v>
      </c>
      <c r="W217" s="160">
        <v>4749</v>
      </c>
      <c r="X217" s="160">
        <v>75.3</v>
      </c>
      <c r="Y217" s="160">
        <v>12.7</v>
      </c>
      <c r="Z217" s="160">
        <v>7.260516</v>
      </c>
      <c r="AA217" s="160">
        <v>2.2192029999999998</v>
      </c>
    </row>
    <row r="218" spans="1:27">
      <c r="A218">
        <v>20</v>
      </c>
      <c r="B218" t="s">
        <v>15</v>
      </c>
      <c r="C218" t="s">
        <v>14</v>
      </c>
      <c r="D218">
        <v>2017</v>
      </c>
      <c r="E218" s="161">
        <v>299.82499999999999</v>
      </c>
      <c r="F218" s="162">
        <v>42000000000</v>
      </c>
      <c r="G218" s="160">
        <v>0.56000000000000005</v>
      </c>
      <c r="H218" s="161">
        <v>62.529299999999999</v>
      </c>
      <c r="I218" s="160">
        <v>94.546000000000006</v>
      </c>
      <c r="J218" s="160">
        <v>2.7536610000000001</v>
      </c>
      <c r="K218" s="160">
        <v>10.257389999999999</v>
      </c>
      <c r="L218" s="160">
        <v>2.3776920000000001</v>
      </c>
      <c r="M218" s="160">
        <v>0.76551440000000004</v>
      </c>
      <c r="N218" s="160">
        <v>5.8377299999999996</v>
      </c>
      <c r="O218" s="160">
        <v>4.278054</v>
      </c>
      <c r="P218" s="160">
        <v>1.871802</v>
      </c>
      <c r="Q218" s="160">
        <v>1.064711</v>
      </c>
      <c r="R218" s="160">
        <v>4.8903489999999996</v>
      </c>
      <c r="S218" s="160">
        <v>8.5847800000000003</v>
      </c>
      <c r="T218" s="227">
        <v>1.3365478</v>
      </c>
      <c r="U218" s="160">
        <v>1</v>
      </c>
      <c r="V218" s="160">
        <v>2.5</v>
      </c>
      <c r="W218" s="160">
        <v>4809</v>
      </c>
      <c r="X218" s="160">
        <v>77.099999999999994</v>
      </c>
      <c r="Y218" s="160">
        <v>11.5</v>
      </c>
      <c r="Z218" s="160">
        <v>7.2879019999999999</v>
      </c>
      <c r="AA218" s="160">
        <v>1.9878739999999999</v>
      </c>
    </row>
    <row r="219" spans="1:27">
      <c r="A219">
        <v>20</v>
      </c>
      <c r="B219" t="s">
        <v>15</v>
      </c>
      <c r="C219" t="s">
        <v>14</v>
      </c>
      <c r="D219">
        <v>2018</v>
      </c>
      <c r="E219" s="161">
        <v>452.221</v>
      </c>
      <c r="F219" s="162">
        <v>73000000000</v>
      </c>
      <c r="G219" s="160">
        <v>0.53</v>
      </c>
      <c r="H219" s="161">
        <v>61.663600000000002</v>
      </c>
      <c r="I219" s="160">
        <v>94.611999999999995</v>
      </c>
      <c r="J219" s="160">
        <v>2.772589</v>
      </c>
      <c r="K219" s="160">
        <v>10.29189</v>
      </c>
      <c r="L219" s="160">
        <v>2.3023850000000001</v>
      </c>
      <c r="M219" s="160">
        <v>0.6712593</v>
      </c>
      <c r="N219" s="160">
        <v>5.717028</v>
      </c>
      <c r="O219" s="160">
        <v>4.2986449999999996</v>
      </c>
      <c r="P219" s="160">
        <v>2.1162559999999999</v>
      </c>
      <c r="Q219" s="160">
        <v>-2.3025850000000001</v>
      </c>
      <c r="R219" s="160">
        <v>4.912655</v>
      </c>
      <c r="S219" s="160">
        <v>8.4633470000000006</v>
      </c>
      <c r="T219" s="227">
        <v>1.5993565999999999</v>
      </c>
      <c r="U219" s="160">
        <v>1</v>
      </c>
      <c r="V219" s="160">
        <v>2.7</v>
      </c>
      <c r="W219" s="160">
        <v>4949</v>
      </c>
      <c r="X219" s="160">
        <v>75.099999999999994</v>
      </c>
      <c r="Y219" s="160">
        <v>10.4</v>
      </c>
      <c r="Z219" s="160">
        <v>7.3228210000000002</v>
      </c>
      <c r="AA219" s="160">
        <v>2.0281479999999998</v>
      </c>
    </row>
    <row r="220" spans="1:27">
      <c r="A220">
        <v>20</v>
      </c>
      <c r="B220" t="s">
        <v>15</v>
      </c>
      <c r="C220" t="s">
        <v>14</v>
      </c>
      <c r="D220">
        <v>2019</v>
      </c>
      <c r="E220" s="161">
        <v>198.2</v>
      </c>
      <c r="F220" s="162">
        <v>32000000000</v>
      </c>
      <c r="G220" s="160">
        <v>0.52</v>
      </c>
      <c r="H220" s="161">
        <v>64.6721</v>
      </c>
      <c r="I220" s="160">
        <v>94.677999999999997</v>
      </c>
      <c r="J220" s="160">
        <v>2.8213789999999999</v>
      </c>
      <c r="K220" s="160">
        <v>10.292619999999999</v>
      </c>
      <c r="L220" s="160">
        <v>2.3968039999999999</v>
      </c>
      <c r="M220" s="160">
        <v>0.78863919999999998</v>
      </c>
      <c r="N220" s="160">
        <v>5.7620519999999997</v>
      </c>
      <c r="O220" s="160">
        <v>4.0910060000000001</v>
      </c>
      <c r="P220" s="160">
        <v>2.549445</v>
      </c>
      <c r="Q220" s="160">
        <v>-1.203973</v>
      </c>
      <c r="R220" s="160">
        <v>4.9558270000000002</v>
      </c>
      <c r="S220" s="160">
        <v>9.4472109999999994</v>
      </c>
      <c r="T220" s="227">
        <v>1.8621654000000001</v>
      </c>
      <c r="U220" s="160">
        <v>1</v>
      </c>
      <c r="V220" s="160">
        <v>2.9000001000000002</v>
      </c>
      <c r="W220" s="160">
        <v>5029</v>
      </c>
      <c r="X220" s="160">
        <v>70.099999999999994</v>
      </c>
      <c r="Y220" s="160">
        <v>9.1</v>
      </c>
      <c r="Z220" s="160">
        <v>7.3621309999999998</v>
      </c>
      <c r="AA220" s="160">
        <v>2.0014799999999999</v>
      </c>
    </row>
    <row r="221" spans="1:27">
      <c r="A221">
        <v>20</v>
      </c>
      <c r="B221" t="s">
        <v>15</v>
      </c>
      <c r="C221" t="s">
        <v>14</v>
      </c>
      <c r="D221">
        <v>2020</v>
      </c>
      <c r="E221" s="161">
        <v>192.14099999999999</v>
      </c>
      <c r="F221" s="162">
        <v>31000000000</v>
      </c>
      <c r="G221" s="160">
        <v>0.53</v>
      </c>
      <c r="H221" s="161">
        <v>52.209499999999998</v>
      </c>
      <c r="I221" s="160">
        <v>94.744</v>
      </c>
      <c r="J221" s="160">
        <v>2.8449089999999999</v>
      </c>
      <c r="K221" s="160">
        <v>10.235139999999999</v>
      </c>
      <c r="L221" s="160">
        <v>2.406765</v>
      </c>
      <c r="M221" s="160">
        <v>0.60797049999999997</v>
      </c>
      <c r="N221" s="160">
        <v>5.7683210000000003</v>
      </c>
      <c r="O221" s="160">
        <v>4.0656020000000002</v>
      </c>
      <c r="P221" s="160">
        <v>2.8033600000000001</v>
      </c>
      <c r="Q221" s="160">
        <v>-1.6094379999999999</v>
      </c>
      <c r="R221" s="160">
        <v>4.9416419999999999</v>
      </c>
      <c r="S221" s="160">
        <v>9.4398459999999993</v>
      </c>
      <c r="T221" s="227">
        <v>2.1249742</v>
      </c>
      <c r="U221" s="160">
        <v>1.2</v>
      </c>
      <c r="V221" s="160">
        <v>3</v>
      </c>
      <c r="W221" s="160">
        <v>4857</v>
      </c>
      <c r="X221" s="160">
        <v>69.3</v>
      </c>
      <c r="Y221" s="160">
        <v>10.9</v>
      </c>
      <c r="Z221" s="160">
        <v>7.3842439999999998</v>
      </c>
      <c r="AA221" s="160">
        <v>2.2192029999999998</v>
      </c>
    </row>
    <row r="222" spans="1:27">
      <c r="A222">
        <v>21</v>
      </c>
      <c r="B222" t="s">
        <v>13</v>
      </c>
      <c r="C222" t="s">
        <v>12</v>
      </c>
      <c r="D222">
        <v>2010</v>
      </c>
      <c r="E222" s="161">
        <v>6.2507599999999996</v>
      </c>
      <c r="F222" s="162">
        <v>53000000000</v>
      </c>
      <c r="G222" s="160">
        <v>0.81</v>
      </c>
      <c r="H222" s="161">
        <v>127.94199999999999</v>
      </c>
      <c r="I222" s="160">
        <v>87.134</v>
      </c>
      <c r="J222" s="160">
        <v>3.2188759999999998</v>
      </c>
      <c r="K222" s="160">
        <v>10.70682</v>
      </c>
      <c r="L222" s="160">
        <v>2.4597600000000002</v>
      </c>
      <c r="M222" s="160">
        <v>1.265679</v>
      </c>
      <c r="N222" s="160">
        <v>6.0161569999999998</v>
      </c>
      <c r="O222" s="160">
        <v>4.380776</v>
      </c>
      <c r="P222" s="160">
        <v>3.2386780000000002</v>
      </c>
      <c r="Q222" s="160">
        <v>9.8831930000000003</v>
      </c>
      <c r="R222" s="160">
        <v>4.6051700000000002</v>
      </c>
      <c r="S222" s="160">
        <v>9.2658710000000006</v>
      </c>
      <c r="T222" s="227">
        <v>-0.38566246999999998</v>
      </c>
      <c r="U222" s="160">
        <v>0.69999999000000002</v>
      </c>
      <c r="V222" s="160">
        <v>1.1000000000000001</v>
      </c>
      <c r="W222" s="160">
        <v>97728</v>
      </c>
      <c r="X222" s="160">
        <v>72.3</v>
      </c>
      <c r="Y222" s="160">
        <v>49.2</v>
      </c>
      <c r="Z222" s="160">
        <v>6.1996969999999996</v>
      </c>
      <c r="AA222" s="160">
        <v>1.3609770000000001</v>
      </c>
    </row>
    <row r="223" spans="1:27">
      <c r="A223">
        <v>21</v>
      </c>
      <c r="B223" t="s">
        <v>13</v>
      </c>
      <c r="C223" t="s">
        <v>12</v>
      </c>
      <c r="D223">
        <v>2011</v>
      </c>
      <c r="E223" s="161">
        <v>38.813299999999998</v>
      </c>
      <c r="F223" s="162">
        <v>350000000000</v>
      </c>
      <c r="G223" s="160">
        <v>0.78</v>
      </c>
      <c r="H223" s="161">
        <v>138.14599999999999</v>
      </c>
      <c r="I223" s="160">
        <v>87.879000000000005</v>
      </c>
      <c r="J223" s="160">
        <v>3.2386780000000002</v>
      </c>
      <c r="K223" s="160">
        <v>10.71973</v>
      </c>
      <c r="L223" s="160">
        <v>2.4777979999999999</v>
      </c>
      <c r="M223" s="160">
        <v>1.289398</v>
      </c>
      <c r="N223" s="160">
        <v>6.0185930000000001</v>
      </c>
      <c r="O223" s="160">
        <v>4.4042770000000004</v>
      </c>
      <c r="P223" s="160">
        <v>3.2188759999999998</v>
      </c>
      <c r="Q223" s="160">
        <v>10.00361</v>
      </c>
      <c r="R223" s="160">
        <v>4.5747109999999997</v>
      </c>
      <c r="S223" s="160">
        <v>9.2606520000000003</v>
      </c>
      <c r="T223" s="227">
        <v>0.10436003000000001</v>
      </c>
      <c r="U223" s="160">
        <v>0.69999999000000002</v>
      </c>
      <c r="V223" s="160">
        <v>1.1000000000000001</v>
      </c>
      <c r="W223" s="160">
        <v>98805</v>
      </c>
      <c r="X223" s="160">
        <v>72.5</v>
      </c>
      <c r="Y223" s="160">
        <v>49.1</v>
      </c>
      <c r="Z223" s="160">
        <v>6.2046590000000004</v>
      </c>
      <c r="AA223" s="160">
        <v>1.5475620000000001</v>
      </c>
    </row>
    <row r="224" spans="1:27">
      <c r="A224">
        <v>21</v>
      </c>
      <c r="B224" t="s">
        <v>13</v>
      </c>
      <c r="C224" t="s">
        <v>12</v>
      </c>
      <c r="D224">
        <v>2012</v>
      </c>
      <c r="E224" s="161">
        <v>30.700500000000002</v>
      </c>
      <c r="F224" s="162">
        <v>260000000000</v>
      </c>
      <c r="G224" s="160">
        <v>0.75</v>
      </c>
      <c r="H224" s="161">
        <v>146.898</v>
      </c>
      <c r="I224" s="160">
        <v>88.587999999999994</v>
      </c>
      <c r="J224" s="160">
        <v>3.2958370000000001</v>
      </c>
      <c r="K224" s="160">
        <v>10.706200000000001</v>
      </c>
      <c r="L224" s="160">
        <v>2.344303</v>
      </c>
      <c r="M224" s="160">
        <v>1.31606</v>
      </c>
      <c r="N224" s="160">
        <v>6.008813</v>
      </c>
      <c r="O224" s="160">
        <v>4.4188400000000003</v>
      </c>
      <c r="P224" s="160">
        <v>3.2695690000000002</v>
      </c>
      <c r="Q224" s="160">
        <v>10.16296</v>
      </c>
      <c r="R224" s="160">
        <v>4.5849679999999999</v>
      </c>
      <c r="S224" s="160">
        <v>9.2525619999999993</v>
      </c>
      <c r="T224" s="227">
        <v>0.10436003000000001</v>
      </c>
      <c r="U224" s="160">
        <v>0.69999999000000002</v>
      </c>
      <c r="V224" s="160">
        <v>1.1000000000000001</v>
      </c>
      <c r="W224" s="160">
        <v>99896</v>
      </c>
      <c r="X224" s="160">
        <v>73.400000000000006</v>
      </c>
      <c r="Y224" s="160">
        <v>49.4</v>
      </c>
      <c r="Z224" s="160">
        <v>6.2083589999999997</v>
      </c>
      <c r="AA224" s="160">
        <v>1.589235</v>
      </c>
    </row>
    <row r="225" spans="1:27">
      <c r="A225">
        <v>21</v>
      </c>
      <c r="B225" t="s">
        <v>13</v>
      </c>
      <c r="C225" t="s">
        <v>12</v>
      </c>
      <c r="D225">
        <v>2013</v>
      </c>
      <c r="E225" s="161">
        <v>35.131500000000003</v>
      </c>
      <c r="F225" s="162">
        <v>310000000000</v>
      </c>
      <c r="G225" s="160">
        <v>0.74</v>
      </c>
      <c r="H225" s="161">
        <v>142.684</v>
      </c>
      <c r="I225" s="160">
        <v>89.186999999999998</v>
      </c>
      <c r="J225" s="160">
        <v>3.2958370000000001</v>
      </c>
      <c r="K225" s="160">
        <v>10.70295</v>
      </c>
      <c r="L225" s="160">
        <v>2.25434</v>
      </c>
      <c r="M225" s="160">
        <v>1.3652489999999999</v>
      </c>
      <c r="N225" s="160">
        <v>6.0844990000000001</v>
      </c>
      <c r="O225" s="160">
        <v>4.420045</v>
      </c>
      <c r="P225" s="160">
        <v>3.288402</v>
      </c>
      <c r="Q225" s="160">
        <v>9.877205</v>
      </c>
      <c r="R225" s="160">
        <v>4.6249729999999998</v>
      </c>
      <c r="S225" s="160">
        <v>9.2827300000000008</v>
      </c>
      <c r="T225" s="227">
        <v>5.8268849999999997E-2</v>
      </c>
      <c r="U225" s="160">
        <v>0.69999999000000002</v>
      </c>
      <c r="V225" s="160">
        <v>1.1000000000000001</v>
      </c>
      <c r="W225" s="160">
        <v>95338</v>
      </c>
      <c r="X225" s="160">
        <v>73.3</v>
      </c>
      <c r="Y225" s="160">
        <v>49.8</v>
      </c>
      <c r="Z225" s="160">
        <v>6.2121969999999997</v>
      </c>
      <c r="AA225" s="160">
        <v>1.6094379999999999</v>
      </c>
    </row>
    <row r="226" spans="1:27">
      <c r="A226">
        <v>21</v>
      </c>
      <c r="B226" t="s">
        <v>13</v>
      </c>
      <c r="C226" t="s">
        <v>12</v>
      </c>
      <c r="D226">
        <v>2014</v>
      </c>
      <c r="E226" s="161">
        <v>15.8698</v>
      </c>
      <c r="F226" s="162">
        <v>140000000000</v>
      </c>
      <c r="G226" s="160">
        <v>0.73</v>
      </c>
      <c r="H226" s="161">
        <v>139.97800000000001</v>
      </c>
      <c r="I226" s="160">
        <v>89.69</v>
      </c>
      <c r="J226" s="160">
        <v>3.2657590000000001</v>
      </c>
      <c r="K226" s="160">
        <v>10.715350000000001</v>
      </c>
      <c r="L226" s="160">
        <v>2.2224590000000002</v>
      </c>
      <c r="M226" s="160">
        <v>1.3619250000000001</v>
      </c>
      <c r="N226" s="160">
        <v>6.1696109999999997</v>
      </c>
      <c r="O226" s="160">
        <v>4.4115849999999996</v>
      </c>
      <c r="P226" s="160">
        <v>3.277145</v>
      </c>
      <c r="Q226" s="160">
        <v>9.7841629999999995</v>
      </c>
      <c r="R226" s="160">
        <v>4.6539599999999997</v>
      </c>
      <c r="S226" s="160">
        <v>9.2730540000000001</v>
      </c>
      <c r="T226" s="227">
        <v>0.27763178999999999</v>
      </c>
      <c r="U226" s="160">
        <v>0.69999999000000002</v>
      </c>
      <c r="V226" s="160">
        <v>1</v>
      </c>
      <c r="W226" s="160">
        <v>92761</v>
      </c>
      <c r="X226" s="160">
        <v>74.3</v>
      </c>
      <c r="Y226" s="160">
        <v>50.9</v>
      </c>
      <c r="Z226" s="160">
        <v>6.2157960000000001</v>
      </c>
      <c r="AA226" s="160">
        <v>1.7227669999999999</v>
      </c>
    </row>
    <row r="227" spans="1:27">
      <c r="A227">
        <v>21</v>
      </c>
      <c r="B227" t="s">
        <v>13</v>
      </c>
      <c r="C227" t="s">
        <v>12</v>
      </c>
      <c r="D227">
        <v>2015</v>
      </c>
      <c r="E227" s="161">
        <v>48.501100000000001</v>
      </c>
      <c r="F227" s="162">
        <v>380000000000</v>
      </c>
      <c r="G227" s="160">
        <v>0.72</v>
      </c>
      <c r="H227" s="161">
        <v>139.55000000000001</v>
      </c>
      <c r="I227" s="160">
        <v>90.173000000000002</v>
      </c>
      <c r="J227" s="160">
        <v>3.2958370000000001</v>
      </c>
      <c r="K227" s="160">
        <v>10.7319</v>
      </c>
      <c r="L227" s="160">
        <v>2.3798240000000002</v>
      </c>
      <c r="M227" s="160">
        <v>1.3603609999999999</v>
      </c>
      <c r="N227" s="160">
        <v>6.1333979999999997</v>
      </c>
      <c r="O227" s="160">
        <v>4.4079379999999997</v>
      </c>
      <c r="P227" s="160">
        <v>3.2846639999999998</v>
      </c>
      <c r="Q227" s="160">
        <v>10.2212</v>
      </c>
      <c r="R227" s="160">
        <v>4.6634390000000003</v>
      </c>
      <c r="S227" s="160">
        <v>9.2519039999999997</v>
      </c>
      <c r="T227" s="227">
        <v>0.34358969</v>
      </c>
      <c r="U227" s="160">
        <v>1</v>
      </c>
      <c r="V227" s="160">
        <v>1</v>
      </c>
      <c r="W227" s="160">
        <v>95504</v>
      </c>
      <c r="X227" s="160">
        <v>77.099999999999994</v>
      </c>
      <c r="Y227" s="160">
        <v>51.8</v>
      </c>
      <c r="Z227" s="160">
        <v>6.2208209999999999</v>
      </c>
      <c r="AA227" s="160">
        <v>1.7578579999999999</v>
      </c>
    </row>
    <row r="228" spans="1:27">
      <c r="A228">
        <v>21</v>
      </c>
      <c r="B228" t="s">
        <v>13</v>
      </c>
      <c r="C228" t="s">
        <v>12</v>
      </c>
      <c r="D228">
        <v>2016</v>
      </c>
      <c r="E228" s="161">
        <v>34.567799999999998</v>
      </c>
      <c r="F228" s="162">
        <v>280000000000</v>
      </c>
      <c r="G228" s="160">
        <v>0.73</v>
      </c>
      <c r="H228" s="161">
        <v>134.40199999999999</v>
      </c>
      <c r="I228" s="160">
        <v>90.635000000000005</v>
      </c>
      <c r="J228" s="160">
        <v>3.2542430000000002</v>
      </c>
      <c r="K228" s="160">
        <v>10.750540000000001</v>
      </c>
      <c r="L228" s="160">
        <v>2.1187830000000001</v>
      </c>
      <c r="M228" s="160">
        <v>1.46898</v>
      </c>
      <c r="N228" s="160">
        <v>6.1398840000000003</v>
      </c>
      <c r="O228" s="160">
        <v>4.3932140000000004</v>
      </c>
      <c r="P228" s="160">
        <v>3.3672960000000001</v>
      </c>
      <c r="Q228" s="160">
        <v>10.095140000000001</v>
      </c>
      <c r="R228" s="160">
        <v>4.6913479999999996</v>
      </c>
      <c r="S228" s="160">
        <v>9.2151250000000005</v>
      </c>
      <c r="T228" s="227">
        <v>0.35065684000000003</v>
      </c>
      <c r="U228" s="160">
        <v>0.89999998000000003</v>
      </c>
      <c r="V228" s="160">
        <v>1.1000000000000001</v>
      </c>
      <c r="W228" s="160">
        <v>97501</v>
      </c>
      <c r="X228" s="160">
        <v>78.099999999999994</v>
      </c>
      <c r="Y228" s="160">
        <v>53.5</v>
      </c>
      <c r="Z228" s="160">
        <v>6.2261430000000004</v>
      </c>
      <c r="AA228" s="160">
        <v>1.7227669999999999</v>
      </c>
    </row>
    <row r="229" spans="1:27">
      <c r="A229">
        <v>21</v>
      </c>
      <c r="B229" t="s">
        <v>13</v>
      </c>
      <c r="C229" t="s">
        <v>12</v>
      </c>
      <c r="D229">
        <v>2017</v>
      </c>
      <c r="E229" s="161">
        <v>23.520199999999999</v>
      </c>
      <c r="F229" s="162">
        <v>200000000000</v>
      </c>
      <c r="G229" s="160">
        <v>0.75</v>
      </c>
      <c r="H229" s="161">
        <v>144.619</v>
      </c>
      <c r="I229" s="160">
        <v>91.076999999999998</v>
      </c>
      <c r="J229" s="160">
        <v>3.2846639999999998</v>
      </c>
      <c r="K229" s="160">
        <v>10.77206</v>
      </c>
      <c r="L229" s="160">
        <v>2.0707789999999999</v>
      </c>
      <c r="M229" s="160">
        <v>1.3936170000000001</v>
      </c>
      <c r="N229" s="160">
        <v>6.2785219999999997</v>
      </c>
      <c r="O229" s="160">
        <v>4.4018290000000002</v>
      </c>
      <c r="P229" s="160">
        <v>3.2846639999999998</v>
      </c>
      <c r="Q229" s="160">
        <v>10.45571</v>
      </c>
      <c r="R229" s="160">
        <v>4.70953</v>
      </c>
      <c r="S229" s="160">
        <v>9.191217</v>
      </c>
      <c r="T229" s="227">
        <v>0.35767441999999999</v>
      </c>
      <c r="U229" s="160">
        <v>0.80000000999999998</v>
      </c>
      <c r="V229" s="160">
        <v>1.1000000000000001</v>
      </c>
      <c r="W229" s="160">
        <v>101143</v>
      </c>
      <c r="X229" s="160">
        <v>78.8</v>
      </c>
      <c r="Y229" s="160">
        <v>54.6</v>
      </c>
      <c r="Z229" s="160">
        <v>6.2320549999999999</v>
      </c>
      <c r="AA229" s="160">
        <v>1.856298</v>
      </c>
    </row>
    <row r="230" spans="1:27">
      <c r="A230">
        <v>21</v>
      </c>
      <c r="B230" t="s">
        <v>13</v>
      </c>
      <c r="C230" t="s">
        <v>12</v>
      </c>
      <c r="D230">
        <v>2018</v>
      </c>
      <c r="E230" s="161">
        <v>-30.7775</v>
      </c>
      <c r="F230" s="162">
        <v>-290000000000</v>
      </c>
      <c r="G230" s="160">
        <v>0.74</v>
      </c>
      <c r="H230" s="161">
        <v>147.59100000000001</v>
      </c>
      <c r="I230" s="160">
        <v>91.49</v>
      </c>
      <c r="J230" s="160">
        <v>3.2958370000000001</v>
      </c>
      <c r="K230" s="160">
        <v>10.78856</v>
      </c>
      <c r="L230" s="160">
        <v>2.197336</v>
      </c>
      <c r="M230" s="160">
        <v>1.3659129999999999</v>
      </c>
      <c r="N230" s="160">
        <v>6.291569</v>
      </c>
      <c r="O230" s="160">
        <v>4.325456</v>
      </c>
      <c r="P230" s="160">
        <v>3.250375</v>
      </c>
      <c r="Q230" s="160">
        <v>10.634650000000001</v>
      </c>
      <c r="R230" s="160">
        <v>4.75359</v>
      </c>
      <c r="S230" s="160">
        <v>9.0686660000000003</v>
      </c>
      <c r="T230" s="227">
        <v>0.66268802000000004</v>
      </c>
      <c r="U230" s="160">
        <v>1</v>
      </c>
      <c r="V230" s="160">
        <v>1.1000000000000001</v>
      </c>
      <c r="W230" s="160">
        <v>105760</v>
      </c>
      <c r="X230" s="160">
        <v>80.400000000000006</v>
      </c>
      <c r="Y230" s="160">
        <v>55.9</v>
      </c>
      <c r="Z230" s="160">
        <v>6.237895</v>
      </c>
      <c r="AA230" s="160">
        <v>2.0014799999999999</v>
      </c>
    </row>
    <row r="231" spans="1:27">
      <c r="A231">
        <v>21</v>
      </c>
      <c r="B231" t="s">
        <v>13</v>
      </c>
      <c r="C231" t="s">
        <v>12</v>
      </c>
      <c r="D231">
        <v>2019</v>
      </c>
      <c r="E231" s="161">
        <v>-13.673999999999999</v>
      </c>
      <c r="F231" s="162">
        <v>-130000000000</v>
      </c>
      <c r="G231" s="160">
        <v>0.73</v>
      </c>
      <c r="H231" s="161">
        <v>144.71600000000001</v>
      </c>
      <c r="I231" s="160">
        <v>91.876000000000005</v>
      </c>
      <c r="J231" s="160">
        <v>3.3214320000000002</v>
      </c>
      <c r="K231" s="160">
        <v>10.80475</v>
      </c>
      <c r="L231" s="160">
        <v>2.229584</v>
      </c>
      <c r="M231" s="160">
        <v>1.4164600000000001</v>
      </c>
      <c r="N231" s="160">
        <v>6.2934190000000001</v>
      </c>
      <c r="O231" s="160">
        <v>4.2427640000000002</v>
      </c>
      <c r="P231" s="160">
        <v>3.2425920000000001</v>
      </c>
      <c r="Q231" s="160">
        <v>10.48434</v>
      </c>
      <c r="R231" s="160">
        <v>4.7621739999999999</v>
      </c>
      <c r="S231" s="160">
        <v>8.9289690000000004</v>
      </c>
      <c r="T231" s="227">
        <v>0.65751999999999999</v>
      </c>
      <c r="U231" s="160">
        <v>1.1000000000000001</v>
      </c>
      <c r="V231" s="160">
        <v>1.1000000000000001</v>
      </c>
      <c r="W231" s="160">
        <v>108283</v>
      </c>
      <c r="X231" s="160">
        <v>80.599999999999994</v>
      </c>
      <c r="Y231" s="160">
        <v>56.9</v>
      </c>
      <c r="Z231" s="160">
        <v>6.2444439999999997</v>
      </c>
      <c r="AA231" s="160">
        <v>2.1517620000000002</v>
      </c>
    </row>
    <row r="232" spans="1:27">
      <c r="A232">
        <v>21</v>
      </c>
      <c r="B232" t="s">
        <v>13</v>
      </c>
      <c r="C232" t="s">
        <v>12</v>
      </c>
      <c r="D232">
        <v>2020</v>
      </c>
      <c r="E232" s="161">
        <v>-23.709499999999998</v>
      </c>
      <c r="F232" s="162">
        <v>-220000000000</v>
      </c>
      <c r="G232" s="160">
        <v>0.72</v>
      </c>
      <c r="H232" s="161">
        <v>136.155</v>
      </c>
      <c r="I232" s="160">
        <v>92.236000000000004</v>
      </c>
      <c r="J232" s="160">
        <v>3.3428620000000002</v>
      </c>
      <c r="K232" s="160">
        <v>10.759740000000001</v>
      </c>
      <c r="L232" s="160">
        <v>2.2261359999999999</v>
      </c>
      <c r="M232" s="160">
        <v>1.4683809999999999</v>
      </c>
      <c r="N232" s="160">
        <v>6.3630279999999999</v>
      </c>
      <c r="O232" s="160">
        <v>4.3040649999999996</v>
      </c>
      <c r="P232" s="160">
        <v>3.299534</v>
      </c>
      <c r="Q232" s="160">
        <v>10.596450000000001</v>
      </c>
      <c r="R232" s="160">
        <v>4.6913479999999996</v>
      </c>
      <c r="S232" s="160">
        <v>8.7665389999999999</v>
      </c>
      <c r="T232" s="227">
        <v>-0.27443686</v>
      </c>
      <c r="U232" s="160">
        <v>1</v>
      </c>
      <c r="V232" s="160">
        <v>1.1000000000000001</v>
      </c>
      <c r="W232" s="160">
        <v>104905</v>
      </c>
      <c r="X232" s="160">
        <v>81</v>
      </c>
      <c r="Y232" s="160">
        <v>56.9</v>
      </c>
      <c r="Z232" s="160">
        <v>6.25</v>
      </c>
      <c r="AA232" s="160">
        <v>2.370244</v>
      </c>
    </row>
    <row r="233" spans="1:27">
      <c r="A233">
        <v>22</v>
      </c>
      <c r="B233" t="s">
        <v>11</v>
      </c>
      <c r="C233" t="s">
        <v>10</v>
      </c>
      <c r="D233">
        <v>2010</v>
      </c>
      <c r="E233" s="161">
        <v>3.94489</v>
      </c>
      <c r="F233" s="162">
        <v>19000000000</v>
      </c>
      <c r="G233" s="160">
        <v>0.45</v>
      </c>
      <c r="H233" s="161">
        <v>70.647300000000001</v>
      </c>
      <c r="I233" s="160">
        <v>60.892000000000003</v>
      </c>
      <c r="J233" s="160">
        <v>2.8622010000000002</v>
      </c>
      <c r="K233" s="160">
        <v>9.2880789999999998</v>
      </c>
      <c r="L233" s="160">
        <v>2.7519399999999998</v>
      </c>
      <c r="M233" s="160">
        <v>-0.53221949999999996</v>
      </c>
      <c r="N233" s="160">
        <v>6.4441309999999996</v>
      </c>
      <c r="O233" s="160">
        <v>4.3618240000000004</v>
      </c>
      <c r="P233" s="160">
        <v>2.4069449999999999</v>
      </c>
      <c r="Q233" s="160">
        <v>6.3214870000000003</v>
      </c>
      <c r="R233" s="160">
        <v>4.6051700000000002</v>
      </c>
      <c r="S233" s="160">
        <v>9.1203319999999994</v>
      </c>
      <c r="T233" s="227">
        <v>-9.4310649999999996E-2</v>
      </c>
      <c r="U233" s="160">
        <v>0.5</v>
      </c>
      <c r="V233" s="160">
        <v>1.6999998999999999</v>
      </c>
      <c r="W233" s="160">
        <v>371159</v>
      </c>
      <c r="X233" s="160">
        <v>16.899999999999999</v>
      </c>
      <c r="Y233" s="160">
        <v>16.3</v>
      </c>
      <c r="Z233" s="160">
        <v>4.8219659999999998</v>
      </c>
      <c r="AA233" s="160">
        <v>2.2512919999999998</v>
      </c>
    </row>
    <row r="234" spans="1:27">
      <c r="A234">
        <v>22</v>
      </c>
      <c r="B234" t="s">
        <v>11</v>
      </c>
      <c r="C234" t="s">
        <v>10</v>
      </c>
      <c r="D234">
        <v>2011</v>
      </c>
      <c r="E234" s="161">
        <v>3.5712899999999999</v>
      </c>
      <c r="F234" s="162">
        <v>19000000000</v>
      </c>
      <c r="G234" s="160">
        <v>0.48</v>
      </c>
      <c r="H234" s="161">
        <v>75.645399999999995</v>
      </c>
      <c r="I234" s="160">
        <v>60.78</v>
      </c>
      <c r="J234" s="160">
        <v>2.944439</v>
      </c>
      <c r="K234" s="160">
        <v>9.3387600000000006</v>
      </c>
      <c r="L234" s="160">
        <v>2.9719000000000002</v>
      </c>
      <c r="M234" s="160">
        <v>-0.69715519999999997</v>
      </c>
      <c r="N234" s="160">
        <v>6.466145</v>
      </c>
      <c r="O234" s="160">
        <v>4.4998100000000001</v>
      </c>
      <c r="P234" s="160">
        <v>2.24071</v>
      </c>
      <c r="Q234" s="160">
        <v>7.1943619999999999</v>
      </c>
      <c r="R234" s="160">
        <v>4.6051700000000002</v>
      </c>
      <c r="S234" s="160">
        <v>9.1129499999999997</v>
      </c>
      <c r="T234" s="227">
        <v>-3.0459179999999999E-2</v>
      </c>
      <c r="U234" s="160">
        <v>0.5</v>
      </c>
      <c r="V234" s="160">
        <v>1.8</v>
      </c>
      <c r="W234" s="160">
        <v>380152</v>
      </c>
      <c r="X234" s="160">
        <v>15.3</v>
      </c>
      <c r="Y234" s="160">
        <v>11.4</v>
      </c>
      <c r="Z234" s="160">
        <v>4.8226659999999999</v>
      </c>
      <c r="AA234" s="160">
        <v>2.3418060000000001</v>
      </c>
    </row>
    <row r="235" spans="1:27">
      <c r="A235">
        <v>22</v>
      </c>
      <c r="B235" t="s">
        <v>11</v>
      </c>
      <c r="C235" t="s">
        <v>10</v>
      </c>
      <c r="D235">
        <v>2012</v>
      </c>
      <c r="E235" s="161">
        <v>1.5288600000000001</v>
      </c>
      <c r="F235" s="162">
        <v>7600000000</v>
      </c>
      <c r="G235" s="160">
        <v>0.46</v>
      </c>
      <c r="H235" s="161">
        <v>77.172499999999999</v>
      </c>
      <c r="I235" s="160">
        <v>60.654000000000003</v>
      </c>
      <c r="J235" s="160">
        <v>3.0204249999999999</v>
      </c>
      <c r="K235" s="160">
        <v>9.3537649999999992</v>
      </c>
      <c r="L235" s="160">
        <v>2.7972199999999998</v>
      </c>
      <c r="M235" s="160">
        <v>-0.52831090000000003</v>
      </c>
      <c r="N235" s="160">
        <v>6.466145</v>
      </c>
      <c r="O235" s="160">
        <v>4.3346730000000004</v>
      </c>
      <c r="P235" s="160">
        <v>2.3978950000000001</v>
      </c>
      <c r="Q235" s="160">
        <v>5.382199</v>
      </c>
      <c r="R235" s="160">
        <v>4.6051700000000002</v>
      </c>
      <c r="S235" s="160">
        <v>9.0898590000000006</v>
      </c>
      <c r="T235" s="227">
        <v>0.37843648000000002</v>
      </c>
      <c r="U235" s="160">
        <v>0.5</v>
      </c>
      <c r="V235" s="160">
        <v>1.9</v>
      </c>
      <c r="W235" s="160">
        <v>387443</v>
      </c>
      <c r="X235" s="160">
        <v>16.2</v>
      </c>
      <c r="Y235" s="160">
        <v>12</v>
      </c>
      <c r="Z235" s="160">
        <v>4.8226979999999999</v>
      </c>
      <c r="AA235" s="160">
        <v>2.388763</v>
      </c>
    </row>
    <row r="236" spans="1:27">
      <c r="A236">
        <v>22</v>
      </c>
      <c r="B236" t="s">
        <v>11</v>
      </c>
      <c r="C236" t="s">
        <v>10</v>
      </c>
      <c r="D236">
        <v>2013</v>
      </c>
      <c r="E236" s="161">
        <v>0.25898300000000002</v>
      </c>
      <c r="F236" s="162">
        <v>1300000000</v>
      </c>
      <c r="G236" s="160">
        <v>0.46</v>
      </c>
      <c r="H236" s="161">
        <v>79.623099999999994</v>
      </c>
      <c r="I236" s="160">
        <v>60.529000000000003</v>
      </c>
      <c r="J236" s="160">
        <v>3.0204249999999999</v>
      </c>
      <c r="K236" s="160">
        <v>9.3611889999999995</v>
      </c>
      <c r="L236" s="160">
        <v>2.7344970000000002</v>
      </c>
      <c r="M236" s="160">
        <v>-0.4722461</v>
      </c>
      <c r="N236" s="160">
        <v>6.5027900000000001</v>
      </c>
      <c r="O236" s="160">
        <v>4.325456</v>
      </c>
      <c r="P236" s="160">
        <v>2.501436</v>
      </c>
      <c r="Q236" s="160">
        <v>5.6657339999999996</v>
      </c>
      <c r="R236" s="160">
        <v>4.6051700000000002</v>
      </c>
      <c r="S236" s="160">
        <v>9.0986799999999999</v>
      </c>
      <c r="T236" s="227">
        <v>-3.0459179999999999E-2</v>
      </c>
      <c r="U236" s="160">
        <v>0.5</v>
      </c>
      <c r="V236" s="160">
        <v>2</v>
      </c>
      <c r="W236" s="160">
        <v>399380</v>
      </c>
      <c r="X236" s="160">
        <v>16</v>
      </c>
      <c r="Y236" s="160">
        <v>15.1</v>
      </c>
      <c r="Z236" s="160">
        <v>4.8221259999999999</v>
      </c>
      <c r="AA236" s="160">
        <v>2.4336129999999998</v>
      </c>
    </row>
    <row r="237" spans="1:27">
      <c r="A237">
        <v>22</v>
      </c>
      <c r="B237" t="s">
        <v>11</v>
      </c>
      <c r="C237" t="s">
        <v>10</v>
      </c>
      <c r="D237">
        <v>2014</v>
      </c>
      <c r="E237" s="161">
        <v>3.8508900000000001</v>
      </c>
      <c r="F237" s="162">
        <v>21000000000</v>
      </c>
      <c r="G237" s="160">
        <v>0.45</v>
      </c>
      <c r="H237" s="161">
        <v>81.8262</v>
      </c>
      <c r="I237" s="160">
        <v>60.402999999999999</v>
      </c>
      <c r="J237" s="160">
        <v>3.0056829999999999</v>
      </c>
      <c r="K237" s="160">
        <v>9.4003979999999991</v>
      </c>
      <c r="L237" s="160">
        <v>2.7419359999999999</v>
      </c>
      <c r="M237" s="160">
        <v>-0.42556579999999999</v>
      </c>
      <c r="N237" s="160">
        <v>6.5117450000000003</v>
      </c>
      <c r="O237" s="160">
        <v>4.2972859999999997</v>
      </c>
      <c r="P237" s="160">
        <v>2.5649489999999999</v>
      </c>
      <c r="Q237" s="160">
        <v>6.145473</v>
      </c>
      <c r="R237" s="160">
        <v>4.6539599999999997</v>
      </c>
      <c r="S237" s="160">
        <v>9.1300950000000007</v>
      </c>
      <c r="T237" s="227">
        <v>-0.30110508000000002</v>
      </c>
      <c r="U237" s="160">
        <v>0.60000001999999997</v>
      </c>
      <c r="V237" s="160">
        <v>2</v>
      </c>
      <c r="W237" s="160">
        <v>398677</v>
      </c>
      <c r="X237" s="160">
        <v>17</v>
      </c>
      <c r="Y237" s="160">
        <v>26.5</v>
      </c>
      <c r="Z237" s="160">
        <v>4.8214420000000002</v>
      </c>
      <c r="AA237" s="160">
        <v>2.4510049999999999</v>
      </c>
    </row>
    <row r="238" spans="1:27">
      <c r="A238">
        <v>22</v>
      </c>
      <c r="B238" t="s">
        <v>11</v>
      </c>
      <c r="C238" t="s">
        <v>10</v>
      </c>
      <c r="D238">
        <v>2015</v>
      </c>
      <c r="E238" s="161">
        <v>3.2954599999999998</v>
      </c>
      <c r="F238" s="162">
        <v>16000000000</v>
      </c>
      <c r="G238" s="160">
        <v>0.46</v>
      </c>
      <c r="H238" s="161">
        <v>82.406800000000004</v>
      </c>
      <c r="I238" s="160">
        <v>60.277999999999999</v>
      </c>
      <c r="J238" s="160">
        <v>3.039749</v>
      </c>
      <c r="K238" s="160">
        <v>9.4444239999999997</v>
      </c>
      <c r="L238" s="160">
        <v>2.7457950000000002</v>
      </c>
      <c r="M238" s="160">
        <v>-0.37512990000000002</v>
      </c>
      <c r="N238" s="160">
        <v>6.5467849999999999</v>
      </c>
      <c r="O238" s="160">
        <v>4.2442000000000002</v>
      </c>
      <c r="P238" s="160">
        <v>2.4765380000000001</v>
      </c>
      <c r="Q238" s="160">
        <v>6.1831170000000002</v>
      </c>
      <c r="R238" s="160">
        <v>4.682131</v>
      </c>
      <c r="S238" s="160">
        <v>9.1802499999999991</v>
      </c>
      <c r="T238" s="227">
        <v>0.60431599999999996</v>
      </c>
      <c r="U238" s="160">
        <v>0.69999999000000002</v>
      </c>
      <c r="V238" s="160">
        <v>1.9</v>
      </c>
      <c r="W238" s="160">
        <v>418033</v>
      </c>
      <c r="X238" s="160">
        <v>17.600000000000001</v>
      </c>
      <c r="Y238" s="160">
        <v>32.5</v>
      </c>
      <c r="Z238" s="160">
        <v>4.8207810000000002</v>
      </c>
      <c r="AA238" s="160">
        <v>2.4765380000000001</v>
      </c>
    </row>
    <row r="239" spans="1:27">
      <c r="A239">
        <v>22</v>
      </c>
      <c r="B239" t="s">
        <v>11</v>
      </c>
      <c r="C239" t="s">
        <v>10</v>
      </c>
      <c r="D239">
        <v>2016</v>
      </c>
      <c r="E239" s="161">
        <v>3.81609</v>
      </c>
      <c r="F239" s="162">
        <v>18000000000</v>
      </c>
      <c r="G239" s="160">
        <v>0.45</v>
      </c>
      <c r="H239" s="161">
        <v>85.222399999999993</v>
      </c>
      <c r="I239" s="160">
        <v>60.177999999999997</v>
      </c>
      <c r="J239" s="160">
        <v>2.97553</v>
      </c>
      <c r="K239" s="160">
        <v>9.4747179999999993</v>
      </c>
      <c r="L239" s="160">
        <v>2.7702110000000002</v>
      </c>
      <c r="M239" s="160">
        <v>-0.37265920000000002</v>
      </c>
      <c r="N239" s="160">
        <v>6.464588</v>
      </c>
      <c r="O239" s="160">
        <v>4.4091550000000002</v>
      </c>
      <c r="P239" s="160">
        <v>0.47000360000000002</v>
      </c>
      <c r="Q239" s="160">
        <v>6.0227209999999998</v>
      </c>
      <c r="R239" s="160">
        <v>4.75359</v>
      </c>
      <c r="S239" s="160">
        <v>9.1800700000000006</v>
      </c>
      <c r="T239" s="227">
        <v>0.15700372000000001</v>
      </c>
      <c r="U239" s="160">
        <v>0.60000001999999997</v>
      </c>
      <c r="V239" s="160">
        <v>1.9</v>
      </c>
      <c r="W239" s="160">
        <v>422007</v>
      </c>
      <c r="X239" s="160">
        <v>17.8</v>
      </c>
      <c r="Y239" s="160">
        <v>34.799999999999997</v>
      </c>
      <c r="Z239" s="160">
        <v>4.8203459999999998</v>
      </c>
      <c r="AA239" s="160">
        <v>2.4248029999999998</v>
      </c>
    </row>
    <row r="240" spans="1:27">
      <c r="A240">
        <v>22</v>
      </c>
      <c r="B240" t="s">
        <v>11</v>
      </c>
      <c r="C240" t="s">
        <v>10</v>
      </c>
      <c r="D240">
        <v>2017</v>
      </c>
      <c r="E240" s="161">
        <v>2.3781300000000001</v>
      </c>
      <c r="F240" s="162">
        <v>13000000000</v>
      </c>
      <c r="G240" s="160">
        <v>0.47</v>
      </c>
      <c r="H240" s="161">
        <v>88.609800000000007</v>
      </c>
      <c r="I240" s="160">
        <v>60.104999999999997</v>
      </c>
      <c r="J240" s="160">
        <v>3.0007199999999998</v>
      </c>
      <c r="K240" s="160">
        <v>9.5248299999999997</v>
      </c>
      <c r="L240" s="160">
        <v>2.8503020000000001</v>
      </c>
      <c r="M240" s="160">
        <v>-0.38492749999999998</v>
      </c>
      <c r="N240" s="160">
        <v>6.4150970000000003</v>
      </c>
      <c r="O240" s="160">
        <v>4.4152199999999997</v>
      </c>
      <c r="P240" s="160">
        <v>0.3364722</v>
      </c>
      <c r="Q240" s="160">
        <v>7.3898109999999999</v>
      </c>
      <c r="R240" s="160">
        <v>4.7791230000000002</v>
      </c>
      <c r="S240" s="160">
        <v>9.1325509999999994</v>
      </c>
      <c r="T240" s="227">
        <v>-0.10536055</v>
      </c>
      <c r="U240" s="160">
        <v>0.60000001999999997</v>
      </c>
      <c r="V240" s="160">
        <v>1.9</v>
      </c>
      <c r="W240" s="160">
        <v>427247</v>
      </c>
      <c r="X240" s="160">
        <v>18.100000000000001</v>
      </c>
      <c r="Y240" s="160">
        <v>33.799999999999997</v>
      </c>
      <c r="Z240" s="160">
        <v>4.8204750000000001</v>
      </c>
      <c r="AA240" s="160">
        <v>2.4069449999999999</v>
      </c>
    </row>
    <row r="241" spans="1:27">
      <c r="A241">
        <v>22</v>
      </c>
      <c r="B241" t="s">
        <v>11</v>
      </c>
      <c r="C241" t="s">
        <v>10</v>
      </c>
      <c r="D241">
        <v>2018</v>
      </c>
      <c r="E241" s="161">
        <v>3.3480400000000001</v>
      </c>
      <c r="F241" s="162">
        <v>20000000000</v>
      </c>
      <c r="G241" s="160">
        <v>0.44</v>
      </c>
      <c r="H241" s="161">
        <v>89.558199999999999</v>
      </c>
      <c r="I241" s="160">
        <v>60.058</v>
      </c>
      <c r="J241" s="160">
        <v>3.0155349999999999</v>
      </c>
      <c r="K241" s="160">
        <v>9.5854219999999994</v>
      </c>
      <c r="L241" s="160">
        <v>2.8788610000000001</v>
      </c>
      <c r="M241" s="160">
        <v>-0.35282520000000001</v>
      </c>
      <c r="N241" s="160">
        <v>6.426488</v>
      </c>
      <c r="O241" s="160">
        <v>4.4727810000000003</v>
      </c>
      <c r="P241" s="160">
        <v>0.40546510000000002</v>
      </c>
      <c r="Q241" s="160">
        <v>7.588425</v>
      </c>
      <c r="R241" s="160">
        <v>4.8040209999999997</v>
      </c>
      <c r="S241" s="160">
        <v>9.0872050000000009</v>
      </c>
      <c r="T241" s="227">
        <v>-0.54472721000000002</v>
      </c>
      <c r="U241" s="160">
        <v>0.89999998000000003</v>
      </c>
      <c r="V241" s="160">
        <v>1.9</v>
      </c>
      <c r="W241" s="160">
        <v>429029</v>
      </c>
      <c r="X241" s="160">
        <v>19.5</v>
      </c>
      <c r="Y241" s="160">
        <v>34.299999999999997</v>
      </c>
      <c r="Z241" s="160">
        <v>4.8205390000000001</v>
      </c>
      <c r="AA241" s="160">
        <v>2.7146949999999999</v>
      </c>
    </row>
    <row r="242" spans="1:27">
      <c r="A242">
        <v>22</v>
      </c>
      <c r="B242" t="s">
        <v>11</v>
      </c>
      <c r="C242" t="s">
        <v>10</v>
      </c>
      <c r="D242">
        <v>2019</v>
      </c>
      <c r="E242" s="161">
        <v>3.15456</v>
      </c>
      <c r="F242" s="162">
        <v>19000000000</v>
      </c>
      <c r="G242" s="160">
        <v>0.43</v>
      </c>
      <c r="H242" s="161">
        <v>88.251400000000004</v>
      </c>
      <c r="I242" s="160">
        <v>60.036999999999999</v>
      </c>
      <c r="J242" s="160">
        <v>3.039749</v>
      </c>
      <c r="K242" s="160">
        <v>9.6304510000000008</v>
      </c>
      <c r="L242" s="160">
        <v>2.8365610000000001</v>
      </c>
      <c r="M242" s="160">
        <v>-0.25993719999999998</v>
      </c>
      <c r="N242" s="160">
        <v>6.3935909999999998</v>
      </c>
      <c r="O242" s="160">
        <v>4.4115849999999996</v>
      </c>
      <c r="P242" s="160">
        <v>2.2192029999999998</v>
      </c>
      <c r="Q242" s="160">
        <v>7.3634700000000004</v>
      </c>
      <c r="R242" s="160">
        <v>4.8202819999999997</v>
      </c>
      <c r="S242" s="160">
        <v>8.8489900000000006</v>
      </c>
      <c r="T242" s="227">
        <v>-0.63487833999999999</v>
      </c>
      <c r="U242" s="160">
        <v>0.80000000999999998</v>
      </c>
      <c r="V242" s="160">
        <v>2</v>
      </c>
      <c r="W242" s="160">
        <v>435574</v>
      </c>
      <c r="X242" s="160">
        <v>19.5</v>
      </c>
      <c r="Y242" s="160">
        <v>34.1</v>
      </c>
      <c r="Z242" s="160">
        <v>4.8204909999999996</v>
      </c>
      <c r="AA242" s="160">
        <v>2.747271</v>
      </c>
    </row>
    <row r="243" spans="1:27">
      <c r="A243">
        <v>22</v>
      </c>
      <c r="B243" t="s">
        <v>11</v>
      </c>
      <c r="C243" t="s">
        <v>10</v>
      </c>
      <c r="D243">
        <v>2020</v>
      </c>
      <c r="E243" s="161">
        <v>3.3149899999999999</v>
      </c>
      <c r="F243" s="162">
        <v>20000000000</v>
      </c>
      <c r="G243" s="160">
        <v>0.45</v>
      </c>
      <c r="H243" s="161">
        <v>88.372399999999999</v>
      </c>
      <c r="I243" s="160">
        <v>60.042999999999999</v>
      </c>
      <c r="J243" s="160">
        <v>3.0680529999999999</v>
      </c>
      <c r="K243" s="160">
        <v>9.611637</v>
      </c>
      <c r="L243" s="160">
        <v>2.81989</v>
      </c>
      <c r="M243" s="160">
        <v>-0.26801009999999997</v>
      </c>
      <c r="N243" s="160">
        <v>6.3885610000000002</v>
      </c>
      <c r="O243" s="160">
        <v>4.4531840000000003</v>
      </c>
      <c r="P243" s="160">
        <v>2.0014799999999999</v>
      </c>
      <c r="Q243" s="160">
        <v>6.6020450000000004</v>
      </c>
      <c r="R243" s="160">
        <v>4.8441869999999998</v>
      </c>
      <c r="S243" s="160">
        <v>8.8392789999999994</v>
      </c>
      <c r="T243" s="227">
        <v>-0.77652878000000003</v>
      </c>
      <c r="U243" s="160">
        <v>0.69999999000000002</v>
      </c>
      <c r="V243" s="160">
        <v>1.9</v>
      </c>
      <c r="W243" s="160">
        <v>437080</v>
      </c>
      <c r="X243" s="160">
        <v>19.3</v>
      </c>
      <c r="Y243" s="160">
        <v>38.700000000000003</v>
      </c>
      <c r="Z243" s="160">
        <v>4.818676</v>
      </c>
      <c r="AA243" s="160">
        <v>2.7788189999999999</v>
      </c>
    </row>
    <row r="244" spans="1:27">
      <c r="A244">
        <v>23</v>
      </c>
      <c r="B244" t="s">
        <v>9</v>
      </c>
      <c r="C244" t="s">
        <v>8</v>
      </c>
      <c r="D244">
        <v>2010</v>
      </c>
      <c r="E244" s="161">
        <v>3.7606000000000002</v>
      </c>
      <c r="F244" s="162">
        <v>9000000000</v>
      </c>
      <c r="G244" s="160">
        <v>0.72</v>
      </c>
      <c r="H244" s="161">
        <v>53.326999999999998</v>
      </c>
      <c r="I244" s="160">
        <v>60.567</v>
      </c>
      <c r="J244" s="160">
        <v>3.4339870000000001</v>
      </c>
      <c r="K244" s="160">
        <v>9.8883080000000003</v>
      </c>
      <c r="L244" s="160">
        <v>2.981735</v>
      </c>
      <c r="M244" s="160">
        <v>-8.0234399999999997E-2</v>
      </c>
      <c r="N244" s="160">
        <v>6.3080980000000002</v>
      </c>
      <c r="O244" s="160">
        <v>4.4426509999999997</v>
      </c>
      <c r="P244" s="160">
        <v>0.58778660000000005</v>
      </c>
      <c r="Q244" s="160">
        <v>9.7791139999999999</v>
      </c>
      <c r="R244" s="160">
        <v>4.6051700000000002</v>
      </c>
      <c r="S244" s="160">
        <v>8.6286509999999996</v>
      </c>
      <c r="T244" s="227">
        <v>-1.4271164000000001</v>
      </c>
      <c r="U244" s="160">
        <v>0.60000001999999997</v>
      </c>
      <c r="V244" s="160">
        <v>1.7</v>
      </c>
      <c r="W244" s="160">
        <v>89774</v>
      </c>
      <c r="X244" s="160">
        <v>23.6</v>
      </c>
      <c r="Y244" s="160">
        <v>18.7</v>
      </c>
      <c r="Z244" s="160">
        <v>4.748742</v>
      </c>
      <c r="AA244" s="160">
        <v>3.3250359999999999</v>
      </c>
    </row>
    <row r="245" spans="1:27">
      <c r="A245">
        <v>23</v>
      </c>
      <c r="B245" t="s">
        <v>9</v>
      </c>
      <c r="C245" t="s">
        <v>8</v>
      </c>
      <c r="D245">
        <v>2011</v>
      </c>
      <c r="E245" s="161">
        <v>4.0016299999999996</v>
      </c>
      <c r="F245" s="162">
        <v>9800000000</v>
      </c>
      <c r="G245" s="160">
        <v>0.67</v>
      </c>
      <c r="H245" s="161">
        <v>58.067399999999999</v>
      </c>
      <c r="I245" s="160">
        <v>61.167000000000002</v>
      </c>
      <c r="J245" s="160">
        <v>3.4499879999999998</v>
      </c>
      <c r="K245" s="160">
        <v>9.8724919999999994</v>
      </c>
      <c r="L245" s="160">
        <v>2.903343</v>
      </c>
      <c r="M245" s="160">
        <v>-2.09172E-2</v>
      </c>
      <c r="N245" s="160">
        <v>6.265301</v>
      </c>
      <c r="O245" s="160">
        <v>4.4188400000000003</v>
      </c>
      <c r="P245" s="160">
        <v>0.53062830000000005</v>
      </c>
      <c r="Q245" s="160">
        <v>9.7773009999999996</v>
      </c>
      <c r="R245" s="160">
        <v>4.553877</v>
      </c>
      <c r="S245" s="160">
        <v>8.6022390000000009</v>
      </c>
      <c r="T245" s="227">
        <v>-0.69314717999999997</v>
      </c>
      <c r="U245" s="160">
        <v>0.60000001999999997</v>
      </c>
      <c r="V245" s="160">
        <v>1.6</v>
      </c>
      <c r="W245" s="160">
        <v>87587</v>
      </c>
      <c r="X245" s="160">
        <v>24.3</v>
      </c>
      <c r="Y245" s="160">
        <v>20.100000000000001</v>
      </c>
      <c r="Z245" s="160">
        <v>4.7472770000000004</v>
      </c>
      <c r="AA245" s="160">
        <v>3.3032170000000001</v>
      </c>
    </row>
    <row r="246" spans="1:27">
      <c r="A246">
        <v>23</v>
      </c>
      <c r="B246" t="s">
        <v>9</v>
      </c>
      <c r="C246" t="s">
        <v>8</v>
      </c>
      <c r="D246">
        <v>2012</v>
      </c>
      <c r="E246" s="161">
        <v>9.8811800000000005</v>
      </c>
      <c r="F246" s="162">
        <v>21000000000</v>
      </c>
      <c r="G246" s="160">
        <v>0.65</v>
      </c>
      <c r="H246" s="161">
        <v>60.275700000000001</v>
      </c>
      <c r="I246" s="160">
        <v>61.762999999999998</v>
      </c>
      <c r="J246" s="160">
        <v>3.5263610000000001</v>
      </c>
      <c r="K246" s="160">
        <v>9.8351980000000001</v>
      </c>
      <c r="L246" s="160">
        <v>2.7776380000000001</v>
      </c>
      <c r="M246" s="160">
        <v>2.40094E-2</v>
      </c>
      <c r="N246" s="160">
        <v>6.2671999999999999</v>
      </c>
      <c r="O246" s="160">
        <v>4.4612999999999996</v>
      </c>
      <c r="P246" s="160">
        <v>0.69314719999999996</v>
      </c>
      <c r="Q246" s="160">
        <v>9.8541349999999994</v>
      </c>
      <c r="R246" s="160">
        <v>4.510859</v>
      </c>
      <c r="S246" s="160">
        <v>8.6064559999999997</v>
      </c>
      <c r="T246" s="227">
        <v>-1.3093333</v>
      </c>
      <c r="U246" s="160">
        <v>0.60000001999999997</v>
      </c>
      <c r="V246" s="160">
        <v>1.5</v>
      </c>
      <c r="W246" s="160">
        <v>82546</v>
      </c>
      <c r="X246" s="160">
        <v>25.4</v>
      </c>
      <c r="Y246" s="160">
        <v>26.1</v>
      </c>
      <c r="Z246" s="160">
        <v>4.7432169999999996</v>
      </c>
      <c r="AA246" s="160">
        <v>3.2386780000000002</v>
      </c>
    </row>
    <row r="247" spans="1:27">
      <c r="A247">
        <v>23</v>
      </c>
      <c r="B247" t="s">
        <v>9</v>
      </c>
      <c r="C247" t="s">
        <v>8</v>
      </c>
      <c r="D247">
        <v>2013</v>
      </c>
      <c r="E247" s="161">
        <v>6.9460899999999999</v>
      </c>
      <c r="F247" s="162">
        <v>16000000000</v>
      </c>
      <c r="G247" s="160">
        <v>0.68</v>
      </c>
      <c r="H247" s="161">
        <v>61.118600000000001</v>
      </c>
      <c r="I247" s="160">
        <v>62.351999999999997</v>
      </c>
      <c r="J247" s="160">
        <v>3.5263610000000001</v>
      </c>
      <c r="K247" s="160">
        <v>9.8307929999999999</v>
      </c>
      <c r="L247" s="160">
        <v>2.6297999999999999</v>
      </c>
      <c r="M247" s="160">
        <v>0.17655489999999999</v>
      </c>
      <c r="N247" s="160">
        <v>6.259582</v>
      </c>
      <c r="O247" s="160">
        <v>4.4612999999999996</v>
      </c>
      <c r="P247" s="160">
        <v>0.91629079999999996</v>
      </c>
      <c r="Q247" s="160">
        <v>9.7716010000000004</v>
      </c>
      <c r="R247" s="160">
        <v>4.5217890000000001</v>
      </c>
      <c r="S247" s="160">
        <v>8.6810790000000004</v>
      </c>
      <c r="T247" s="227">
        <v>-1.2378743999999999</v>
      </c>
      <c r="U247" s="160">
        <v>0.60000001999999997</v>
      </c>
      <c r="V247" s="160">
        <v>1.4</v>
      </c>
      <c r="W247" s="160">
        <v>79255</v>
      </c>
      <c r="X247" s="160">
        <v>28.8</v>
      </c>
      <c r="Y247" s="160">
        <v>25.8</v>
      </c>
      <c r="Z247" s="160">
        <v>4.7375660000000002</v>
      </c>
      <c r="AA247" s="160">
        <v>3.407842</v>
      </c>
    </row>
    <row r="248" spans="1:27">
      <c r="A248">
        <v>23</v>
      </c>
      <c r="B248" t="s">
        <v>9</v>
      </c>
      <c r="C248" t="s">
        <v>8</v>
      </c>
      <c r="D248">
        <v>2014</v>
      </c>
      <c r="E248" s="161">
        <v>5.2355200000000002</v>
      </c>
      <c r="F248" s="162">
        <v>12000000000</v>
      </c>
      <c r="G248" s="160">
        <v>0.74</v>
      </c>
      <c r="H248" s="161">
        <v>61.814100000000003</v>
      </c>
      <c r="I248" s="160">
        <v>62.936</v>
      </c>
      <c r="J248" s="160">
        <v>3.514526</v>
      </c>
      <c r="K248" s="160">
        <v>9.8435729999999992</v>
      </c>
      <c r="L248" s="160">
        <v>2.7343030000000002</v>
      </c>
      <c r="M248" s="160">
        <v>8.9109099999999997E-2</v>
      </c>
      <c r="N248" s="160">
        <v>6.2538289999999996</v>
      </c>
      <c r="O248" s="160">
        <v>4.3425060000000002</v>
      </c>
      <c r="P248" s="160">
        <v>0.87546880000000005</v>
      </c>
      <c r="Q248" s="160">
        <v>9.9017959999999992</v>
      </c>
      <c r="R248" s="160">
        <v>4.553877</v>
      </c>
      <c r="S248" s="160">
        <v>8.6478429999999999</v>
      </c>
      <c r="T248" s="227">
        <v>-0.98592179999999996</v>
      </c>
      <c r="U248" s="160">
        <v>0.69999999000000002</v>
      </c>
      <c r="V248" s="160">
        <v>1.4</v>
      </c>
      <c r="W248" s="160">
        <v>79264</v>
      </c>
      <c r="X248" s="160">
        <v>28.5</v>
      </c>
      <c r="Y248" s="160">
        <v>30.4</v>
      </c>
      <c r="Z248" s="160">
        <v>4.7321730000000004</v>
      </c>
      <c r="AA248" s="160">
        <v>3.4177270000000002</v>
      </c>
    </row>
    <row r="249" spans="1:27">
      <c r="A249">
        <v>23</v>
      </c>
      <c r="B249" t="s">
        <v>9</v>
      </c>
      <c r="C249" t="s">
        <v>8</v>
      </c>
      <c r="D249">
        <v>2015</v>
      </c>
      <c r="E249" s="161">
        <v>0.63807499999999995</v>
      </c>
      <c r="F249" s="162">
        <v>1300000000</v>
      </c>
      <c r="G249" s="160">
        <v>0.69</v>
      </c>
      <c r="H249" s="161">
        <v>61.275100000000002</v>
      </c>
      <c r="I249" s="160">
        <v>63.514000000000003</v>
      </c>
      <c r="J249" s="160">
        <v>3.5467399999999998</v>
      </c>
      <c r="K249" s="160">
        <v>9.8634880000000003</v>
      </c>
      <c r="L249" s="160">
        <v>2.7845170000000001</v>
      </c>
      <c r="M249" s="160">
        <v>0.1041798</v>
      </c>
      <c r="N249" s="160">
        <v>6.2402759999999997</v>
      </c>
      <c r="O249" s="160">
        <v>4.3567090000000004</v>
      </c>
      <c r="P249" s="160">
        <v>0.74193730000000002</v>
      </c>
      <c r="Q249" s="160">
        <v>10.15939</v>
      </c>
      <c r="R249" s="160">
        <v>4.553877</v>
      </c>
      <c r="S249" s="160">
        <v>8.736027</v>
      </c>
      <c r="T249" s="227">
        <v>-0.73396921000000004</v>
      </c>
      <c r="U249" s="160">
        <v>0.80000000999999998</v>
      </c>
      <c r="V249" s="160">
        <v>1.5</v>
      </c>
      <c r="W249" s="160">
        <v>82202</v>
      </c>
      <c r="X249" s="160">
        <v>30.3</v>
      </c>
      <c r="Y249" s="160">
        <v>29.8</v>
      </c>
      <c r="Z249" s="160">
        <v>4.7280340000000001</v>
      </c>
      <c r="AA249" s="160">
        <v>3.3032170000000001</v>
      </c>
    </row>
    <row r="250" spans="1:27">
      <c r="A250">
        <v>23</v>
      </c>
      <c r="B250" t="s">
        <v>9</v>
      </c>
      <c r="C250" t="s">
        <v>8</v>
      </c>
      <c r="D250">
        <v>2016</v>
      </c>
      <c r="E250" s="161">
        <v>3.56501</v>
      </c>
      <c r="F250" s="162">
        <v>7400000000</v>
      </c>
      <c r="G250" s="160">
        <v>0.72</v>
      </c>
      <c r="H250" s="161">
        <v>59.778399999999998</v>
      </c>
      <c r="I250" s="160">
        <v>64.085999999999999</v>
      </c>
      <c r="J250" s="160">
        <v>3.5174979999999998</v>
      </c>
      <c r="K250" s="160">
        <v>9.8864839999999994</v>
      </c>
      <c r="L250" s="160">
        <v>2.733978</v>
      </c>
      <c r="M250" s="160">
        <v>0.16940520000000001</v>
      </c>
      <c r="N250" s="160">
        <v>6.23637</v>
      </c>
      <c r="O250" s="160">
        <v>4.4079379999999997</v>
      </c>
      <c r="P250" s="160">
        <v>0.74193730000000002</v>
      </c>
      <c r="Q250" s="160">
        <v>10.34051</v>
      </c>
      <c r="R250" s="160">
        <v>4.5849679999999999</v>
      </c>
      <c r="S250" s="160">
        <v>8.6822350000000004</v>
      </c>
      <c r="T250" s="227">
        <v>-2.3025850999999999</v>
      </c>
      <c r="U250" s="160">
        <v>0.80000000999999998</v>
      </c>
      <c r="V250" s="160">
        <v>1.5</v>
      </c>
      <c r="W250" s="160">
        <v>84026</v>
      </c>
      <c r="X250" s="160">
        <v>32.1</v>
      </c>
      <c r="Y250" s="160">
        <v>30.9</v>
      </c>
      <c r="Z250" s="160">
        <v>4.7248720000000004</v>
      </c>
      <c r="AA250" s="160">
        <v>3.3672960000000001</v>
      </c>
    </row>
    <row r="251" spans="1:27">
      <c r="A251">
        <v>23</v>
      </c>
      <c r="B251" t="s">
        <v>9</v>
      </c>
      <c r="C251" t="s">
        <v>8</v>
      </c>
      <c r="D251">
        <v>2017</v>
      </c>
      <c r="E251" s="161">
        <v>4.8373200000000001</v>
      </c>
      <c r="F251" s="162">
        <v>11000000000</v>
      </c>
      <c r="G251" s="160">
        <v>0.71</v>
      </c>
      <c r="H251" s="161">
        <v>63.792000000000002</v>
      </c>
      <c r="I251" s="160">
        <v>64.652000000000001</v>
      </c>
      <c r="J251" s="160">
        <v>3.5438540000000001</v>
      </c>
      <c r="K251" s="160">
        <v>9.9215339999999994</v>
      </c>
      <c r="L251" s="160">
        <v>2.8456649999999999</v>
      </c>
      <c r="M251" s="160">
        <v>0.11207789999999999</v>
      </c>
      <c r="N251" s="160">
        <v>6.2304820000000003</v>
      </c>
      <c r="O251" s="160">
        <v>4.3932140000000004</v>
      </c>
      <c r="P251" s="160">
        <v>0.69314719999999996</v>
      </c>
      <c r="Q251" s="160">
        <v>10.440670000000001</v>
      </c>
      <c r="R251" s="160">
        <v>4.6249729999999998</v>
      </c>
      <c r="S251" s="160">
        <v>8.6201570000000007</v>
      </c>
      <c r="T251" s="227">
        <v>-2.3025850999999999</v>
      </c>
      <c r="U251" s="160">
        <v>0.89999998000000003</v>
      </c>
      <c r="V251" s="160">
        <v>1.5</v>
      </c>
      <c r="W251" s="160">
        <v>93140</v>
      </c>
      <c r="X251" s="160">
        <v>31.2</v>
      </c>
      <c r="Y251" s="160">
        <v>29.1</v>
      </c>
      <c r="Z251" s="160">
        <v>4.7224370000000002</v>
      </c>
      <c r="AA251" s="160">
        <v>3.1945830000000002</v>
      </c>
    </row>
    <row r="252" spans="1:27">
      <c r="A252">
        <v>23</v>
      </c>
      <c r="B252" t="s">
        <v>9</v>
      </c>
      <c r="C252" t="s">
        <v>8</v>
      </c>
      <c r="D252">
        <v>2018</v>
      </c>
      <c r="E252" s="161">
        <v>3.2409400000000002</v>
      </c>
      <c r="F252" s="162">
        <v>7800000000</v>
      </c>
      <c r="G252" s="160">
        <v>0.69</v>
      </c>
      <c r="H252" s="161">
        <v>65.025000000000006</v>
      </c>
      <c r="I252" s="160">
        <v>65.210999999999999</v>
      </c>
      <c r="J252" s="160">
        <v>3.549617</v>
      </c>
      <c r="K252" s="160">
        <v>9.9521730000000002</v>
      </c>
      <c r="L252" s="160">
        <v>2.8369119999999999</v>
      </c>
      <c r="M252" s="160">
        <v>0.14461959999999999</v>
      </c>
      <c r="N252" s="160">
        <v>6.2785219999999997</v>
      </c>
      <c r="O252" s="160">
        <v>4.2904600000000004</v>
      </c>
      <c r="P252" s="160">
        <v>0.78845739999999997</v>
      </c>
      <c r="Q252" s="160">
        <v>10.409890000000001</v>
      </c>
      <c r="R252" s="160">
        <v>4.6728290000000001</v>
      </c>
      <c r="S252" s="160">
        <v>8.4782200000000003</v>
      </c>
      <c r="T252" s="227">
        <v>-1.6607312000000001</v>
      </c>
      <c r="U252" s="160">
        <v>1</v>
      </c>
      <c r="V252" s="160">
        <v>1.6</v>
      </c>
      <c r="W252" s="160">
        <v>98264</v>
      </c>
      <c r="X252" s="160">
        <v>31.4</v>
      </c>
      <c r="Y252" s="160">
        <v>29.1</v>
      </c>
      <c r="Z252" s="160">
        <v>4.7208350000000001</v>
      </c>
      <c r="AA252" s="160">
        <v>3.3141859999999999</v>
      </c>
    </row>
    <row r="253" spans="1:27">
      <c r="A253">
        <v>23</v>
      </c>
      <c r="B253" t="s">
        <v>9</v>
      </c>
      <c r="C253" t="s">
        <v>8</v>
      </c>
      <c r="D253">
        <v>2019</v>
      </c>
      <c r="E253" s="161">
        <v>4.2979399999999996</v>
      </c>
      <c r="F253" s="162">
        <v>10000000000</v>
      </c>
      <c r="G253" s="160">
        <v>0.66</v>
      </c>
      <c r="H253" s="161">
        <v>65.218900000000005</v>
      </c>
      <c r="I253" s="160">
        <v>65.763999999999996</v>
      </c>
      <c r="J253" s="160">
        <v>3.5695329999999998</v>
      </c>
      <c r="K253" s="160">
        <v>9.9790220000000005</v>
      </c>
      <c r="L253" s="160">
        <v>2.849202</v>
      </c>
      <c r="M253" s="160">
        <v>0.1605019</v>
      </c>
      <c r="N253" s="160">
        <v>6.244167</v>
      </c>
      <c r="O253" s="160">
        <v>4.3630990000000001</v>
      </c>
      <c r="P253" s="160">
        <v>0.83290909999999996</v>
      </c>
      <c r="Q253" s="160">
        <v>10.19439</v>
      </c>
      <c r="R253" s="160">
        <v>4.7004799999999998</v>
      </c>
      <c r="S253" s="160">
        <v>8.3127510000000004</v>
      </c>
      <c r="T253" s="227">
        <v>-1.2378743999999999</v>
      </c>
      <c r="U253" s="160">
        <v>1</v>
      </c>
      <c r="V253" s="160">
        <v>1.5</v>
      </c>
      <c r="W253" s="160">
        <v>90728</v>
      </c>
      <c r="X253" s="160">
        <v>30.7</v>
      </c>
      <c r="Y253" s="160">
        <v>28.9</v>
      </c>
      <c r="Z253" s="160">
        <v>4.7210760000000001</v>
      </c>
      <c r="AA253" s="160">
        <v>3.3393220000000001</v>
      </c>
    </row>
    <row r="254" spans="1:27">
      <c r="A254">
        <v>23</v>
      </c>
      <c r="B254" t="s">
        <v>9</v>
      </c>
      <c r="C254" t="s">
        <v>8</v>
      </c>
      <c r="D254">
        <v>2020</v>
      </c>
      <c r="E254" s="161">
        <v>1.73847</v>
      </c>
      <c r="F254" s="162">
        <v>4000000000</v>
      </c>
      <c r="G254" s="160">
        <v>0.65</v>
      </c>
      <c r="H254" s="161">
        <v>60.705399999999997</v>
      </c>
      <c r="I254" s="160">
        <v>66.31</v>
      </c>
      <c r="J254" s="160">
        <v>3.5807370000000001</v>
      </c>
      <c r="K254" s="160">
        <v>9.8923609999999993</v>
      </c>
      <c r="L254" s="160">
        <v>2.7435459999999998</v>
      </c>
      <c r="M254" s="160">
        <v>0.18098739999999999</v>
      </c>
      <c r="N254" s="160">
        <v>6.1590949999999998</v>
      </c>
      <c r="O254" s="160">
        <v>4.1415459999999999</v>
      </c>
      <c r="P254" s="160">
        <v>0.91629079999999996</v>
      </c>
      <c r="Q254" s="160">
        <v>9.4164919999999999</v>
      </c>
      <c r="R254" s="160">
        <v>4.6249729999999998</v>
      </c>
      <c r="S254" s="160">
        <v>8.1143649999999994</v>
      </c>
      <c r="T254" s="227">
        <v>-0.63487833999999999</v>
      </c>
      <c r="U254" s="160">
        <v>0.89999998000000003</v>
      </c>
      <c r="V254" s="160">
        <v>1.5</v>
      </c>
      <c r="W254" s="160">
        <v>85587</v>
      </c>
      <c r="X254" s="160">
        <v>30.4</v>
      </c>
      <c r="Y254" s="160">
        <v>26.8</v>
      </c>
      <c r="Z254" s="160">
        <v>4.7221260000000003</v>
      </c>
      <c r="AA254" s="160">
        <v>3.4436179999999998</v>
      </c>
    </row>
    <row r="255" spans="1:27">
      <c r="A255">
        <v>24</v>
      </c>
      <c r="B255" t="s">
        <v>7</v>
      </c>
      <c r="C255" t="s">
        <v>6</v>
      </c>
      <c r="D255">
        <v>2010</v>
      </c>
      <c r="E255" s="161">
        <v>1.8897200000000001</v>
      </c>
      <c r="F255" s="162">
        <v>3200000000</v>
      </c>
      <c r="G255" s="160">
        <v>0.28999999999999998</v>
      </c>
      <c r="H255" s="161">
        <v>65.674000000000007</v>
      </c>
      <c r="I255" s="160">
        <v>53.829000000000001</v>
      </c>
      <c r="J255" s="160">
        <v>3.5695329999999998</v>
      </c>
      <c r="K255" s="160">
        <v>8.9438600000000008</v>
      </c>
      <c r="L255" s="160">
        <v>2.62053</v>
      </c>
      <c r="M255" s="160">
        <v>-0.67688020000000004</v>
      </c>
      <c r="N255" s="160">
        <v>5.7557419999999997</v>
      </c>
      <c r="O255" s="160">
        <v>4.4391160000000003</v>
      </c>
      <c r="P255" s="160">
        <v>1.2527630000000001</v>
      </c>
      <c r="Q255" s="160">
        <v>4.2150860000000003</v>
      </c>
      <c r="R255" s="160">
        <v>4.6051700000000002</v>
      </c>
      <c r="S255" s="160">
        <v>8.6429240000000007</v>
      </c>
      <c r="T255" s="227">
        <v>-1.3862943999999999</v>
      </c>
      <c r="U255" s="160">
        <v>0.69999999000000002</v>
      </c>
      <c r="V255" s="160">
        <v>1.4000001</v>
      </c>
      <c r="W255" s="160">
        <v>77071</v>
      </c>
      <c r="X255" s="160">
        <v>12.1</v>
      </c>
      <c r="Y255" s="160">
        <v>12.8</v>
      </c>
      <c r="Z255" s="160">
        <v>4.4774580000000004</v>
      </c>
      <c r="AA255" s="160">
        <v>3.1822119999999998</v>
      </c>
    </row>
    <row r="256" spans="1:27">
      <c r="A256">
        <v>24</v>
      </c>
      <c r="B256" t="s">
        <v>7</v>
      </c>
      <c r="C256" t="s">
        <v>6</v>
      </c>
      <c r="D256">
        <v>2011</v>
      </c>
      <c r="E256" s="161">
        <v>1.2304299999999999</v>
      </c>
      <c r="F256" s="162">
        <v>2400000000</v>
      </c>
      <c r="G256" s="160">
        <v>0.31</v>
      </c>
      <c r="H256" s="161">
        <v>72.428700000000006</v>
      </c>
      <c r="I256" s="160">
        <v>53.96</v>
      </c>
      <c r="J256" s="160">
        <v>3.6109179999999999</v>
      </c>
      <c r="K256" s="160">
        <v>8.9927530000000004</v>
      </c>
      <c r="L256" s="160">
        <v>2.9587569999999999</v>
      </c>
      <c r="M256" s="160">
        <v>-0.95972029999999997</v>
      </c>
      <c r="N256" s="160">
        <v>5.7651909999999997</v>
      </c>
      <c r="O256" s="160">
        <v>4.4438269999999997</v>
      </c>
      <c r="P256" s="160">
        <v>0.91629079999999996</v>
      </c>
      <c r="Q256" s="160">
        <v>4.9243509999999997</v>
      </c>
      <c r="R256" s="160">
        <v>4.5951199999999996</v>
      </c>
      <c r="S256" s="160">
        <v>8.5481610000000003</v>
      </c>
      <c r="T256" s="227">
        <v>-1.3862943999999999</v>
      </c>
      <c r="U256" s="160">
        <v>0.59999999000000004</v>
      </c>
      <c r="V256" s="160">
        <v>1.3000001000000001</v>
      </c>
      <c r="W256" s="160">
        <v>81120</v>
      </c>
      <c r="X256" s="160">
        <v>9.1999999999999993</v>
      </c>
      <c r="Y256" s="160">
        <v>11.7</v>
      </c>
      <c r="Z256" s="160">
        <v>4.4720180000000003</v>
      </c>
      <c r="AA256" s="160">
        <v>3.0492729999999999</v>
      </c>
    </row>
    <row r="257" spans="1:27">
      <c r="A257">
        <v>24</v>
      </c>
      <c r="B257" t="s">
        <v>7</v>
      </c>
      <c r="C257" t="s">
        <v>6</v>
      </c>
      <c r="D257">
        <v>2012</v>
      </c>
      <c r="E257" s="161">
        <v>1.7014400000000001</v>
      </c>
      <c r="F257" s="162">
        <v>3000000000</v>
      </c>
      <c r="G257" s="160">
        <v>0.3</v>
      </c>
      <c r="H257" s="161">
        <v>71.488299999999995</v>
      </c>
      <c r="I257" s="160">
        <v>53.973999999999997</v>
      </c>
      <c r="J257" s="160">
        <v>3.676301</v>
      </c>
      <c r="K257" s="160">
        <v>9.0160630000000008</v>
      </c>
      <c r="L257" s="160">
        <v>2.886698</v>
      </c>
      <c r="M257" s="160">
        <v>-0.88116499999999998</v>
      </c>
      <c r="N257" s="160">
        <v>5.758902</v>
      </c>
      <c r="O257" s="160">
        <v>4.4343820000000003</v>
      </c>
      <c r="P257" s="160">
        <v>0.95551140000000001</v>
      </c>
      <c r="Q257" s="160">
        <v>6.5138239999999996</v>
      </c>
      <c r="R257" s="160">
        <v>4.5951199999999996</v>
      </c>
      <c r="S257" s="160">
        <v>8.5532299999999992</v>
      </c>
      <c r="T257" s="227">
        <v>-1.3862943999999999</v>
      </c>
      <c r="U257" s="160">
        <v>0.5</v>
      </c>
      <c r="V257" s="160">
        <v>1.2</v>
      </c>
      <c r="W257" s="160">
        <v>84408</v>
      </c>
      <c r="X257" s="160">
        <v>9.8000000000000007</v>
      </c>
      <c r="Y257" s="160">
        <v>14.8</v>
      </c>
      <c r="Z257" s="160">
        <v>4.4682190000000004</v>
      </c>
      <c r="AA257" s="160">
        <v>3.0680529999999999</v>
      </c>
    </row>
    <row r="258" spans="1:27">
      <c r="A258">
        <v>24</v>
      </c>
      <c r="B258" t="s">
        <v>7</v>
      </c>
      <c r="C258" t="s">
        <v>6</v>
      </c>
      <c r="D258">
        <v>2013</v>
      </c>
      <c r="E258" s="161">
        <v>2.0310100000000002</v>
      </c>
      <c r="F258" s="162">
        <v>3900000000</v>
      </c>
      <c r="G258" s="160">
        <v>0.3</v>
      </c>
      <c r="H258" s="161">
        <v>73.402000000000001</v>
      </c>
      <c r="I258" s="160">
        <v>53.936999999999998</v>
      </c>
      <c r="J258" s="160">
        <v>3.676301</v>
      </c>
      <c r="K258" s="160">
        <v>9.0225589999999993</v>
      </c>
      <c r="L258" s="160">
        <v>2.8745250000000002</v>
      </c>
      <c r="M258" s="160">
        <v>-0.87442920000000002</v>
      </c>
      <c r="N258" s="160">
        <v>5.6937319999999998</v>
      </c>
      <c r="O258" s="160">
        <v>4.4624540000000001</v>
      </c>
      <c r="P258" s="160">
        <v>0.91629079999999996</v>
      </c>
      <c r="Q258" s="160">
        <v>6.3940919999999997</v>
      </c>
      <c r="R258" s="160">
        <v>4.6249729999999998</v>
      </c>
      <c r="S258" s="160">
        <v>8.5447500000000005</v>
      </c>
      <c r="T258" s="227">
        <v>-2.1202635999999999</v>
      </c>
      <c r="U258" s="160">
        <v>0.40000001000000002</v>
      </c>
      <c r="V258" s="160">
        <v>1.1000000000000001</v>
      </c>
      <c r="W258" s="160">
        <v>84826</v>
      </c>
      <c r="X258" s="160">
        <v>9.1999999999999993</v>
      </c>
      <c r="Y258" s="160">
        <v>13.2</v>
      </c>
      <c r="Z258" s="160">
        <v>4.4644620000000002</v>
      </c>
      <c r="AA258" s="160">
        <v>3.1398329999999999</v>
      </c>
    </row>
    <row r="259" spans="1:27">
      <c r="A259">
        <v>24</v>
      </c>
      <c r="B259" t="s">
        <v>7</v>
      </c>
      <c r="C259" t="s">
        <v>6</v>
      </c>
      <c r="D259">
        <v>2014</v>
      </c>
      <c r="E259" s="161">
        <v>1.93729</v>
      </c>
      <c r="F259" s="162">
        <v>3900000000</v>
      </c>
      <c r="G259" s="160">
        <v>0.26</v>
      </c>
      <c r="H259" s="161">
        <v>73.838999999999999</v>
      </c>
      <c r="I259" s="160">
        <v>53.9</v>
      </c>
      <c r="J259" s="160">
        <v>3.693867</v>
      </c>
      <c r="K259" s="160">
        <v>9.0666399999999996</v>
      </c>
      <c r="L259" s="160">
        <v>2.9233769999999999</v>
      </c>
      <c r="M259" s="160">
        <v>-0.87299179999999998</v>
      </c>
      <c r="N259" s="160">
        <v>5.6058019999999997</v>
      </c>
      <c r="O259" s="160">
        <v>4.4693500000000004</v>
      </c>
      <c r="P259" s="160">
        <v>0.74193730000000002</v>
      </c>
      <c r="Q259" s="160">
        <v>5.2262839999999997</v>
      </c>
      <c r="R259" s="160">
        <v>4.6443909999999997</v>
      </c>
      <c r="S259" s="160">
        <v>8.5271729999999994</v>
      </c>
      <c r="T259" s="227">
        <v>-1.3862943999999999</v>
      </c>
      <c r="U259" s="160">
        <v>0.89999998000000003</v>
      </c>
      <c r="V259" s="160">
        <v>1</v>
      </c>
      <c r="W259" s="160">
        <v>82744</v>
      </c>
      <c r="X259" s="160">
        <v>9.4</v>
      </c>
      <c r="Y259" s="160">
        <v>13.1</v>
      </c>
      <c r="Z259" s="160">
        <v>4.4604990000000004</v>
      </c>
      <c r="AA259" s="160">
        <v>3.1904759999999999</v>
      </c>
    </row>
    <row r="260" spans="1:27">
      <c r="A260">
        <v>24</v>
      </c>
      <c r="B260" t="s">
        <v>7</v>
      </c>
      <c r="C260" t="s">
        <v>6</v>
      </c>
      <c r="D260">
        <v>2015</v>
      </c>
      <c r="E260" s="161">
        <v>2.42726</v>
      </c>
      <c r="F260" s="162">
        <v>4300000000</v>
      </c>
      <c r="G260" s="160">
        <v>0.28999999999999998</v>
      </c>
      <c r="H260" s="161">
        <v>73.316400000000002</v>
      </c>
      <c r="I260" s="160">
        <v>53.887</v>
      </c>
      <c r="J260" s="160">
        <v>3.7184379999999999</v>
      </c>
      <c r="K260" s="160">
        <v>9.1024239999999992</v>
      </c>
      <c r="L260" s="160">
        <v>3.1100430000000001</v>
      </c>
      <c r="M260" s="160">
        <v>-1.018877</v>
      </c>
      <c r="N260" s="160">
        <v>5.6559920000000004</v>
      </c>
      <c r="O260" s="160">
        <v>4.1896550000000001</v>
      </c>
      <c r="P260" s="160">
        <v>0.53062830000000005</v>
      </c>
      <c r="Q260" s="160">
        <v>4.8759600000000001</v>
      </c>
      <c r="R260" s="160">
        <v>4.7004799999999998</v>
      </c>
      <c r="S260" s="160">
        <v>8.5532059999999994</v>
      </c>
      <c r="T260" s="227">
        <v>-1.4696758999999999</v>
      </c>
      <c r="U260" s="160">
        <v>0.60000001999999997</v>
      </c>
      <c r="V260" s="160">
        <v>1</v>
      </c>
      <c r="W260" s="160">
        <v>84244</v>
      </c>
      <c r="X260" s="160">
        <v>9.3000000000000007</v>
      </c>
      <c r="Y260" s="160">
        <v>13.3</v>
      </c>
      <c r="Z260" s="160">
        <v>4.4557989999999998</v>
      </c>
      <c r="AA260" s="160">
        <v>3.1654749999999998</v>
      </c>
    </row>
    <row r="261" spans="1:27">
      <c r="A261">
        <v>24</v>
      </c>
      <c r="B261" t="s">
        <v>7</v>
      </c>
      <c r="C261" t="s">
        <v>6</v>
      </c>
      <c r="D261">
        <v>2016</v>
      </c>
      <c r="E261" s="161">
        <v>3.37418</v>
      </c>
      <c r="F261" s="162">
        <v>6300000000</v>
      </c>
      <c r="G261" s="160">
        <v>0.28000000000000003</v>
      </c>
      <c r="H261" s="161">
        <v>74.528300000000002</v>
      </c>
      <c r="I261" s="160">
        <v>53.9</v>
      </c>
      <c r="J261" s="160">
        <v>3.693867</v>
      </c>
      <c r="K261" s="160">
        <v>9.1363579999999995</v>
      </c>
      <c r="L261" s="160">
        <v>3.1356679999999999</v>
      </c>
      <c r="M261" s="160">
        <v>-1.002939</v>
      </c>
      <c r="N261" s="160">
        <v>5.7268480000000004</v>
      </c>
      <c r="O261" s="160">
        <v>4.3040649999999996</v>
      </c>
      <c r="P261" s="160">
        <v>0.53062830000000005</v>
      </c>
      <c r="Q261" s="160">
        <v>5.0059579999999997</v>
      </c>
      <c r="R261" s="160">
        <v>4.7273880000000004</v>
      </c>
      <c r="S261" s="160">
        <v>8.5595110000000005</v>
      </c>
      <c r="T261" s="227">
        <v>-1.2378743999999999</v>
      </c>
      <c r="U261" s="160">
        <v>0.5</v>
      </c>
      <c r="V261" s="160">
        <v>1.1000000000000001</v>
      </c>
      <c r="W261" s="160">
        <v>85799</v>
      </c>
      <c r="X261" s="160">
        <v>10</v>
      </c>
      <c r="Y261" s="160">
        <v>13.4</v>
      </c>
      <c r="Z261" s="160">
        <v>4.4500609999999998</v>
      </c>
      <c r="AA261" s="160">
        <v>3.1945830000000002</v>
      </c>
    </row>
    <row r="262" spans="1:27">
      <c r="A262">
        <v>24</v>
      </c>
      <c r="B262" t="s">
        <v>7</v>
      </c>
      <c r="C262" t="s">
        <v>6</v>
      </c>
      <c r="D262">
        <v>2017</v>
      </c>
      <c r="E262" s="161">
        <v>2.8327300000000002</v>
      </c>
      <c r="F262" s="162">
        <v>6000000000</v>
      </c>
      <c r="G262" s="160">
        <v>0.28000000000000003</v>
      </c>
      <c r="H262" s="161">
        <v>74.351200000000006</v>
      </c>
      <c r="I262" s="160">
        <v>53.936</v>
      </c>
      <c r="J262" s="160">
        <v>3.716008</v>
      </c>
      <c r="K262" s="160">
        <v>9.2209040000000009</v>
      </c>
      <c r="L262" s="160">
        <v>3.0722299999999998</v>
      </c>
      <c r="M262" s="160">
        <v>-0.84583229999999998</v>
      </c>
      <c r="N262" s="160">
        <v>5.7525729999999999</v>
      </c>
      <c r="O262" s="160">
        <v>4.423648</v>
      </c>
      <c r="P262" s="160">
        <v>0.58778660000000005</v>
      </c>
      <c r="Q262" s="160">
        <v>4.3228070000000001</v>
      </c>
      <c r="R262" s="160">
        <v>4.7184990000000004</v>
      </c>
      <c r="S262" s="160">
        <v>8.5306569999999997</v>
      </c>
      <c r="T262" s="227">
        <v>-0.84397005999999997</v>
      </c>
      <c r="U262" s="160">
        <v>0.60000001999999997</v>
      </c>
      <c r="V262" s="160">
        <v>1.1000000000000001</v>
      </c>
      <c r="W262" s="160">
        <v>86361</v>
      </c>
      <c r="X262" s="160">
        <v>10.8</v>
      </c>
      <c r="Y262" s="160">
        <v>14</v>
      </c>
      <c r="Z262" s="160">
        <v>4.4442820000000003</v>
      </c>
      <c r="AA262" s="160">
        <v>3.152736</v>
      </c>
    </row>
    <row r="263" spans="1:27">
      <c r="A263">
        <v>24</v>
      </c>
      <c r="B263" t="s">
        <v>7</v>
      </c>
      <c r="C263" t="s">
        <v>6</v>
      </c>
      <c r="D263">
        <v>2018</v>
      </c>
      <c r="E263" s="161">
        <v>3.0162200000000001</v>
      </c>
      <c r="F263" s="162">
        <v>7300000000</v>
      </c>
      <c r="G263" s="160">
        <v>0.28000000000000003</v>
      </c>
      <c r="H263" s="161">
        <v>72.866500000000002</v>
      </c>
      <c r="I263" s="160">
        <v>53.997999999999998</v>
      </c>
      <c r="J263" s="160">
        <v>3.7208619999999999</v>
      </c>
      <c r="K263" s="160">
        <v>9.2861899999999995</v>
      </c>
      <c r="L263" s="160">
        <v>3.1534620000000002</v>
      </c>
      <c r="M263" s="160">
        <v>-0.86180259999999997</v>
      </c>
      <c r="N263" s="160">
        <v>5.7960580000000004</v>
      </c>
      <c r="O263" s="160">
        <v>4.420045</v>
      </c>
      <c r="P263" s="160">
        <v>0.47000360000000002</v>
      </c>
      <c r="Q263" s="160">
        <v>5.0440699999999996</v>
      </c>
      <c r="R263" s="160">
        <v>4.7004799999999998</v>
      </c>
      <c r="S263" s="160">
        <v>8.4871269999999992</v>
      </c>
      <c r="T263" s="227">
        <v>-0.71334987999999999</v>
      </c>
      <c r="U263" s="160">
        <v>0.40000001000000002</v>
      </c>
      <c r="V263" s="160">
        <v>1.1000000000000001</v>
      </c>
      <c r="W263" s="160">
        <v>86347</v>
      </c>
      <c r="X263" s="160">
        <v>10.7</v>
      </c>
      <c r="Y263" s="160">
        <v>11.1</v>
      </c>
      <c r="Z263" s="160">
        <v>4.4384069999999998</v>
      </c>
      <c r="AA263" s="160">
        <v>3.135494</v>
      </c>
    </row>
    <row r="264" spans="1:27">
      <c r="A264">
        <v>24</v>
      </c>
      <c r="B264" t="s">
        <v>7</v>
      </c>
      <c r="C264" t="s">
        <v>6</v>
      </c>
      <c r="D264">
        <v>2019</v>
      </c>
      <c r="E264" s="161">
        <v>2.9265400000000001</v>
      </c>
      <c r="F264" s="162">
        <v>7400000000</v>
      </c>
      <c r="G264" s="160">
        <v>0.26</v>
      </c>
      <c r="H264" s="161">
        <v>68.903800000000004</v>
      </c>
      <c r="I264" s="160">
        <v>54.084000000000003</v>
      </c>
      <c r="J264" s="160">
        <v>3.7400479999999998</v>
      </c>
      <c r="K264" s="160">
        <v>9.3299439999999993</v>
      </c>
      <c r="L264" s="160">
        <v>3.330775</v>
      </c>
      <c r="M264" s="160">
        <v>-0.99858590000000003</v>
      </c>
      <c r="N264" s="160">
        <v>5.8171109999999997</v>
      </c>
      <c r="O264" s="160">
        <v>4.4006030000000003</v>
      </c>
      <c r="P264" s="160">
        <v>0.3364722</v>
      </c>
      <c r="Q264" s="160">
        <v>6.060524</v>
      </c>
      <c r="R264" s="160">
        <v>4.70953</v>
      </c>
      <c r="S264" s="160">
        <v>8.4416159999999998</v>
      </c>
      <c r="T264" s="227">
        <v>-0.89159811</v>
      </c>
      <c r="U264" s="160">
        <v>0.5</v>
      </c>
      <c r="V264" s="160">
        <v>1.1000000000000001</v>
      </c>
      <c r="W264" s="160">
        <v>90179</v>
      </c>
      <c r="X264" s="160">
        <v>9.5</v>
      </c>
      <c r="Y264" s="160">
        <v>11.5</v>
      </c>
      <c r="Z264" s="160">
        <v>4.4331389999999997</v>
      </c>
      <c r="AA264" s="160">
        <v>3.157</v>
      </c>
    </row>
    <row r="265" spans="1:27">
      <c r="A265">
        <v>24</v>
      </c>
      <c r="B265" t="s">
        <v>7</v>
      </c>
      <c r="C265" t="s">
        <v>6</v>
      </c>
      <c r="D265">
        <v>2020</v>
      </c>
      <c r="E265" s="161">
        <v>1.4293400000000001</v>
      </c>
      <c r="F265" s="162">
        <v>3600000000</v>
      </c>
      <c r="G265" s="160">
        <v>0.27</v>
      </c>
      <c r="H265" s="161">
        <v>64.6143</v>
      </c>
      <c r="I265" s="160">
        <v>54.194000000000003</v>
      </c>
      <c r="J265" s="160">
        <v>3.7541989999999998</v>
      </c>
      <c r="K265" s="160">
        <v>9.2980129999999992</v>
      </c>
      <c r="L265" s="160">
        <v>3.3800080000000001</v>
      </c>
      <c r="M265" s="160">
        <v>-1.064791</v>
      </c>
      <c r="N265" s="160">
        <v>5.8464390000000002</v>
      </c>
      <c r="O265" s="160">
        <v>4.3307330000000004</v>
      </c>
      <c r="P265" s="160">
        <v>0.40546510000000002</v>
      </c>
      <c r="Q265" s="160">
        <v>6.3231039999999998</v>
      </c>
      <c r="R265" s="160">
        <v>4.7184990000000004</v>
      </c>
      <c r="S265" s="160">
        <v>8.3939339999999998</v>
      </c>
      <c r="T265" s="227">
        <v>-1.3470736999999999</v>
      </c>
      <c r="U265" s="160">
        <v>0.5</v>
      </c>
      <c r="V265" s="160">
        <v>1</v>
      </c>
      <c r="W265" s="160">
        <v>88583</v>
      </c>
      <c r="X265" s="160">
        <v>9.3000000000000007</v>
      </c>
      <c r="Y265" s="160">
        <v>11.9</v>
      </c>
      <c r="Z265" s="160">
        <v>4.4276309999999999</v>
      </c>
      <c r="AA265" s="160">
        <v>3.1822119999999998</v>
      </c>
    </row>
    <row r="266" spans="1:27">
      <c r="A266">
        <v>25</v>
      </c>
      <c r="B266" t="s">
        <v>5</v>
      </c>
      <c r="C266" t="s">
        <v>4</v>
      </c>
      <c r="D266">
        <v>2010</v>
      </c>
      <c r="E266" s="161">
        <v>0.126859</v>
      </c>
      <c r="F266" s="162">
        <v>630000000</v>
      </c>
      <c r="G266" s="160">
        <v>0.81</v>
      </c>
      <c r="H266" s="161">
        <v>62.403399999999998</v>
      </c>
      <c r="I266" s="160">
        <v>85.055999999999997</v>
      </c>
      <c r="J266" s="160">
        <v>2.772589</v>
      </c>
      <c r="K266" s="160">
        <v>10.78321</v>
      </c>
      <c r="L266" s="160">
        <v>3.1257950000000001</v>
      </c>
      <c r="M266" s="160">
        <v>0.68450999999999995</v>
      </c>
      <c r="N266" s="160">
        <v>6.2499750000000001</v>
      </c>
      <c r="O266" s="160">
        <v>4.4296259999999998</v>
      </c>
      <c r="P266" s="160">
        <v>1.974081</v>
      </c>
      <c r="Q266" s="160">
        <v>4.4103709999999996</v>
      </c>
      <c r="R266" s="160">
        <v>4.6051700000000002</v>
      </c>
      <c r="S266" s="160">
        <v>8.5552679999999999</v>
      </c>
      <c r="T266" s="227">
        <v>-0.84397005999999997</v>
      </c>
      <c r="U266" s="160">
        <v>0.40000001000000002</v>
      </c>
      <c r="V266" s="160">
        <v>1.3</v>
      </c>
      <c r="W266" s="160">
        <v>69105</v>
      </c>
      <c r="X266" s="160">
        <v>27.6</v>
      </c>
      <c r="Y266" s="160">
        <v>47.8</v>
      </c>
      <c r="Z266" s="160">
        <v>3.1364890000000001</v>
      </c>
      <c r="AA266" s="160">
        <v>3.799973</v>
      </c>
    </row>
    <row r="267" spans="1:27">
      <c r="A267">
        <v>25</v>
      </c>
      <c r="B267" t="s">
        <v>5</v>
      </c>
      <c r="C267" t="s">
        <v>4</v>
      </c>
      <c r="D267">
        <v>2011</v>
      </c>
      <c r="E267" s="161">
        <v>1.22329</v>
      </c>
      <c r="F267" s="162">
        <v>7000000000</v>
      </c>
      <c r="G267" s="160">
        <v>0.81</v>
      </c>
      <c r="H267" s="161">
        <v>63.7971</v>
      </c>
      <c r="I267" s="160">
        <v>85.296999999999997</v>
      </c>
      <c r="J267" s="160">
        <v>2.8033600000000001</v>
      </c>
      <c r="K267" s="160">
        <v>10.80681</v>
      </c>
      <c r="L267" s="160">
        <v>3.1880039999999998</v>
      </c>
      <c r="M267" s="160">
        <v>0.66299719999999995</v>
      </c>
      <c r="N267" s="160">
        <v>6.2538289999999996</v>
      </c>
      <c r="O267" s="160">
        <v>4.4260440000000001</v>
      </c>
      <c r="P267" s="160">
        <v>2.0281479999999998</v>
      </c>
      <c r="Q267" s="160">
        <v>4.8105570000000002</v>
      </c>
      <c r="R267" s="160">
        <v>4.6051700000000002</v>
      </c>
      <c r="S267" s="160">
        <v>8.5198230000000006</v>
      </c>
      <c r="T267" s="227">
        <v>-0.2484614</v>
      </c>
      <c r="U267" s="160">
        <v>0.40000001000000002</v>
      </c>
      <c r="V267" s="160">
        <v>1.4</v>
      </c>
      <c r="W267" s="160">
        <v>74573</v>
      </c>
      <c r="X267" s="160">
        <v>26.9</v>
      </c>
      <c r="Y267" s="160">
        <v>47</v>
      </c>
      <c r="Z267" s="160">
        <v>3.1440399999999999</v>
      </c>
      <c r="AA267" s="160">
        <v>3.815512</v>
      </c>
    </row>
    <row r="268" spans="1:27">
      <c r="A268">
        <v>25</v>
      </c>
      <c r="B268" t="s">
        <v>5</v>
      </c>
      <c r="C268" t="s">
        <v>4</v>
      </c>
      <c r="D268">
        <v>2012</v>
      </c>
      <c r="E268" s="161">
        <v>0.77737000000000001</v>
      </c>
      <c r="F268" s="162">
        <v>4300000000</v>
      </c>
      <c r="G268" s="160">
        <v>0.81</v>
      </c>
      <c r="H268" s="161">
        <v>61.261600000000001</v>
      </c>
      <c r="I268" s="160">
        <v>85.62</v>
      </c>
      <c r="J268" s="160">
        <v>2.8903720000000002</v>
      </c>
      <c r="K268" s="160">
        <v>10.795260000000001</v>
      </c>
      <c r="L268" s="160">
        <v>3.1396160000000002</v>
      </c>
      <c r="M268" s="160">
        <v>0.66294569999999997</v>
      </c>
      <c r="N268" s="160">
        <v>6.2461070000000003</v>
      </c>
      <c r="O268" s="160">
        <v>4.4343820000000003</v>
      </c>
      <c r="P268" s="160">
        <v>2.1041340000000002</v>
      </c>
      <c r="Q268" s="160">
        <v>4.2654930000000002</v>
      </c>
      <c r="R268" s="160">
        <v>4.5849679999999999</v>
      </c>
      <c r="S268" s="160">
        <v>8.4800710000000006</v>
      </c>
      <c r="T268" s="227">
        <v>-0.73396921000000004</v>
      </c>
      <c r="U268" s="160">
        <v>0.40000001000000002</v>
      </c>
      <c r="V268" s="160">
        <v>1.5</v>
      </c>
      <c r="W268" s="160">
        <v>74598</v>
      </c>
      <c r="X268" s="160">
        <v>26.3</v>
      </c>
      <c r="Y268" s="160">
        <v>46.9</v>
      </c>
      <c r="Z268" s="160">
        <v>3.1514359999999999</v>
      </c>
      <c r="AA268" s="160">
        <v>3.8774320000000002</v>
      </c>
    </row>
    <row r="269" spans="1:27">
      <c r="A269">
        <v>25</v>
      </c>
      <c r="B269" t="s">
        <v>5</v>
      </c>
      <c r="C269" t="s">
        <v>4</v>
      </c>
      <c r="D269">
        <v>2013</v>
      </c>
      <c r="E269" s="161">
        <v>0.25469599999999998</v>
      </c>
      <c r="F269" s="162">
        <v>1500000000</v>
      </c>
      <c r="G269" s="160">
        <v>0.81</v>
      </c>
      <c r="H269" s="161">
        <v>56.179299999999998</v>
      </c>
      <c r="I269" s="160">
        <v>85.936000000000007</v>
      </c>
      <c r="J269" s="160">
        <v>2.8903720000000002</v>
      </c>
      <c r="K269" s="160">
        <v>10.7981</v>
      </c>
      <c r="L269" s="160">
        <v>3.2144659999999998</v>
      </c>
      <c r="M269" s="160">
        <v>0.64558369999999998</v>
      </c>
      <c r="N269" s="160">
        <v>6.1944059999999999</v>
      </c>
      <c r="O269" s="160">
        <v>4.4272390000000001</v>
      </c>
      <c r="P269" s="160">
        <v>1.974081</v>
      </c>
      <c r="Q269" s="160">
        <v>3.765841</v>
      </c>
      <c r="R269" s="160">
        <v>4.5951199999999996</v>
      </c>
      <c r="S269" s="160">
        <v>8.4774860000000007</v>
      </c>
      <c r="T269" s="227">
        <v>-9.4310649999999996E-2</v>
      </c>
      <c r="U269" s="160">
        <v>0.40000001000000002</v>
      </c>
      <c r="V269" s="160">
        <v>1.6</v>
      </c>
      <c r="W269" s="160">
        <v>74963</v>
      </c>
      <c r="X269" s="160">
        <v>24.9</v>
      </c>
      <c r="Y269" s="160">
        <v>48.2</v>
      </c>
      <c r="Z269" s="160">
        <v>3.1599110000000001</v>
      </c>
      <c r="AA269" s="160">
        <v>3.8565100000000001</v>
      </c>
    </row>
    <row r="270" spans="1:27">
      <c r="A270">
        <v>25</v>
      </c>
      <c r="B270" t="s">
        <v>5</v>
      </c>
      <c r="C270" t="s">
        <v>4</v>
      </c>
      <c r="D270">
        <v>2014</v>
      </c>
      <c r="E270" s="161">
        <v>-1.0454300000000001</v>
      </c>
      <c r="F270" s="162">
        <v>-6000000000</v>
      </c>
      <c r="G270" s="160">
        <v>0.81</v>
      </c>
      <c r="H270" s="161">
        <v>56.575899999999997</v>
      </c>
      <c r="I270" s="160">
        <v>86.247</v>
      </c>
      <c r="J270" s="160">
        <v>2.8507060000000002</v>
      </c>
      <c r="K270" s="160">
        <v>10.81087</v>
      </c>
      <c r="L270" s="160">
        <v>3.137232</v>
      </c>
      <c r="M270" s="160">
        <v>0.64490190000000003</v>
      </c>
      <c r="N270" s="160">
        <v>6.1158919999999997</v>
      </c>
      <c r="O270" s="160">
        <v>4.4320060000000003</v>
      </c>
      <c r="P270" s="160">
        <v>1.856298</v>
      </c>
      <c r="Q270" s="160">
        <v>3.0349529999999998</v>
      </c>
      <c r="R270" s="160">
        <v>4.6151200000000001</v>
      </c>
      <c r="S270" s="160">
        <v>8.4900590000000005</v>
      </c>
      <c r="T270" s="227">
        <v>-0.35667496999999998</v>
      </c>
      <c r="U270" s="160">
        <v>0.40000001000000002</v>
      </c>
      <c r="V270" s="160">
        <v>1.4</v>
      </c>
      <c r="W270" s="160">
        <v>75670</v>
      </c>
      <c r="X270" s="160">
        <v>25.4</v>
      </c>
      <c r="Y270" s="160">
        <v>49.3</v>
      </c>
      <c r="Z270" s="160">
        <v>3.1698330000000001</v>
      </c>
      <c r="AA270" s="160">
        <v>3.8836240000000002</v>
      </c>
    </row>
    <row r="271" spans="1:27">
      <c r="A271">
        <v>25</v>
      </c>
      <c r="B271" t="s">
        <v>5</v>
      </c>
      <c r="C271" t="s">
        <v>4</v>
      </c>
      <c r="D271">
        <v>2015</v>
      </c>
      <c r="E271" s="161">
        <v>1.94889</v>
      </c>
      <c r="F271" s="162">
        <v>9800000000</v>
      </c>
      <c r="G271" s="160">
        <v>0.81</v>
      </c>
      <c r="H271" s="161">
        <v>55.495699999999999</v>
      </c>
      <c r="I271" s="160">
        <v>86.552999999999997</v>
      </c>
      <c r="J271" s="160">
        <v>2.895912</v>
      </c>
      <c r="K271" s="160">
        <v>10.84346</v>
      </c>
      <c r="L271" s="160">
        <v>3.1395729999999999</v>
      </c>
      <c r="M271" s="160">
        <v>0.69883099999999998</v>
      </c>
      <c r="N271" s="160">
        <v>6.0844990000000001</v>
      </c>
      <c r="O271" s="160">
        <v>4.4260440000000001</v>
      </c>
      <c r="P271" s="160">
        <v>1.902107</v>
      </c>
      <c r="Q271" s="160">
        <v>4.0253519999999998</v>
      </c>
      <c r="R271" s="160">
        <v>4.6347290000000001</v>
      </c>
      <c r="S271" s="160">
        <v>8.4479620000000004</v>
      </c>
      <c r="T271" s="227">
        <v>0</v>
      </c>
      <c r="U271" s="160">
        <v>0.40000001000000002</v>
      </c>
      <c r="V271" s="160">
        <v>1.4</v>
      </c>
      <c r="W271" s="160">
        <v>78165</v>
      </c>
      <c r="X271" s="160">
        <v>25.5</v>
      </c>
      <c r="Y271" s="160">
        <v>47.6</v>
      </c>
      <c r="Z271" s="160">
        <v>3.1804800000000002</v>
      </c>
      <c r="AA271" s="160">
        <v>3.949319</v>
      </c>
    </row>
    <row r="272" spans="1:27">
      <c r="A272">
        <v>25</v>
      </c>
      <c r="B272" t="s">
        <v>5</v>
      </c>
      <c r="C272" t="s">
        <v>4</v>
      </c>
      <c r="D272">
        <v>2016</v>
      </c>
      <c r="E272" s="161">
        <v>3.00854</v>
      </c>
      <c r="F272" s="162">
        <v>15000000000</v>
      </c>
      <c r="G272" s="160">
        <v>0.79</v>
      </c>
      <c r="H272" s="161">
        <v>54.512099999999997</v>
      </c>
      <c r="I272" s="160">
        <v>86.852000000000004</v>
      </c>
      <c r="J272" s="160">
        <v>2.8507060000000002</v>
      </c>
      <c r="K272" s="160">
        <v>10.85412</v>
      </c>
      <c r="L272" s="160">
        <v>3.202868</v>
      </c>
      <c r="M272" s="160">
        <v>0.70017249999999998</v>
      </c>
      <c r="N272" s="160">
        <v>6.1136819999999998</v>
      </c>
      <c r="O272" s="160">
        <v>4.423648</v>
      </c>
      <c r="P272" s="160">
        <v>1.931521</v>
      </c>
      <c r="Q272" s="160">
        <v>3.4594659999999999</v>
      </c>
      <c r="R272" s="160">
        <v>4.6443909999999997</v>
      </c>
      <c r="S272" s="160">
        <v>8.4255949999999995</v>
      </c>
      <c r="T272" s="227">
        <v>-0.49429631000000002</v>
      </c>
      <c r="U272" s="160">
        <v>0.5</v>
      </c>
      <c r="V272" s="160">
        <v>1.4</v>
      </c>
      <c r="W272" s="160">
        <v>80333</v>
      </c>
      <c r="X272" s="160">
        <v>26.4</v>
      </c>
      <c r="Y272" s="160">
        <v>48.4</v>
      </c>
      <c r="Z272" s="160">
        <v>3.193041</v>
      </c>
      <c r="AA272" s="160">
        <v>3.9298630000000001</v>
      </c>
    </row>
    <row r="273" spans="1:27">
      <c r="A273">
        <v>25</v>
      </c>
      <c r="B273" t="s">
        <v>5</v>
      </c>
      <c r="C273" t="s">
        <v>4</v>
      </c>
      <c r="D273">
        <v>2017</v>
      </c>
      <c r="E273" s="161">
        <v>4.5338399999999996</v>
      </c>
      <c r="F273" s="162">
        <v>24000000000</v>
      </c>
      <c r="G273" s="160">
        <v>0.78</v>
      </c>
      <c r="H273" s="161">
        <v>57.292299999999997</v>
      </c>
      <c r="I273" s="160">
        <v>87.146000000000001</v>
      </c>
      <c r="J273" s="160">
        <v>2.8848009999999999</v>
      </c>
      <c r="K273" s="160">
        <v>10.85873</v>
      </c>
      <c r="L273" s="160">
        <v>3.127418</v>
      </c>
      <c r="M273" s="160">
        <v>0.66557040000000001</v>
      </c>
      <c r="N273" s="160">
        <v>6.1290500000000003</v>
      </c>
      <c r="O273" s="160">
        <v>4.4248469999999998</v>
      </c>
      <c r="P273" s="160">
        <v>1.902107</v>
      </c>
      <c r="Q273" s="160">
        <v>3.830813</v>
      </c>
      <c r="R273" s="160">
        <v>4.6347290000000001</v>
      </c>
      <c r="S273" s="160">
        <v>8.3901260000000004</v>
      </c>
      <c r="T273" s="227">
        <v>0.32930374000000001</v>
      </c>
      <c r="U273" s="160">
        <v>0.5</v>
      </c>
      <c r="V273" s="160">
        <v>1.5</v>
      </c>
      <c r="W273" s="160">
        <v>83566</v>
      </c>
      <c r="X273" s="160">
        <v>25.4</v>
      </c>
      <c r="Y273" s="160">
        <v>46.8</v>
      </c>
      <c r="Z273" s="160">
        <v>3.2065160000000001</v>
      </c>
      <c r="AA273" s="160">
        <v>3.94739</v>
      </c>
    </row>
    <row r="274" spans="1:27">
      <c r="A274">
        <v>25</v>
      </c>
      <c r="B274" t="s">
        <v>5</v>
      </c>
      <c r="C274" t="s">
        <v>4</v>
      </c>
      <c r="D274">
        <v>2018</v>
      </c>
      <c r="E274" s="161">
        <v>-0.12953700000000001</v>
      </c>
      <c r="F274" s="162">
        <v>-710000000</v>
      </c>
      <c r="G274" s="160">
        <v>0.78</v>
      </c>
      <c r="H274" s="161">
        <v>61.049399999999999</v>
      </c>
      <c r="I274" s="160">
        <v>87.430999999999997</v>
      </c>
      <c r="J274" s="160">
        <v>2.9014220000000002</v>
      </c>
      <c r="K274" s="160">
        <v>10.865959999999999</v>
      </c>
      <c r="L274" s="160">
        <v>3.2216320000000001</v>
      </c>
      <c r="M274" s="160">
        <v>0.64992649999999996</v>
      </c>
      <c r="N274" s="160">
        <v>6.1569789999999998</v>
      </c>
      <c r="O274" s="160">
        <v>4.4224490000000003</v>
      </c>
      <c r="P274" s="160">
        <v>1.88707</v>
      </c>
      <c r="Q274" s="160">
        <v>2.9496880000000001</v>
      </c>
      <c r="R274" s="160">
        <v>4.6249729999999998</v>
      </c>
      <c r="S274" s="160">
        <v>8.2664000000000009</v>
      </c>
      <c r="T274" s="227">
        <v>0.63127177999999995</v>
      </c>
      <c r="U274" s="160">
        <v>0.40000001000000002</v>
      </c>
      <c r="V274" s="160">
        <v>1.4</v>
      </c>
      <c r="W274" s="160">
        <v>80130</v>
      </c>
      <c r="X274" s="160">
        <v>26.8</v>
      </c>
      <c r="Y274" s="160">
        <v>45.8</v>
      </c>
      <c r="Z274" s="160">
        <v>3.2181359999999999</v>
      </c>
      <c r="AA274" s="160">
        <v>3.9435220000000002</v>
      </c>
    </row>
    <row r="275" spans="1:27">
      <c r="A275">
        <v>25</v>
      </c>
      <c r="B275" t="s">
        <v>5</v>
      </c>
      <c r="C275" t="s">
        <v>4</v>
      </c>
      <c r="D275">
        <v>2019</v>
      </c>
      <c r="E275" s="161">
        <v>2.98448</v>
      </c>
      <c r="F275" s="162">
        <v>16000000000</v>
      </c>
      <c r="G275" s="160">
        <v>0.79</v>
      </c>
      <c r="H275" s="161">
        <v>60.046100000000003</v>
      </c>
      <c r="I275" s="160">
        <v>87.707999999999998</v>
      </c>
      <c r="J275" s="160">
        <v>2.9338570000000002</v>
      </c>
      <c r="K275" s="160">
        <v>10.881</v>
      </c>
      <c r="L275" s="160">
        <v>3.2058719999999998</v>
      </c>
      <c r="M275" s="160">
        <v>0.62663329999999995</v>
      </c>
      <c r="N275" s="160">
        <v>6.1820849999999998</v>
      </c>
      <c r="O275" s="160">
        <v>4.4612999999999996</v>
      </c>
      <c r="P275" s="160">
        <v>1.856298</v>
      </c>
      <c r="Q275" s="160">
        <v>3.9926810000000001</v>
      </c>
      <c r="R275" s="160">
        <v>4.6347290000000001</v>
      </c>
      <c r="S275" s="160">
        <v>8.1251750000000005</v>
      </c>
      <c r="T275" s="227">
        <v>0.33647220999999999</v>
      </c>
      <c r="U275" s="160">
        <v>0.40000001000000002</v>
      </c>
      <c r="V275" s="160">
        <v>1.3</v>
      </c>
      <c r="W275" s="160">
        <v>81185</v>
      </c>
      <c r="X275" s="160">
        <v>25</v>
      </c>
      <c r="Y275" s="160">
        <v>46.6</v>
      </c>
      <c r="Z275" s="160">
        <v>3.2283469999999999</v>
      </c>
      <c r="AA275" s="160">
        <v>3.9684029999999999</v>
      </c>
    </row>
    <row r="276" spans="1:27">
      <c r="A276">
        <v>25</v>
      </c>
      <c r="B276" t="s">
        <v>5</v>
      </c>
      <c r="C276" t="s">
        <v>4</v>
      </c>
      <c r="D276">
        <v>2020</v>
      </c>
      <c r="E276" s="161">
        <v>3.39683</v>
      </c>
      <c r="F276" s="162">
        <v>19000000000</v>
      </c>
      <c r="G276" s="160">
        <v>0.78</v>
      </c>
      <c r="H276" s="161">
        <v>56.0364</v>
      </c>
      <c r="I276" s="160">
        <v>87.977000000000004</v>
      </c>
      <c r="J276" s="160">
        <v>2.9549099999999999</v>
      </c>
      <c r="K276" s="160">
        <v>10.85352</v>
      </c>
      <c r="L276" s="160">
        <v>3.1633209999999998</v>
      </c>
      <c r="M276" s="160">
        <v>0.65128299999999995</v>
      </c>
      <c r="N276" s="160">
        <v>6.2225760000000001</v>
      </c>
      <c r="O276" s="160">
        <v>4.3054160000000001</v>
      </c>
      <c r="P276" s="160">
        <v>1.931521</v>
      </c>
      <c r="Q276" s="160">
        <v>3.5807370000000001</v>
      </c>
      <c r="R276" s="160">
        <v>4.510859</v>
      </c>
      <c r="S276" s="160">
        <v>7.960674</v>
      </c>
      <c r="T276" s="227">
        <v>-0.77652878000000003</v>
      </c>
      <c r="U276" s="160">
        <v>0.5</v>
      </c>
      <c r="V276" s="160">
        <v>1.5</v>
      </c>
      <c r="W276" s="160">
        <v>83884</v>
      </c>
      <c r="X276" s="160">
        <v>23.7</v>
      </c>
      <c r="Y276" s="160">
        <v>38.299999999999997</v>
      </c>
      <c r="Z276" s="160">
        <v>3.2355719999999999</v>
      </c>
      <c r="AA276" s="160">
        <v>4.0569889999999997</v>
      </c>
    </row>
    <row r="277" spans="1:27">
      <c r="A277">
        <v>26</v>
      </c>
      <c r="B277" t="s">
        <v>3</v>
      </c>
      <c r="C277" t="s">
        <v>2</v>
      </c>
      <c r="D277">
        <v>2010</v>
      </c>
      <c r="E277" s="161">
        <v>0.66776100000000005</v>
      </c>
      <c r="F277" s="162">
        <v>320000000</v>
      </c>
      <c r="G277" s="160">
        <v>0.52</v>
      </c>
      <c r="H277" s="161">
        <v>124.06399999999999</v>
      </c>
      <c r="I277" s="160">
        <v>52.658000000000001</v>
      </c>
      <c r="J277" s="160">
        <v>3.0445229999999999</v>
      </c>
      <c r="K277" s="160">
        <v>9.9254490000000004</v>
      </c>
      <c r="L277" s="160">
        <v>2.9482210000000002</v>
      </c>
      <c r="M277" s="160">
        <v>0.1485062</v>
      </c>
      <c r="N277" s="160">
        <v>5.981414</v>
      </c>
      <c r="O277" s="160">
        <v>4.3630990000000001</v>
      </c>
      <c r="P277" s="160">
        <v>1.7749520000000001</v>
      </c>
      <c r="Q277" s="160">
        <v>6.6902210000000002</v>
      </c>
      <c r="R277" s="160">
        <v>4.6051700000000002</v>
      </c>
      <c r="S277" s="160">
        <v>8.8417189999999994</v>
      </c>
      <c r="T277" s="227">
        <v>-3.4386481</v>
      </c>
      <c r="U277" s="160">
        <v>0.50000003000000004</v>
      </c>
      <c r="V277" s="160">
        <v>1.5</v>
      </c>
      <c r="W277" s="160">
        <v>14076</v>
      </c>
      <c r="X277" s="160">
        <v>37.799999999999997</v>
      </c>
      <c r="Y277" s="160">
        <v>22.4</v>
      </c>
      <c r="Z277" s="160">
        <v>4.6218899999999996</v>
      </c>
      <c r="AA277" s="160">
        <v>3.0007199999999998</v>
      </c>
    </row>
    <row r="278" spans="1:27">
      <c r="A278">
        <v>26</v>
      </c>
      <c r="B278" t="s">
        <v>3</v>
      </c>
      <c r="C278" t="s">
        <v>2</v>
      </c>
      <c r="D278">
        <v>2011</v>
      </c>
      <c r="E278" s="161">
        <v>1.71086</v>
      </c>
      <c r="F278" s="162">
        <v>880000000</v>
      </c>
      <c r="G278" s="160">
        <v>0.48</v>
      </c>
      <c r="H278" s="161">
        <v>137.137</v>
      </c>
      <c r="I278" s="160">
        <v>52.883000000000003</v>
      </c>
      <c r="J278" s="160">
        <v>3.0680529999999999</v>
      </c>
      <c r="K278" s="160">
        <v>9.9299060000000008</v>
      </c>
      <c r="L278" s="160">
        <v>2.916039</v>
      </c>
      <c r="M278" s="160">
        <v>0.26197959999999998</v>
      </c>
      <c r="N278" s="160">
        <v>5.9687080000000003</v>
      </c>
      <c r="O278" s="160">
        <v>4.3188199999999997</v>
      </c>
      <c r="P278" s="160">
        <v>2.0281479999999998</v>
      </c>
      <c r="Q278" s="160">
        <v>6.7145349999999997</v>
      </c>
      <c r="R278" s="160">
        <v>4.5951199999999996</v>
      </c>
      <c r="S278" s="160">
        <v>8.8213410000000003</v>
      </c>
      <c r="T278" s="227">
        <v>-2.3025850999999999</v>
      </c>
      <c r="U278" s="160">
        <v>0.40000002000000001</v>
      </c>
      <c r="V278" s="160">
        <v>1.5</v>
      </c>
      <c r="W278" s="160">
        <v>14352</v>
      </c>
      <c r="X278" s="160">
        <v>40.799999999999997</v>
      </c>
      <c r="Y278" s="160">
        <v>35.700000000000003</v>
      </c>
      <c r="Z278" s="160">
        <v>4.6239720000000002</v>
      </c>
      <c r="AA278" s="160">
        <v>2.9496880000000001</v>
      </c>
    </row>
    <row r="279" spans="1:27">
      <c r="A279">
        <v>26</v>
      </c>
      <c r="B279" t="s">
        <v>3</v>
      </c>
      <c r="C279" t="s">
        <v>2</v>
      </c>
      <c r="D279">
        <v>2012</v>
      </c>
      <c r="E279" s="161">
        <v>7.2645000000000001E-2</v>
      </c>
      <c r="F279" s="162">
        <v>34000000</v>
      </c>
      <c r="G279" s="160">
        <v>0.47</v>
      </c>
      <c r="H279" s="161">
        <v>139.05600000000001</v>
      </c>
      <c r="I279" s="160">
        <v>53.107999999999997</v>
      </c>
      <c r="J279" s="160">
        <v>3.113515</v>
      </c>
      <c r="K279" s="160">
        <v>9.8982189999999992</v>
      </c>
      <c r="L279" s="160">
        <v>2.74932</v>
      </c>
      <c r="M279" s="160">
        <v>0.37624229999999997</v>
      </c>
      <c r="N279" s="160">
        <v>6.0185930000000001</v>
      </c>
      <c r="O279" s="160">
        <v>4.3782699999999997</v>
      </c>
      <c r="P279" s="160">
        <v>2.24071</v>
      </c>
      <c r="Q279" s="160">
        <v>6.8988160000000001</v>
      </c>
      <c r="R279" s="160">
        <v>4.5643479999999998</v>
      </c>
      <c r="S279" s="160">
        <v>8.7144999999999992</v>
      </c>
      <c r="T279" s="227">
        <v>-1.1665222</v>
      </c>
      <c r="U279" s="160">
        <v>0.30000000999999998</v>
      </c>
      <c r="V279" s="160">
        <v>1.5</v>
      </c>
      <c r="W279" s="160">
        <v>14648</v>
      </c>
      <c r="X279" s="160">
        <v>43.1</v>
      </c>
      <c r="Y279" s="160">
        <v>42.1</v>
      </c>
      <c r="Z279" s="160">
        <v>4.6260899999999996</v>
      </c>
      <c r="AA279" s="160">
        <v>3.0056829999999999</v>
      </c>
    </row>
    <row r="280" spans="1:27">
      <c r="A280">
        <v>26</v>
      </c>
      <c r="B280" t="s">
        <v>3</v>
      </c>
      <c r="C280" t="s">
        <v>2</v>
      </c>
      <c r="D280">
        <v>2013</v>
      </c>
      <c r="E280" s="161">
        <v>0.21731600000000001</v>
      </c>
      <c r="F280" s="162">
        <v>100000000</v>
      </c>
      <c r="G280" s="160">
        <v>0.44</v>
      </c>
      <c r="H280" s="161">
        <v>140.79</v>
      </c>
      <c r="I280" s="160">
        <v>53.332000000000001</v>
      </c>
      <c r="J280" s="160">
        <v>3.113515</v>
      </c>
      <c r="K280" s="160">
        <v>9.8885869999999993</v>
      </c>
      <c r="L280" s="160">
        <v>2.781549</v>
      </c>
      <c r="M280" s="160">
        <v>0.38539839999999997</v>
      </c>
      <c r="N280" s="160">
        <v>5.9428000000000001</v>
      </c>
      <c r="O280" s="160">
        <v>3.931826</v>
      </c>
      <c r="P280" s="160">
        <v>2.2300140000000002</v>
      </c>
      <c r="Q280" s="160">
        <v>7.0324479999999996</v>
      </c>
      <c r="R280" s="160">
        <v>4.5432949999999996</v>
      </c>
      <c r="S280" s="160">
        <v>8.734159</v>
      </c>
      <c r="T280" s="227">
        <v>-3.0459179999999999E-2</v>
      </c>
      <c r="U280" s="160">
        <v>0.2</v>
      </c>
      <c r="V280" s="160">
        <v>1.5</v>
      </c>
      <c r="W280" s="160">
        <v>14541</v>
      </c>
      <c r="X280" s="160">
        <v>44.3</v>
      </c>
      <c r="Y280" s="160">
        <v>34.799999999999997</v>
      </c>
      <c r="Z280" s="160">
        <v>4.6277340000000002</v>
      </c>
      <c r="AA280" s="160">
        <v>3.113515</v>
      </c>
    </row>
    <row r="281" spans="1:27">
      <c r="A281">
        <v>26</v>
      </c>
      <c r="B281" t="s">
        <v>3</v>
      </c>
      <c r="C281" t="s">
        <v>2</v>
      </c>
      <c r="D281">
        <v>2014</v>
      </c>
      <c r="E281" s="161">
        <v>2.0587499999999999</v>
      </c>
      <c r="F281" s="162">
        <v>1000000000</v>
      </c>
      <c r="G281" s="160">
        <v>0.39</v>
      </c>
      <c r="H281" s="161">
        <v>141.15100000000001</v>
      </c>
      <c r="I281" s="160">
        <v>53.557000000000002</v>
      </c>
      <c r="J281" s="160">
        <v>3.0955780000000002</v>
      </c>
      <c r="K281" s="160">
        <v>9.9148580000000006</v>
      </c>
      <c r="L281" s="160">
        <v>2.8453740000000001</v>
      </c>
      <c r="M281" s="160">
        <v>0.33982380000000001</v>
      </c>
      <c r="N281" s="160">
        <v>5.7462030000000004</v>
      </c>
      <c r="O281" s="160">
        <v>4.4018290000000002</v>
      </c>
      <c r="P281" s="160">
        <v>2.140066</v>
      </c>
      <c r="Q281" s="160">
        <v>7.0131059999999996</v>
      </c>
      <c r="R281" s="160">
        <v>4.553877</v>
      </c>
      <c r="S281" s="160">
        <v>8.7747620000000008</v>
      </c>
      <c r="T281" s="227">
        <v>8.6177729999999994E-2</v>
      </c>
      <c r="U281" s="160">
        <v>0.2</v>
      </c>
      <c r="V281" s="160">
        <v>1.6</v>
      </c>
      <c r="W281" s="160">
        <v>14718</v>
      </c>
      <c r="X281" s="160">
        <v>42.2</v>
      </c>
      <c r="Y281" s="160">
        <v>36</v>
      </c>
      <c r="Z281" s="160">
        <v>4.628711</v>
      </c>
      <c r="AA281" s="160">
        <v>3.1311369999999998</v>
      </c>
    </row>
    <row r="282" spans="1:27">
      <c r="A282">
        <v>26</v>
      </c>
      <c r="B282" t="s">
        <v>3</v>
      </c>
      <c r="C282" t="s">
        <v>2</v>
      </c>
      <c r="D282">
        <v>2015</v>
      </c>
      <c r="E282" s="161">
        <v>4.0509700000000004</v>
      </c>
      <c r="F282" s="162">
        <v>1700000000</v>
      </c>
      <c r="G282" s="160">
        <v>0.36</v>
      </c>
      <c r="H282" s="161">
        <v>144.56700000000001</v>
      </c>
      <c r="I282" s="160">
        <v>53.780999999999999</v>
      </c>
      <c r="J282" s="160">
        <v>3.135494</v>
      </c>
      <c r="K282" s="160">
        <v>9.9377580000000005</v>
      </c>
      <c r="L282" s="160">
        <v>2.7707120000000001</v>
      </c>
      <c r="M282" s="160">
        <v>0.34720020000000001</v>
      </c>
      <c r="N282" s="160">
        <v>5.5568280000000003</v>
      </c>
      <c r="O282" s="160">
        <v>4.4566699999999999</v>
      </c>
      <c r="P282" s="160">
        <v>2.1633230000000001</v>
      </c>
      <c r="Q282" s="160">
        <v>7.041499</v>
      </c>
      <c r="R282" s="160">
        <v>4.6151200000000001</v>
      </c>
      <c r="S282" s="160">
        <v>8.7844259999999998</v>
      </c>
      <c r="T282" s="227">
        <v>-0.18720458000000001</v>
      </c>
      <c r="U282" s="160">
        <v>0.30000000999999998</v>
      </c>
      <c r="V282" s="160">
        <v>1.6</v>
      </c>
      <c r="W282" s="160">
        <v>15231</v>
      </c>
      <c r="X282" s="160">
        <v>44.2</v>
      </c>
      <c r="Y282" s="160">
        <v>54.1</v>
      </c>
      <c r="Z282" s="160">
        <v>4.6293360000000003</v>
      </c>
      <c r="AA282" s="160">
        <v>3.0633910000000002</v>
      </c>
    </row>
    <row r="283" spans="1:27">
      <c r="A283">
        <v>26</v>
      </c>
      <c r="B283" t="s">
        <v>3</v>
      </c>
      <c r="C283" t="s">
        <v>2</v>
      </c>
      <c r="D283">
        <v>2016</v>
      </c>
      <c r="E283" s="161">
        <v>3.2654100000000001</v>
      </c>
      <c r="F283" s="162">
        <v>1400000000</v>
      </c>
      <c r="G283" s="160">
        <v>0.36</v>
      </c>
      <c r="H283" s="161">
        <v>143.267</v>
      </c>
      <c r="I283" s="160">
        <v>54.02</v>
      </c>
      <c r="J283" s="160">
        <v>3.0955780000000002</v>
      </c>
      <c r="K283" s="160">
        <v>9.9669179999999997</v>
      </c>
      <c r="L283" s="160">
        <v>2.7104469999999998</v>
      </c>
      <c r="M283" s="160">
        <v>0.41402830000000002</v>
      </c>
      <c r="N283" s="160">
        <v>5.5254529999999997</v>
      </c>
      <c r="O283" s="160">
        <v>4.3280979999999998</v>
      </c>
      <c r="P283" s="160">
        <v>2.1633230000000001</v>
      </c>
      <c r="Q283" s="160">
        <v>7.1555520000000001</v>
      </c>
      <c r="R283" s="160">
        <v>4.6539599999999997</v>
      </c>
      <c r="S283" s="160">
        <v>8.7968290000000007</v>
      </c>
      <c r="T283" s="227">
        <v>-0.46058690000000002</v>
      </c>
      <c r="U283" s="160">
        <v>0.30000000999999998</v>
      </c>
      <c r="V283" s="160">
        <v>1.6</v>
      </c>
      <c r="W283" s="160">
        <v>15361</v>
      </c>
      <c r="X283" s="160">
        <v>47.2</v>
      </c>
      <c r="Y283" s="160">
        <v>55.5</v>
      </c>
      <c r="Z283" s="160">
        <v>4.6300970000000001</v>
      </c>
      <c r="AA283" s="160">
        <v>3.0445229999999999</v>
      </c>
    </row>
    <row r="284" spans="1:27">
      <c r="A284">
        <v>26</v>
      </c>
      <c r="B284" t="s">
        <v>3</v>
      </c>
      <c r="C284" t="s">
        <v>2</v>
      </c>
      <c r="D284">
        <v>2017</v>
      </c>
      <c r="E284" s="161">
        <v>2.48421</v>
      </c>
      <c r="F284" s="162">
        <v>1200000000</v>
      </c>
      <c r="G284" s="160">
        <v>0.36</v>
      </c>
      <c r="H284" s="161">
        <v>154.75800000000001</v>
      </c>
      <c r="I284" s="160">
        <v>54.273000000000003</v>
      </c>
      <c r="J284" s="160">
        <v>3.135494</v>
      </c>
      <c r="K284" s="160">
        <v>10.016719999999999</v>
      </c>
      <c r="L284" s="160">
        <v>2.7905509999999998</v>
      </c>
      <c r="M284" s="160">
        <v>0.43935109999999999</v>
      </c>
      <c r="N284" s="160">
        <v>5.5373340000000004</v>
      </c>
      <c r="O284" s="160">
        <v>4.4647579999999998</v>
      </c>
      <c r="P284" s="160">
        <v>2.2823820000000001</v>
      </c>
      <c r="Q284" s="160">
        <v>6.9312760000000004</v>
      </c>
      <c r="R284" s="160">
        <v>4.6634390000000003</v>
      </c>
      <c r="S284" s="160">
        <v>8.7788079999999997</v>
      </c>
      <c r="T284" s="227">
        <v>-0.73396921000000004</v>
      </c>
      <c r="U284" s="160">
        <v>0.40000001000000002</v>
      </c>
      <c r="V284" s="160">
        <v>1.6</v>
      </c>
      <c r="W284" s="160">
        <v>15837</v>
      </c>
      <c r="X284" s="160">
        <v>47.4</v>
      </c>
      <c r="Y284" s="160">
        <v>57.8</v>
      </c>
      <c r="Z284" s="160">
        <v>4.6309449999999996</v>
      </c>
      <c r="AA284" s="160">
        <v>2.9806189999999999</v>
      </c>
    </row>
    <row r="285" spans="1:27">
      <c r="A285">
        <v>26</v>
      </c>
      <c r="B285" t="s">
        <v>3</v>
      </c>
      <c r="C285" t="s">
        <v>2</v>
      </c>
      <c r="D285">
        <v>2018</v>
      </c>
      <c r="E285" s="161">
        <v>2.8649</v>
      </c>
      <c r="F285" s="162">
        <v>1500000000</v>
      </c>
      <c r="G285" s="160">
        <v>0.35</v>
      </c>
      <c r="H285" s="161">
        <v>161.05099999999999</v>
      </c>
      <c r="I285" s="160">
        <v>54.540999999999997</v>
      </c>
      <c r="J285" s="160">
        <v>3.1484529999999999</v>
      </c>
      <c r="K285" s="160">
        <v>10.055949999999999</v>
      </c>
      <c r="L285" s="160">
        <v>2.8864200000000002</v>
      </c>
      <c r="M285" s="160">
        <v>0.38539839999999997</v>
      </c>
      <c r="N285" s="160">
        <v>5.5174529999999997</v>
      </c>
      <c r="O285" s="160">
        <v>4.4379340000000003</v>
      </c>
      <c r="P285" s="160">
        <v>2.3125360000000001</v>
      </c>
      <c r="Q285" s="160">
        <v>7.3192690000000002</v>
      </c>
      <c r="R285" s="160">
        <v>4.6347290000000001</v>
      </c>
      <c r="S285" s="160">
        <v>8.7327960000000004</v>
      </c>
      <c r="T285" s="227">
        <v>-0.73396921000000004</v>
      </c>
      <c r="U285" s="160">
        <v>0.40000001000000002</v>
      </c>
      <c r="V285" s="160">
        <v>1.6</v>
      </c>
      <c r="W285" s="160">
        <v>16974</v>
      </c>
      <c r="X285" s="160">
        <v>46.8</v>
      </c>
      <c r="Y285" s="160">
        <v>58.9</v>
      </c>
      <c r="Z285" s="160">
        <v>4.6346509999999999</v>
      </c>
      <c r="AA285" s="160">
        <v>3.0252910000000002</v>
      </c>
    </row>
    <row r="286" spans="1:27">
      <c r="A286">
        <v>26</v>
      </c>
      <c r="B286" t="s">
        <v>3</v>
      </c>
      <c r="C286" t="s">
        <v>2</v>
      </c>
      <c r="D286">
        <v>2019</v>
      </c>
      <c r="E286" s="161">
        <v>3.99099</v>
      </c>
      <c r="F286" s="162">
        <v>2200000000</v>
      </c>
      <c r="G286" s="160">
        <v>0.38</v>
      </c>
      <c r="H286" s="161">
        <v>164.99700000000001</v>
      </c>
      <c r="I286" s="160">
        <v>54.822000000000003</v>
      </c>
      <c r="J286" s="160">
        <v>3.1738780000000002</v>
      </c>
      <c r="K286" s="160">
        <v>10.08344</v>
      </c>
      <c r="L286" s="160">
        <v>2.8014800000000002</v>
      </c>
      <c r="M286" s="160">
        <v>0.47461789999999998</v>
      </c>
      <c r="N286" s="160">
        <v>5.5093880000000004</v>
      </c>
      <c r="O286" s="160">
        <v>4.4750610000000002</v>
      </c>
      <c r="P286" s="160">
        <v>2.3223880000000001</v>
      </c>
      <c r="Q286" s="160">
        <v>7.24437</v>
      </c>
      <c r="R286" s="160">
        <v>4.6151200000000001</v>
      </c>
      <c r="S286" s="160">
        <v>8.964423</v>
      </c>
      <c r="T286" s="227">
        <v>-0.73396921000000004</v>
      </c>
      <c r="U286" s="160">
        <v>0.5</v>
      </c>
      <c r="V286" s="160">
        <v>1.8</v>
      </c>
      <c r="W286" s="160">
        <v>20938</v>
      </c>
      <c r="X286" s="160">
        <v>48</v>
      </c>
      <c r="Y286" s="160">
        <v>59.2</v>
      </c>
      <c r="Z286" s="160">
        <v>4.6416180000000002</v>
      </c>
      <c r="AA286" s="160">
        <v>3.039749</v>
      </c>
    </row>
    <row r="287" spans="1:27">
      <c r="A287">
        <v>26</v>
      </c>
      <c r="B287" t="s">
        <v>3</v>
      </c>
      <c r="C287" t="s">
        <v>2</v>
      </c>
      <c r="D287">
        <v>2020</v>
      </c>
      <c r="E287" s="161">
        <v>0.94834099999999999</v>
      </c>
      <c r="F287" s="162">
        <v>510000000</v>
      </c>
      <c r="G287" s="160">
        <v>0.34</v>
      </c>
      <c r="H287" s="161">
        <v>163.07499999999999</v>
      </c>
      <c r="I287" s="160">
        <v>55.118000000000002</v>
      </c>
      <c r="J287" s="160">
        <v>3.1986729999999999</v>
      </c>
      <c r="K287" s="160">
        <v>10.035030000000001</v>
      </c>
      <c r="L287" s="160">
        <v>2.817024</v>
      </c>
      <c r="M287" s="160">
        <v>0.45793109999999998</v>
      </c>
      <c r="N287" s="160">
        <v>5.5645199999999999</v>
      </c>
      <c r="O287" s="160">
        <v>4.4496849999999997</v>
      </c>
      <c r="P287" s="160">
        <v>2.292535</v>
      </c>
      <c r="Q287" s="160">
        <v>7.2972260000000002</v>
      </c>
      <c r="R287" s="160">
        <v>4.5951199999999996</v>
      </c>
      <c r="S287" s="160">
        <v>9.0033250000000002</v>
      </c>
      <c r="T287" s="227">
        <v>-0.73396921000000004</v>
      </c>
      <c r="U287" s="160">
        <v>0.2</v>
      </c>
      <c r="V287" s="160">
        <v>1.6</v>
      </c>
      <c r="W287" s="160">
        <v>15918</v>
      </c>
      <c r="X287" s="160">
        <v>46.2</v>
      </c>
      <c r="Y287" s="160">
        <v>59.3</v>
      </c>
      <c r="Z287" s="160">
        <v>4.6483160000000003</v>
      </c>
      <c r="AA287" s="160">
        <v>3.1223649999999998</v>
      </c>
    </row>
    <row r="288" spans="1:27">
      <c r="A288">
        <v>27</v>
      </c>
      <c r="B288" t="s">
        <v>1</v>
      </c>
      <c r="C288" t="s">
        <v>0</v>
      </c>
      <c r="D288">
        <v>2010</v>
      </c>
      <c r="E288" s="161">
        <v>2.3222299999999998</v>
      </c>
      <c r="F288" s="162">
        <v>2100000000</v>
      </c>
      <c r="G288" s="160">
        <v>0.28000000000000003</v>
      </c>
      <c r="H288" s="161">
        <v>145.50399999999999</v>
      </c>
      <c r="I288" s="160">
        <v>54.685000000000002</v>
      </c>
      <c r="J288" s="160">
        <v>2.9704139999999999</v>
      </c>
      <c r="K288" s="160">
        <v>9.5885099999999994</v>
      </c>
      <c r="L288" s="160">
        <v>2.6621459999999999</v>
      </c>
      <c r="M288" s="160">
        <v>-1.2578799999999999E-2</v>
      </c>
      <c r="N288" s="160">
        <v>6.1333979999999997</v>
      </c>
      <c r="O288" s="160">
        <v>4.4670569999999996</v>
      </c>
      <c r="P288" s="160">
        <v>1.6094379999999999</v>
      </c>
      <c r="Q288" s="160">
        <v>4.6111519999999997</v>
      </c>
      <c r="R288" s="160">
        <v>4.6051700000000002</v>
      </c>
      <c r="S288" s="160">
        <v>8.7737269999999992</v>
      </c>
      <c r="T288" s="227">
        <v>0.75480234999999996</v>
      </c>
      <c r="U288" s="160">
        <v>0.20000002</v>
      </c>
      <c r="V288" s="160">
        <v>1.7</v>
      </c>
      <c r="W288" s="160">
        <v>50834</v>
      </c>
      <c r="X288" s="160">
        <v>42.2</v>
      </c>
      <c r="Y288" s="160">
        <v>9.1</v>
      </c>
      <c r="Z288" s="160">
        <v>4.7194710000000004</v>
      </c>
      <c r="AA288" s="160">
        <v>2.332144</v>
      </c>
    </row>
    <row r="289" spans="1:27">
      <c r="A289">
        <v>27</v>
      </c>
      <c r="B289" t="s">
        <v>1</v>
      </c>
      <c r="C289" t="s">
        <v>0</v>
      </c>
      <c r="D289">
        <v>2011</v>
      </c>
      <c r="E289" s="161">
        <v>5.4476599999999999</v>
      </c>
      <c r="F289" s="162">
        <v>5400000000</v>
      </c>
      <c r="G289" s="160">
        <v>0.28000000000000003</v>
      </c>
      <c r="H289" s="161">
        <v>160.39599999999999</v>
      </c>
      <c r="I289" s="160">
        <v>54.42</v>
      </c>
      <c r="J289" s="160">
        <v>3.0204249999999999</v>
      </c>
      <c r="K289" s="160">
        <v>9.612527</v>
      </c>
      <c r="L289" s="160">
        <v>2.637413</v>
      </c>
      <c r="M289" s="160">
        <v>1.5987E-3</v>
      </c>
      <c r="N289" s="160">
        <v>6.1717000000000004</v>
      </c>
      <c r="O289" s="160">
        <v>4.4612999999999996</v>
      </c>
      <c r="P289" s="160">
        <v>1.5475620000000001</v>
      </c>
      <c r="Q289" s="160">
        <v>6.8377619999999997</v>
      </c>
      <c r="R289" s="160">
        <v>4.6151200000000001</v>
      </c>
      <c r="S289" s="160">
        <v>8.7629900000000003</v>
      </c>
      <c r="T289" s="227">
        <v>-6.8397879999999994E-2</v>
      </c>
      <c r="U289" s="160">
        <v>0.30000000999999998</v>
      </c>
      <c r="V289" s="160">
        <v>1.6</v>
      </c>
      <c r="W289" s="160">
        <v>49517</v>
      </c>
      <c r="X289" s="160">
        <v>41.8</v>
      </c>
      <c r="Y289" s="160">
        <v>10.9</v>
      </c>
      <c r="Z289" s="160">
        <v>4.7208269999999999</v>
      </c>
      <c r="AA289" s="160">
        <v>2.3418060000000001</v>
      </c>
    </row>
    <row r="290" spans="1:27">
      <c r="A290">
        <v>27</v>
      </c>
      <c r="B290" t="s">
        <v>1</v>
      </c>
      <c r="C290" t="s">
        <v>0</v>
      </c>
      <c r="D290">
        <v>2012</v>
      </c>
      <c r="E290" s="161">
        <v>1.87551</v>
      </c>
      <c r="F290" s="162">
        <v>1800000000</v>
      </c>
      <c r="G290" s="160">
        <v>0.28000000000000003</v>
      </c>
      <c r="H290" s="161">
        <v>166.97300000000001</v>
      </c>
      <c r="I290" s="160">
        <v>54.28</v>
      </c>
      <c r="J290" s="160">
        <v>3.0680529999999999</v>
      </c>
      <c r="K290" s="160">
        <v>9.6263959999999997</v>
      </c>
      <c r="L290" s="160">
        <v>2.4530720000000001</v>
      </c>
      <c r="M290" s="160">
        <v>0.13932710000000001</v>
      </c>
      <c r="N290" s="160">
        <v>6.1964439999999996</v>
      </c>
      <c r="O290" s="160">
        <v>4.4750610000000002</v>
      </c>
      <c r="P290" s="160">
        <v>1.3862939999999999</v>
      </c>
      <c r="Q290" s="160">
        <v>6.7086940000000004</v>
      </c>
      <c r="R290" s="160">
        <v>4.5747109999999997</v>
      </c>
      <c r="S290" s="160">
        <v>8.7052949999999996</v>
      </c>
      <c r="T290" s="227">
        <v>-0.89159811</v>
      </c>
      <c r="U290" s="160">
        <v>0.40000001000000002</v>
      </c>
      <c r="V290" s="160">
        <v>1.5</v>
      </c>
      <c r="W290" s="160">
        <v>43835</v>
      </c>
      <c r="X290" s="160">
        <v>44.2</v>
      </c>
      <c r="Y290" s="160">
        <v>13.4</v>
      </c>
      <c r="Z290" s="160">
        <v>4.7225270000000004</v>
      </c>
      <c r="AA290" s="160">
        <v>2.351375</v>
      </c>
    </row>
    <row r="291" spans="1:27">
      <c r="A291">
        <v>27</v>
      </c>
      <c r="B291" t="s">
        <v>1</v>
      </c>
      <c r="C291" t="s">
        <v>0</v>
      </c>
      <c r="D291">
        <v>2013</v>
      </c>
      <c r="E291" s="161">
        <v>1.01267</v>
      </c>
      <c r="F291" s="162">
        <v>1000000000</v>
      </c>
      <c r="G291" s="160">
        <v>0.28999999999999998</v>
      </c>
      <c r="H291" s="161">
        <v>169.08</v>
      </c>
      <c r="I291" s="160">
        <v>54.14</v>
      </c>
      <c r="J291" s="160">
        <v>3.0680529999999999</v>
      </c>
      <c r="K291" s="160">
        <v>9.6323279999999993</v>
      </c>
      <c r="L291" s="160">
        <v>2.4658090000000001</v>
      </c>
      <c r="M291" s="160">
        <v>0.1834876</v>
      </c>
      <c r="N291" s="160">
        <v>6.190315</v>
      </c>
      <c r="O291" s="160">
        <v>4.4438269999999997</v>
      </c>
      <c r="P291" s="160">
        <v>1.5040770000000001</v>
      </c>
      <c r="Q291" s="160">
        <v>6.1599409999999999</v>
      </c>
      <c r="R291" s="160">
        <v>4.6051700000000002</v>
      </c>
      <c r="S291" s="160">
        <v>8.7342919999999999</v>
      </c>
      <c r="T291" s="227">
        <v>-1.7147983</v>
      </c>
      <c r="U291" s="160">
        <v>0.5</v>
      </c>
      <c r="V291" s="160">
        <v>1.4</v>
      </c>
      <c r="W291" s="160">
        <v>43909</v>
      </c>
      <c r="X291" s="160">
        <v>45.8</v>
      </c>
      <c r="Y291" s="160">
        <v>10.8</v>
      </c>
      <c r="Z291" s="160">
        <v>4.7236019999999996</v>
      </c>
      <c r="AA291" s="160">
        <v>2.370244</v>
      </c>
    </row>
    <row r="292" spans="1:27">
      <c r="A292">
        <v>27</v>
      </c>
      <c r="B292" t="s">
        <v>1</v>
      </c>
      <c r="C292" t="s">
        <v>0</v>
      </c>
      <c r="D292">
        <v>2014</v>
      </c>
      <c r="E292" s="161">
        <v>-0.35680299999999998</v>
      </c>
      <c r="F292" s="162">
        <v>-360000000</v>
      </c>
      <c r="G292" s="160">
        <v>0.28999999999999998</v>
      </c>
      <c r="H292" s="161">
        <v>164.95</v>
      </c>
      <c r="I292" s="160">
        <v>54</v>
      </c>
      <c r="J292" s="160">
        <v>3.0204249999999999</v>
      </c>
      <c r="K292" s="160">
        <v>9.6580720000000007</v>
      </c>
      <c r="L292" s="160">
        <v>2.526049</v>
      </c>
      <c r="M292" s="160">
        <v>0.1150236</v>
      </c>
      <c r="N292" s="160">
        <v>6.1841489999999997</v>
      </c>
      <c r="O292" s="160">
        <v>4.5075570000000003</v>
      </c>
      <c r="P292" s="160">
        <v>1.568616</v>
      </c>
      <c r="Q292" s="160">
        <v>5.8905390000000004</v>
      </c>
      <c r="R292" s="160">
        <v>4.6151200000000001</v>
      </c>
      <c r="S292" s="160">
        <v>8.7498609999999992</v>
      </c>
      <c r="T292" s="227">
        <v>-1.3862943999999999</v>
      </c>
      <c r="U292" s="160">
        <v>0.5</v>
      </c>
      <c r="V292" s="160">
        <v>1</v>
      </c>
      <c r="W292" s="160">
        <v>42938</v>
      </c>
      <c r="X292" s="160">
        <v>42</v>
      </c>
      <c r="Y292" s="160">
        <v>10.4</v>
      </c>
      <c r="Z292" s="160">
        <v>4.7247380000000003</v>
      </c>
      <c r="AA292" s="160">
        <v>2.501436</v>
      </c>
    </row>
    <row r="293" spans="1:27">
      <c r="A293">
        <v>27</v>
      </c>
      <c r="B293" t="s">
        <v>1</v>
      </c>
      <c r="C293" t="s">
        <v>0</v>
      </c>
      <c r="D293">
        <v>2015</v>
      </c>
      <c r="E293" s="161">
        <v>1.7048700000000001</v>
      </c>
      <c r="F293" s="162">
        <v>1500000000</v>
      </c>
      <c r="G293" s="160">
        <v>0.28999999999999998</v>
      </c>
      <c r="H293" s="161">
        <v>165.94</v>
      </c>
      <c r="I293" s="160">
        <v>53.889000000000003</v>
      </c>
      <c r="J293" s="160">
        <v>3.0726930000000001</v>
      </c>
      <c r="K293" s="160">
        <v>9.7076010000000004</v>
      </c>
      <c r="L293" s="160">
        <v>2.5713900000000001</v>
      </c>
      <c r="M293" s="160">
        <v>0.16847619999999999</v>
      </c>
      <c r="N293" s="160">
        <v>6.1569789999999998</v>
      </c>
      <c r="O293" s="160">
        <v>4.4624540000000001</v>
      </c>
      <c r="P293" s="160">
        <v>1.6094379999999999</v>
      </c>
      <c r="Q293" s="160">
        <v>6.6393529999999998</v>
      </c>
      <c r="R293" s="160">
        <v>4.5747109999999997</v>
      </c>
      <c r="S293" s="160">
        <v>8.7741439999999997</v>
      </c>
      <c r="T293" s="227">
        <v>-0.2484614</v>
      </c>
      <c r="U293" s="160">
        <v>0.5</v>
      </c>
      <c r="V293" s="160">
        <v>1.1000000000000001</v>
      </c>
      <c r="W293" s="160">
        <v>44737</v>
      </c>
      <c r="X293" s="160">
        <v>42.4</v>
      </c>
      <c r="Y293" s="160">
        <v>14.9</v>
      </c>
      <c r="Z293" s="160">
        <v>4.7256429999999998</v>
      </c>
      <c r="AA293" s="160">
        <v>2.5952549999999999</v>
      </c>
    </row>
    <row r="294" spans="1:27">
      <c r="A294">
        <v>27</v>
      </c>
      <c r="B294" t="s">
        <v>1</v>
      </c>
      <c r="C294" t="s">
        <v>0</v>
      </c>
      <c r="D294">
        <v>2016</v>
      </c>
      <c r="E294" s="161">
        <v>5.2777099999999999</v>
      </c>
      <c r="F294" s="162">
        <v>4800000000</v>
      </c>
      <c r="G294" s="160">
        <v>0.28999999999999998</v>
      </c>
      <c r="H294" s="161">
        <v>167.952</v>
      </c>
      <c r="I294" s="160">
        <v>53.805999999999997</v>
      </c>
      <c r="J294" s="160">
        <v>3.0252910000000002</v>
      </c>
      <c r="K294" s="160">
        <v>9.7255979999999997</v>
      </c>
      <c r="L294" s="160">
        <v>2.606239</v>
      </c>
      <c r="M294" s="160">
        <v>0.19334390000000001</v>
      </c>
      <c r="N294" s="160">
        <v>6.0890449999999996</v>
      </c>
      <c r="O294" s="160">
        <v>4.4931210000000004</v>
      </c>
      <c r="P294" s="160">
        <v>1.6486590000000001</v>
      </c>
      <c r="Q294" s="160">
        <v>6.9279500000000001</v>
      </c>
      <c r="R294" s="160">
        <v>4.6728290000000001</v>
      </c>
      <c r="S294" s="160">
        <v>8.7790490000000005</v>
      </c>
      <c r="T294" s="227">
        <v>-0.55798099999999995</v>
      </c>
      <c r="U294" s="160">
        <v>0.60000001999999997</v>
      </c>
      <c r="V294" s="160">
        <v>1.1000000000000001</v>
      </c>
      <c r="W294" s="160">
        <v>45547</v>
      </c>
      <c r="X294" s="160">
        <v>42.5</v>
      </c>
      <c r="Y294" s="160">
        <v>23</v>
      </c>
      <c r="Z294" s="160">
        <v>4.726972</v>
      </c>
      <c r="AA294" s="160">
        <v>2.5726119999999999</v>
      </c>
    </row>
    <row r="295" spans="1:27">
      <c r="A295">
        <v>27</v>
      </c>
      <c r="B295" t="s">
        <v>1</v>
      </c>
      <c r="C295" t="s">
        <v>0</v>
      </c>
      <c r="D295">
        <v>2017</v>
      </c>
      <c r="E295" s="161">
        <v>4.3998600000000003</v>
      </c>
      <c r="F295" s="162">
        <v>4200000000</v>
      </c>
      <c r="G295" s="160">
        <v>0.28999999999999998</v>
      </c>
      <c r="H295" s="161">
        <v>171.946</v>
      </c>
      <c r="I295" s="160">
        <v>53.750999999999998</v>
      </c>
      <c r="J295" s="160">
        <v>3.0680529999999999</v>
      </c>
      <c r="K295" s="160">
        <v>9.7523920000000004</v>
      </c>
      <c r="L295" s="160">
        <v>2.6210390000000001</v>
      </c>
      <c r="M295" s="160">
        <v>0.1898763</v>
      </c>
      <c r="N295" s="160">
        <v>6.1158919999999997</v>
      </c>
      <c r="O295" s="160">
        <v>4.4841319999999998</v>
      </c>
      <c r="P295" s="160">
        <v>1.589235</v>
      </c>
      <c r="Q295" s="160">
        <v>7.2625580000000003</v>
      </c>
      <c r="R295" s="160">
        <v>4.7184990000000004</v>
      </c>
      <c r="S295" s="160">
        <v>8.7168930000000007</v>
      </c>
      <c r="T295" s="227">
        <v>-0.86750059999999996</v>
      </c>
      <c r="U295" s="160">
        <v>0.5</v>
      </c>
      <c r="V295" s="160">
        <v>1.2</v>
      </c>
      <c r="W295" s="160">
        <v>47036</v>
      </c>
      <c r="X295" s="160">
        <v>42.9</v>
      </c>
      <c r="Y295" s="160">
        <v>29.8</v>
      </c>
      <c r="Z295" s="160">
        <v>4.728529</v>
      </c>
      <c r="AA295" s="160">
        <v>2.5176959999999999</v>
      </c>
    </row>
    <row r="296" spans="1:27">
      <c r="A296">
        <v>27</v>
      </c>
      <c r="B296" t="s">
        <v>1</v>
      </c>
      <c r="C296" t="s">
        <v>0</v>
      </c>
      <c r="D296">
        <v>2018</v>
      </c>
      <c r="E296" s="161">
        <v>2.1126999999999998</v>
      </c>
      <c r="F296" s="162">
        <v>2300000000</v>
      </c>
      <c r="G296" s="160">
        <v>0.28999999999999998</v>
      </c>
      <c r="H296" s="161">
        <v>174.77199999999999</v>
      </c>
      <c r="I296" s="160">
        <v>53.725999999999999</v>
      </c>
      <c r="J296" s="160">
        <v>3.0819100000000001</v>
      </c>
      <c r="K296" s="160">
        <v>9.7908229999999996</v>
      </c>
      <c r="L296" s="160">
        <v>2.6963149999999998</v>
      </c>
      <c r="M296" s="160">
        <v>0.17344899999999999</v>
      </c>
      <c r="N296" s="160">
        <v>6.1180969999999997</v>
      </c>
      <c r="O296" s="160">
        <v>4.4875119999999997</v>
      </c>
      <c r="P296" s="160">
        <v>1.5475620000000001</v>
      </c>
      <c r="Q296" s="160">
        <v>7.2604519999999999</v>
      </c>
      <c r="R296" s="160">
        <v>4.7361979999999999</v>
      </c>
      <c r="S296" s="160">
        <v>8.6271660000000008</v>
      </c>
      <c r="T296" s="227">
        <v>-1.2729657000000001</v>
      </c>
      <c r="U296" s="160">
        <v>0.60000001999999997</v>
      </c>
      <c r="V296" s="160">
        <v>1.3</v>
      </c>
      <c r="W296" s="160">
        <v>49438</v>
      </c>
      <c r="X296" s="160">
        <v>43</v>
      </c>
      <c r="Y296" s="160">
        <v>36.299999999999997</v>
      </c>
      <c r="Z296" s="160">
        <v>4.7299160000000002</v>
      </c>
      <c r="AA296" s="160">
        <v>2.5176959999999999</v>
      </c>
    </row>
    <row r="297" spans="1:27">
      <c r="A297">
        <v>27</v>
      </c>
      <c r="B297" t="s">
        <v>1</v>
      </c>
      <c r="C297" t="s">
        <v>0</v>
      </c>
      <c r="D297">
        <v>2019</v>
      </c>
      <c r="E297" s="161">
        <v>2.15395</v>
      </c>
      <c r="F297" s="162">
        <v>2300000000</v>
      </c>
      <c r="G297" s="160">
        <v>0.28999999999999998</v>
      </c>
      <c r="H297" s="161">
        <v>169.59899999999999</v>
      </c>
      <c r="I297" s="160">
        <v>53.728999999999999</v>
      </c>
      <c r="J297" s="160">
        <v>3.113515</v>
      </c>
      <c r="K297" s="160">
        <v>9.8119750000000003</v>
      </c>
      <c r="L297" s="160">
        <v>2.610217</v>
      </c>
      <c r="M297" s="160">
        <v>0.29169899999999999</v>
      </c>
      <c r="N297" s="160">
        <v>6.1202969999999999</v>
      </c>
      <c r="O297" s="160">
        <v>4.5130549999999996</v>
      </c>
      <c r="P297" s="160">
        <v>2.1162559999999999</v>
      </c>
      <c r="Q297" s="160">
        <v>7.3528260000000003</v>
      </c>
      <c r="R297" s="160">
        <v>4.7449320000000004</v>
      </c>
      <c r="S297" s="160">
        <v>8.5285860000000007</v>
      </c>
      <c r="T297" s="227">
        <v>-0.40047753000000003</v>
      </c>
      <c r="U297" s="160">
        <v>0.5</v>
      </c>
      <c r="V297" s="160">
        <v>1.3</v>
      </c>
      <c r="W297" s="160">
        <v>48995</v>
      </c>
      <c r="X297" s="160">
        <v>44</v>
      </c>
      <c r="Y297" s="160">
        <v>38.5</v>
      </c>
      <c r="Z297" s="160">
        <v>4.7312649999999996</v>
      </c>
      <c r="AA297" s="160">
        <v>2.867899</v>
      </c>
    </row>
    <row r="298" spans="1:27">
      <c r="A298">
        <v>27</v>
      </c>
      <c r="B298" t="s">
        <v>1</v>
      </c>
      <c r="C298" t="s">
        <v>0</v>
      </c>
      <c r="D298">
        <v>2020</v>
      </c>
      <c r="E298" s="161">
        <v>-1.05976</v>
      </c>
      <c r="F298" s="162">
        <v>-1100000000</v>
      </c>
      <c r="G298" s="160">
        <v>0.28999999999999998</v>
      </c>
      <c r="H298" s="161">
        <v>158.75700000000001</v>
      </c>
      <c r="I298" s="160">
        <v>53.76</v>
      </c>
      <c r="J298" s="160">
        <v>3.135494</v>
      </c>
      <c r="K298" s="160">
        <v>9.7849240000000002</v>
      </c>
      <c r="L298" s="160">
        <v>2.5420739999999999</v>
      </c>
      <c r="M298" s="160">
        <v>0.29095169999999998</v>
      </c>
      <c r="N298" s="160">
        <v>6.0935699999999997</v>
      </c>
      <c r="O298" s="160">
        <v>4.528289</v>
      </c>
      <c r="P298" s="160">
        <v>2.332144</v>
      </c>
      <c r="Q298" s="160">
        <v>7.1674239999999996</v>
      </c>
      <c r="R298" s="160">
        <v>4.7874920000000003</v>
      </c>
      <c r="S298" s="160">
        <v>8.4192149999999994</v>
      </c>
      <c r="T298" s="227">
        <v>0.47201061</v>
      </c>
      <c r="U298" s="160">
        <v>0.5</v>
      </c>
      <c r="V298" s="160">
        <v>1.2</v>
      </c>
      <c r="W298" s="160">
        <v>51486</v>
      </c>
      <c r="X298" s="160">
        <v>42.7</v>
      </c>
      <c r="Y298" s="160">
        <v>45.3</v>
      </c>
      <c r="Z298" s="160">
        <v>4.7321200000000001</v>
      </c>
      <c r="AA298" s="160">
        <v>2.867899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EAF2-94C7-9541-B010-529960C3BB41}">
  <dimension ref="A1:X298"/>
  <sheetViews>
    <sheetView topLeftCell="R1" zoomScale="84" workbookViewId="0">
      <selection activeCell="E14" sqref="E14"/>
    </sheetView>
  </sheetViews>
  <sheetFormatPr baseColWidth="10" defaultRowHeight="15"/>
  <sheetData>
    <row r="1" spans="1:24" ht="16">
      <c r="A1" s="163" t="s">
        <v>90</v>
      </c>
      <c r="B1" s="164" t="s">
        <v>89</v>
      </c>
      <c r="C1" s="164" t="s">
        <v>88</v>
      </c>
      <c r="D1" s="165" t="s">
        <v>87</v>
      </c>
      <c r="E1" s="166" t="s">
        <v>64</v>
      </c>
      <c r="F1" s="167" t="s">
        <v>79</v>
      </c>
      <c r="G1" s="166" t="s">
        <v>62</v>
      </c>
      <c r="H1" s="168" t="s">
        <v>60</v>
      </c>
      <c r="I1" s="169" t="s">
        <v>77</v>
      </c>
      <c r="J1" s="170" t="s">
        <v>75</v>
      </c>
      <c r="K1" s="171" t="s">
        <v>73</v>
      </c>
      <c r="L1" s="172" t="s">
        <v>71</v>
      </c>
      <c r="M1" s="168" t="s">
        <v>105</v>
      </c>
      <c r="N1" s="173" t="s">
        <v>70</v>
      </c>
      <c r="O1" s="174" t="s">
        <v>67</v>
      </c>
      <c r="P1" s="167" t="s">
        <v>59</v>
      </c>
      <c r="Q1" s="175" t="s">
        <v>65</v>
      </c>
      <c r="R1" s="176" t="s">
        <v>64</v>
      </c>
      <c r="S1" s="177" t="s">
        <v>63</v>
      </c>
      <c r="T1" s="178" t="s">
        <v>62</v>
      </c>
      <c r="U1" s="178" t="s">
        <v>61</v>
      </c>
      <c r="V1" s="179" t="s">
        <v>60</v>
      </c>
      <c r="W1" s="180" t="s">
        <v>59</v>
      </c>
      <c r="X1" s="181" t="s">
        <v>58</v>
      </c>
    </row>
    <row r="2" spans="1:24">
      <c r="A2" s="182">
        <v>1</v>
      </c>
      <c r="B2" s="183" t="s">
        <v>52</v>
      </c>
      <c r="C2" s="183" t="s">
        <v>51</v>
      </c>
      <c r="D2" s="184">
        <v>2010</v>
      </c>
      <c r="E2" s="185">
        <v>24.445999</v>
      </c>
      <c r="F2" s="186">
        <v>2.0954000000000002</v>
      </c>
      <c r="G2" s="185">
        <v>562</v>
      </c>
      <c r="H2" s="187">
        <v>59.400002000000001</v>
      </c>
      <c r="I2" s="188">
        <v>79.900000000000006</v>
      </c>
      <c r="J2" s="186">
        <v>6.8</v>
      </c>
      <c r="K2" s="189">
        <v>1323.8</v>
      </c>
      <c r="L2" s="190">
        <v>1.6</v>
      </c>
      <c r="M2" s="191">
        <v>2.0999998999999998</v>
      </c>
      <c r="N2" s="192">
        <v>47157</v>
      </c>
      <c r="O2" s="193">
        <v>0.96</v>
      </c>
      <c r="P2" s="185">
        <v>7711.0054</v>
      </c>
      <c r="Q2" s="194">
        <v>41.5</v>
      </c>
      <c r="R2" s="195">
        <v>24.446000000000002</v>
      </c>
      <c r="S2" s="196">
        <f t="shared" ref="S2:S256" si="0">LN(R2)</f>
        <v>3.1964666033550713</v>
      </c>
      <c r="T2" s="197">
        <v>562</v>
      </c>
      <c r="U2" s="196">
        <f t="shared" ref="U2:U256" si="1">LN(T2)</f>
        <v>6.3315018498936908</v>
      </c>
      <c r="V2" s="198">
        <v>59.4</v>
      </c>
      <c r="W2" s="195">
        <v>7711.01</v>
      </c>
      <c r="X2" s="196">
        <f t="shared" ref="X2:X256" si="2">LN(W2)</f>
        <v>8.9504044566807774</v>
      </c>
    </row>
    <row r="3" spans="1:24">
      <c r="A3" s="199">
        <v>1</v>
      </c>
      <c r="B3" s="200" t="s">
        <v>52</v>
      </c>
      <c r="C3" s="200" t="s">
        <v>51</v>
      </c>
      <c r="D3" s="201">
        <v>2011</v>
      </c>
      <c r="E3" s="202">
        <v>25.948999000000001</v>
      </c>
      <c r="F3" s="203">
        <v>2.0348999999999999</v>
      </c>
      <c r="G3" s="202">
        <v>573</v>
      </c>
      <c r="H3" s="187">
        <v>56.700001</v>
      </c>
      <c r="I3" s="204">
        <v>81.5</v>
      </c>
      <c r="J3" s="203">
        <v>6.9</v>
      </c>
      <c r="K3" s="205">
        <v>1953.5</v>
      </c>
      <c r="L3" s="206">
        <v>1.6</v>
      </c>
      <c r="M3" s="191">
        <v>2.0999998999999998</v>
      </c>
      <c r="N3" s="192">
        <v>47178</v>
      </c>
      <c r="O3" s="193">
        <v>0.97</v>
      </c>
      <c r="P3" s="202">
        <v>7491.8657000000003</v>
      </c>
      <c r="Q3" s="207">
        <v>41.3</v>
      </c>
      <c r="R3" s="208">
        <v>25.949000000000002</v>
      </c>
      <c r="S3" s="209">
        <f t="shared" si="0"/>
        <v>3.2561330732239084</v>
      </c>
      <c r="T3" s="210">
        <v>573</v>
      </c>
      <c r="U3" s="209">
        <f t="shared" si="1"/>
        <v>6.3508857167147399</v>
      </c>
      <c r="V3" s="198">
        <v>56.7</v>
      </c>
      <c r="W3" s="208">
        <v>7491.87</v>
      </c>
      <c r="X3" s="209">
        <f t="shared" si="2"/>
        <v>8.9215737115714688</v>
      </c>
    </row>
    <row r="4" spans="1:24">
      <c r="A4" s="199">
        <v>1</v>
      </c>
      <c r="B4" s="200" t="s">
        <v>52</v>
      </c>
      <c r="C4" s="200" t="s">
        <v>51</v>
      </c>
      <c r="D4" s="201">
        <v>2012</v>
      </c>
      <c r="E4" s="202">
        <v>24.556999000000001</v>
      </c>
      <c r="F4" s="203">
        <v>2.1585000000000001</v>
      </c>
      <c r="G4" s="202">
        <v>579</v>
      </c>
      <c r="H4" s="187">
        <v>57.700001</v>
      </c>
      <c r="I4" s="204">
        <v>80</v>
      </c>
      <c r="J4" s="203">
        <v>7.9</v>
      </c>
      <c r="K4" s="205">
        <v>2036</v>
      </c>
      <c r="L4" s="206">
        <v>1.6</v>
      </c>
      <c r="M4" s="191">
        <v>2.0999998999999998</v>
      </c>
      <c r="N4" s="192">
        <v>47954</v>
      </c>
      <c r="O4" s="193">
        <v>0.95</v>
      </c>
      <c r="P4" s="202">
        <v>7107.8100999999997</v>
      </c>
      <c r="Q4" s="207">
        <v>42.9</v>
      </c>
      <c r="R4" s="208">
        <v>24.556999999999999</v>
      </c>
      <c r="S4" s="209">
        <f t="shared" si="0"/>
        <v>3.2009969459809091</v>
      </c>
      <c r="T4" s="210">
        <v>579</v>
      </c>
      <c r="U4" s="209">
        <f t="shared" si="1"/>
        <v>6.3613024775729956</v>
      </c>
      <c r="V4" s="198">
        <v>57.7</v>
      </c>
      <c r="W4" s="208">
        <v>7107.81</v>
      </c>
      <c r="X4" s="209">
        <f t="shared" si="2"/>
        <v>8.8689494584727075</v>
      </c>
    </row>
    <row r="5" spans="1:24">
      <c r="A5" s="199">
        <v>1</v>
      </c>
      <c r="B5" s="200" t="s">
        <v>52</v>
      </c>
      <c r="C5" s="200" t="s">
        <v>51</v>
      </c>
      <c r="D5" s="201">
        <v>2013</v>
      </c>
      <c r="E5" s="202">
        <v>23.832001000000002</v>
      </c>
      <c r="F5" s="203">
        <v>2.2054999999999998</v>
      </c>
      <c r="G5" s="202">
        <v>578</v>
      </c>
      <c r="H5" s="187">
        <v>57.700001</v>
      </c>
      <c r="I5" s="204">
        <v>79</v>
      </c>
      <c r="J5" s="203">
        <v>9.1</v>
      </c>
      <c r="K5" s="205">
        <v>2149.6999999999998</v>
      </c>
      <c r="L5" s="206">
        <v>1.6</v>
      </c>
      <c r="M5" s="191">
        <v>2.0999998999999998</v>
      </c>
      <c r="N5" s="192">
        <v>48925</v>
      </c>
      <c r="O5" s="193">
        <v>0.95</v>
      </c>
      <c r="P5" s="202">
        <v>6895.5370999999996</v>
      </c>
      <c r="Q5" s="207">
        <v>42.7</v>
      </c>
      <c r="R5" s="208">
        <v>23.832000000000001</v>
      </c>
      <c r="S5" s="209">
        <f t="shared" si="0"/>
        <v>3.1710292154109814</v>
      </c>
      <c r="T5" s="210">
        <v>578</v>
      </c>
      <c r="U5" s="209">
        <f t="shared" si="1"/>
        <v>6.3595738686723777</v>
      </c>
      <c r="V5" s="198">
        <v>57.7</v>
      </c>
      <c r="W5" s="208">
        <v>6895.54</v>
      </c>
      <c r="X5" s="209">
        <f t="shared" si="2"/>
        <v>8.8386301047822027</v>
      </c>
    </row>
    <row r="6" spans="1:24">
      <c r="A6" s="199">
        <v>1</v>
      </c>
      <c r="B6" s="200" t="s">
        <v>52</v>
      </c>
      <c r="C6" s="200" t="s">
        <v>51</v>
      </c>
      <c r="D6" s="201">
        <v>2014</v>
      </c>
      <c r="E6" s="202">
        <v>24.295000000000002</v>
      </c>
      <c r="F6" s="203">
        <v>2.1665999999999999</v>
      </c>
      <c r="G6" s="202">
        <v>565</v>
      </c>
      <c r="H6" s="187">
        <v>56.299999</v>
      </c>
      <c r="I6" s="204">
        <v>79.599999999999994</v>
      </c>
      <c r="J6" s="203">
        <v>9.9</v>
      </c>
      <c r="K6" s="205">
        <v>2229.8000000000002</v>
      </c>
      <c r="L6" s="206">
        <v>1.6</v>
      </c>
      <c r="M6" s="191">
        <v>2.0999998999999998</v>
      </c>
      <c r="N6" s="192">
        <v>48172</v>
      </c>
      <c r="O6" s="193">
        <v>0.95</v>
      </c>
      <c r="P6" s="202">
        <v>6565.6890000000003</v>
      </c>
      <c r="Q6" s="207">
        <v>40.6</v>
      </c>
      <c r="R6" s="208">
        <v>24.295000000000002</v>
      </c>
      <c r="S6" s="209">
        <f t="shared" si="0"/>
        <v>3.1902705678578664</v>
      </c>
      <c r="T6" s="210">
        <v>565</v>
      </c>
      <c r="U6" s="209">
        <f t="shared" si="1"/>
        <v>6.3368257311464413</v>
      </c>
      <c r="V6" s="198">
        <v>56.3</v>
      </c>
      <c r="W6" s="208">
        <v>6565.69</v>
      </c>
      <c r="X6" s="209">
        <f t="shared" si="2"/>
        <v>8.789612884031957</v>
      </c>
    </row>
    <row r="7" spans="1:24">
      <c r="A7" s="199">
        <v>1</v>
      </c>
      <c r="B7" s="200" t="s">
        <v>52</v>
      </c>
      <c r="C7" s="200" t="s">
        <v>51</v>
      </c>
      <c r="D7" s="201">
        <v>2015</v>
      </c>
      <c r="E7" s="202">
        <v>23.374001</v>
      </c>
      <c r="F7" s="203">
        <v>2.2656000000000001</v>
      </c>
      <c r="G7" s="202">
        <v>560</v>
      </c>
      <c r="H7" s="187">
        <v>56.900002000000001</v>
      </c>
      <c r="I7" s="204">
        <v>81.099999999999994</v>
      </c>
      <c r="J7" s="203">
        <v>11.2</v>
      </c>
      <c r="K7" s="205">
        <v>2162.5</v>
      </c>
      <c r="L7" s="206">
        <v>1.5</v>
      </c>
      <c r="M7" s="191">
        <v>2.0999998999999998</v>
      </c>
      <c r="N7" s="192">
        <v>48252</v>
      </c>
      <c r="O7" s="193">
        <v>0.95</v>
      </c>
      <c r="P7" s="202">
        <v>6615.9673000000003</v>
      </c>
      <c r="Q7" s="207">
        <v>42.4</v>
      </c>
      <c r="R7" s="208">
        <v>23.373999999999999</v>
      </c>
      <c r="S7" s="209">
        <f t="shared" si="0"/>
        <v>3.1516242935109653</v>
      </c>
      <c r="T7" s="210">
        <v>560</v>
      </c>
      <c r="U7" s="209">
        <f t="shared" si="1"/>
        <v>6.3279367837291947</v>
      </c>
      <c r="V7" s="198">
        <v>56.9</v>
      </c>
      <c r="W7" s="208">
        <v>6615.97</v>
      </c>
      <c r="X7" s="209">
        <f t="shared" si="2"/>
        <v>8.7972417022313358</v>
      </c>
    </row>
    <row r="8" spans="1:24">
      <c r="A8" s="199">
        <v>1</v>
      </c>
      <c r="B8" s="200" t="s">
        <v>52</v>
      </c>
      <c r="C8" s="200" t="s">
        <v>51</v>
      </c>
      <c r="D8" s="201">
        <v>2016</v>
      </c>
      <c r="E8" s="202">
        <v>23.73</v>
      </c>
      <c r="F8" s="203">
        <v>2.2673999999999999</v>
      </c>
      <c r="G8" s="202">
        <v>564</v>
      </c>
      <c r="H8" s="187">
        <v>57.599997999999999</v>
      </c>
      <c r="I8" s="204">
        <v>81.8</v>
      </c>
      <c r="J8" s="203">
        <v>11.9</v>
      </c>
      <c r="K8" s="205">
        <v>2384.9</v>
      </c>
      <c r="L8" s="206">
        <v>1.5</v>
      </c>
      <c r="M8" s="191">
        <v>2.0999998999999998</v>
      </c>
      <c r="N8" s="192">
        <v>48376</v>
      </c>
      <c r="O8" s="193">
        <v>0.95</v>
      </c>
      <c r="P8" s="202">
        <v>6459.7212</v>
      </c>
      <c r="Q8" s="207">
        <v>43.1</v>
      </c>
      <c r="R8" s="208">
        <v>23.73</v>
      </c>
      <c r="S8" s="209">
        <f t="shared" si="0"/>
        <v>3.166740070447672</v>
      </c>
      <c r="T8" s="210">
        <v>564</v>
      </c>
      <c r="U8" s="209">
        <f t="shared" si="1"/>
        <v>6.3350542514980592</v>
      </c>
      <c r="V8" s="198">
        <v>57.6</v>
      </c>
      <c r="W8" s="208">
        <v>6459.72</v>
      </c>
      <c r="X8" s="209">
        <f t="shared" si="2"/>
        <v>8.7733412521840339</v>
      </c>
    </row>
    <row r="9" spans="1:24">
      <c r="A9" s="199">
        <v>1</v>
      </c>
      <c r="B9" s="200" t="s">
        <v>52</v>
      </c>
      <c r="C9" s="200" t="s">
        <v>51</v>
      </c>
      <c r="D9" s="201">
        <v>2017</v>
      </c>
      <c r="E9" s="202">
        <v>23.638000000000002</v>
      </c>
      <c r="F9" s="203">
        <v>2.3119000000000001</v>
      </c>
      <c r="G9" s="202">
        <v>570</v>
      </c>
      <c r="H9" s="187">
        <v>57.799999</v>
      </c>
      <c r="I9" s="204">
        <v>80.2</v>
      </c>
      <c r="J9" s="203">
        <v>12</v>
      </c>
      <c r="K9" s="205">
        <v>2922.3</v>
      </c>
      <c r="L9" s="206">
        <v>1.5</v>
      </c>
      <c r="M9" s="191">
        <v>2.2000000000000002</v>
      </c>
      <c r="N9" s="192">
        <v>50091</v>
      </c>
      <c r="O9" s="193">
        <v>0.94</v>
      </c>
      <c r="P9" s="202">
        <v>6760.6972999999998</v>
      </c>
      <c r="Q9" s="207">
        <v>44.2</v>
      </c>
      <c r="R9" s="208">
        <v>23.638000000000002</v>
      </c>
      <c r="S9" s="209">
        <f t="shared" si="0"/>
        <v>3.162855586590049</v>
      </c>
      <c r="T9" s="210">
        <v>570</v>
      </c>
      <c r="U9" s="209">
        <f t="shared" si="1"/>
        <v>6.3456363608285962</v>
      </c>
      <c r="V9" s="198">
        <v>57.8</v>
      </c>
      <c r="W9" s="208">
        <v>6760.7</v>
      </c>
      <c r="X9" s="209">
        <f t="shared" si="2"/>
        <v>8.8188817139719067</v>
      </c>
    </row>
    <row r="10" spans="1:24">
      <c r="A10" s="199">
        <v>1</v>
      </c>
      <c r="B10" s="200" t="s">
        <v>52</v>
      </c>
      <c r="C10" s="200" t="s">
        <v>51</v>
      </c>
      <c r="D10" s="201">
        <v>2018</v>
      </c>
      <c r="E10" s="202">
        <v>23.947001</v>
      </c>
      <c r="F10" s="203">
        <v>2.3611</v>
      </c>
      <c r="G10" s="202">
        <v>579</v>
      </c>
      <c r="H10" s="187">
        <v>57.700001</v>
      </c>
      <c r="I10" s="204">
        <v>79.8</v>
      </c>
      <c r="J10" s="203">
        <v>11.8</v>
      </c>
      <c r="K10" s="205">
        <v>3226</v>
      </c>
      <c r="L10" s="206">
        <v>1.4</v>
      </c>
      <c r="M10" s="191">
        <v>1.9</v>
      </c>
      <c r="N10" s="192">
        <v>47466</v>
      </c>
      <c r="O10" s="193">
        <v>0.95</v>
      </c>
      <c r="P10" s="202">
        <v>6418.2734</v>
      </c>
      <c r="Q10" s="207">
        <v>44.5</v>
      </c>
      <c r="R10" s="208">
        <v>23.946999999999999</v>
      </c>
      <c r="S10" s="209">
        <f t="shared" si="0"/>
        <v>3.1758430550507808</v>
      </c>
      <c r="T10" s="210">
        <v>579</v>
      </c>
      <c r="U10" s="209">
        <f t="shared" si="1"/>
        <v>6.3613024775729956</v>
      </c>
      <c r="V10" s="198">
        <v>57.7</v>
      </c>
      <c r="W10" s="208">
        <v>6418.27</v>
      </c>
      <c r="X10" s="209">
        <f t="shared" si="2"/>
        <v>8.7669038899653486</v>
      </c>
    </row>
    <row r="11" spans="1:24">
      <c r="A11" s="199">
        <v>1</v>
      </c>
      <c r="B11" s="200" t="s">
        <v>52</v>
      </c>
      <c r="C11" s="200" t="s">
        <v>51</v>
      </c>
      <c r="D11" s="201">
        <v>2019</v>
      </c>
      <c r="E11" s="202">
        <v>23.582999999999998</v>
      </c>
      <c r="F11" s="203">
        <v>2.3546</v>
      </c>
      <c r="G11" s="202">
        <v>588</v>
      </c>
      <c r="H11" s="187">
        <v>58.200001</v>
      </c>
      <c r="I11" s="204">
        <v>81.900000000000006</v>
      </c>
      <c r="J11" s="203">
        <v>11.5</v>
      </c>
      <c r="K11" s="205">
        <v>3126.6</v>
      </c>
      <c r="L11" s="206">
        <v>1.4</v>
      </c>
      <c r="M11" s="191">
        <v>1.9</v>
      </c>
      <c r="N11" s="192">
        <v>48075</v>
      </c>
      <c r="O11" s="193">
        <v>0.95</v>
      </c>
      <c r="P11" s="202">
        <v>6075.8495999999996</v>
      </c>
      <c r="Q11" s="207">
        <v>44.4</v>
      </c>
      <c r="R11" s="208">
        <v>23.582999999999998</v>
      </c>
      <c r="S11" s="209">
        <f t="shared" si="0"/>
        <v>3.1605261134797291</v>
      </c>
      <c r="T11" s="210">
        <v>588</v>
      </c>
      <c r="U11" s="209">
        <f t="shared" si="1"/>
        <v>6.3767269478986268</v>
      </c>
      <c r="V11" s="198">
        <v>58.2</v>
      </c>
      <c r="W11" s="208"/>
      <c r="X11" s="209" t="e">
        <f t="shared" si="2"/>
        <v>#NUM!</v>
      </c>
    </row>
    <row r="12" spans="1:24">
      <c r="A12" s="199">
        <v>1</v>
      </c>
      <c r="B12" s="200" t="s">
        <v>52</v>
      </c>
      <c r="C12" s="200" t="s">
        <v>51</v>
      </c>
      <c r="D12" s="201">
        <v>2020</v>
      </c>
      <c r="E12" s="202">
        <v>22.264999</v>
      </c>
      <c r="F12" s="203">
        <v>2.1833</v>
      </c>
      <c r="G12" s="202">
        <v>834</v>
      </c>
      <c r="H12" s="187">
        <v>62.299999</v>
      </c>
      <c r="I12" s="204">
        <v>82</v>
      </c>
      <c r="J12" s="203">
        <v>11.4</v>
      </c>
      <c r="K12" s="205">
        <v>2912.1</v>
      </c>
      <c r="L12" s="206">
        <v>1.4</v>
      </c>
      <c r="M12" s="191">
        <v>2.0999998999999998</v>
      </c>
      <c r="N12" s="192">
        <v>49423</v>
      </c>
      <c r="O12" s="193">
        <v>0.93</v>
      </c>
      <c r="P12" s="202">
        <v>5733.4258</v>
      </c>
      <c r="Q12" s="207">
        <v>44.3</v>
      </c>
      <c r="R12" s="208">
        <v>22.265000000000001</v>
      </c>
      <c r="S12" s="209">
        <f t="shared" si="0"/>
        <v>3.1030159387736655</v>
      </c>
      <c r="T12" s="210">
        <v>834</v>
      </c>
      <c r="U12" s="209">
        <f t="shared" si="1"/>
        <v>6.7262334023587469</v>
      </c>
      <c r="V12" s="198">
        <v>62.3</v>
      </c>
      <c r="W12" s="208"/>
      <c r="X12" s="209" t="e">
        <f t="shared" si="2"/>
        <v>#NUM!</v>
      </c>
    </row>
    <row r="13" spans="1:24">
      <c r="A13" s="199">
        <v>2</v>
      </c>
      <c r="B13" s="200" t="s">
        <v>50</v>
      </c>
      <c r="C13" s="200" t="s">
        <v>49</v>
      </c>
      <c r="D13" s="201">
        <v>2010</v>
      </c>
      <c r="E13" s="202">
        <v>13.677</v>
      </c>
      <c r="F13" s="203">
        <v>2.5962000000000001</v>
      </c>
      <c r="G13" s="202">
        <v>480</v>
      </c>
      <c r="H13" s="187">
        <v>54.799999</v>
      </c>
      <c r="I13" s="204">
        <v>80.2</v>
      </c>
      <c r="J13" s="203">
        <v>13.5</v>
      </c>
      <c r="K13" s="205">
        <v>8812</v>
      </c>
      <c r="L13" s="206">
        <v>2.0999998999999998</v>
      </c>
      <c r="M13" s="191">
        <v>1.5999999</v>
      </c>
      <c r="N13" s="192">
        <v>60327</v>
      </c>
      <c r="O13" s="193">
        <v>1.03</v>
      </c>
      <c r="P13" s="202">
        <v>8141.2515000000003</v>
      </c>
      <c r="Q13" s="207">
        <v>72.5</v>
      </c>
      <c r="R13" s="208">
        <v>13.677</v>
      </c>
      <c r="S13" s="209">
        <f t="shared" si="0"/>
        <v>2.615715589899414</v>
      </c>
      <c r="T13" s="210">
        <v>480</v>
      </c>
      <c r="U13" s="209">
        <f t="shared" si="1"/>
        <v>6.1737861039019366</v>
      </c>
      <c r="V13" s="198">
        <v>54.8</v>
      </c>
      <c r="W13" s="208">
        <v>8141.25</v>
      </c>
      <c r="X13" s="209">
        <f t="shared" si="2"/>
        <v>9.0046990098606106</v>
      </c>
    </row>
    <row r="14" spans="1:24">
      <c r="A14" s="199">
        <v>2</v>
      </c>
      <c r="B14" s="200" t="s">
        <v>50</v>
      </c>
      <c r="C14" s="200" t="s">
        <v>49</v>
      </c>
      <c r="D14" s="201">
        <v>2011</v>
      </c>
      <c r="E14" s="202">
        <v>15.513</v>
      </c>
      <c r="F14" s="203">
        <v>2.4622000000000002</v>
      </c>
      <c r="G14" s="202">
        <v>467</v>
      </c>
      <c r="H14" s="187">
        <v>54.400002000000001</v>
      </c>
      <c r="I14" s="204">
        <v>77.7</v>
      </c>
      <c r="J14" s="203">
        <v>14.4</v>
      </c>
      <c r="K14" s="205">
        <v>8324.4</v>
      </c>
      <c r="L14" s="206">
        <v>1.8</v>
      </c>
      <c r="M14" s="191">
        <v>1.6999998999999999</v>
      </c>
      <c r="N14" s="192">
        <v>61814</v>
      </c>
      <c r="O14" s="193">
        <v>1.05</v>
      </c>
      <c r="P14" s="202">
        <v>7898.8657000000003</v>
      </c>
      <c r="Q14" s="207">
        <v>71.3</v>
      </c>
      <c r="R14" s="208">
        <v>15.513</v>
      </c>
      <c r="S14" s="209">
        <f t="shared" si="0"/>
        <v>2.7416783820821942</v>
      </c>
      <c r="T14" s="210">
        <v>467</v>
      </c>
      <c r="U14" s="209">
        <f t="shared" si="1"/>
        <v>6.1463292576688975</v>
      </c>
      <c r="V14" s="198">
        <v>54.4</v>
      </c>
      <c r="W14" s="208">
        <v>7898.87</v>
      </c>
      <c r="X14" s="209">
        <f t="shared" si="2"/>
        <v>8.9744749902495222</v>
      </c>
    </row>
    <row r="15" spans="1:24">
      <c r="A15" s="199">
        <v>2</v>
      </c>
      <c r="B15" s="200" t="s">
        <v>50</v>
      </c>
      <c r="C15" s="200" t="s">
        <v>49</v>
      </c>
      <c r="D15" s="201">
        <v>2012</v>
      </c>
      <c r="E15" s="202">
        <v>14.069000000000001</v>
      </c>
      <c r="F15" s="203">
        <v>2.681</v>
      </c>
      <c r="G15" s="202">
        <v>456</v>
      </c>
      <c r="H15" s="187">
        <v>53.400002000000001</v>
      </c>
      <c r="I15" s="204">
        <v>78.400000000000006</v>
      </c>
      <c r="J15" s="203">
        <v>17.3</v>
      </c>
      <c r="K15" s="205">
        <v>7970.1</v>
      </c>
      <c r="L15" s="206">
        <v>1.5</v>
      </c>
      <c r="M15" s="191">
        <v>1.8</v>
      </c>
      <c r="N15" s="192">
        <v>63376</v>
      </c>
      <c r="O15" s="193">
        <v>1.02</v>
      </c>
      <c r="P15" s="202">
        <v>7687.2075000000004</v>
      </c>
      <c r="Q15" s="207">
        <v>72.2</v>
      </c>
      <c r="R15" s="208">
        <v>14.069000000000001</v>
      </c>
      <c r="S15" s="209">
        <f t="shared" si="0"/>
        <v>2.6439737953950764</v>
      </c>
      <c r="T15" s="210">
        <v>456</v>
      </c>
      <c r="U15" s="209">
        <f t="shared" si="1"/>
        <v>6.1224928095143865</v>
      </c>
      <c r="V15" s="198">
        <v>53.4</v>
      </c>
      <c r="W15" s="208">
        <v>7687.21</v>
      </c>
      <c r="X15" s="209">
        <f t="shared" si="2"/>
        <v>8.9473131878259853</v>
      </c>
    </row>
    <row r="16" spans="1:24">
      <c r="A16" s="199">
        <v>2</v>
      </c>
      <c r="B16" s="200" t="s">
        <v>50</v>
      </c>
      <c r="C16" s="200" t="s">
        <v>49</v>
      </c>
      <c r="D16" s="201">
        <v>2013</v>
      </c>
      <c r="E16" s="202">
        <v>13.377000000000001</v>
      </c>
      <c r="F16" s="203">
        <v>2.7286000000000001</v>
      </c>
      <c r="G16" s="202">
        <v>455</v>
      </c>
      <c r="H16" s="187">
        <v>52.799999</v>
      </c>
      <c r="I16" s="204">
        <v>79.099999999999994</v>
      </c>
      <c r="J16" s="203">
        <v>17.3</v>
      </c>
      <c r="K16" s="205">
        <v>8590.4</v>
      </c>
      <c r="L16" s="206">
        <v>1.2</v>
      </c>
      <c r="M16" s="191">
        <v>1.9</v>
      </c>
      <c r="N16" s="192">
        <v>62572</v>
      </c>
      <c r="O16" s="193">
        <v>1.04</v>
      </c>
      <c r="P16" s="202">
        <v>7875.6752999999999</v>
      </c>
      <c r="Q16" s="207">
        <v>72.099999999999994</v>
      </c>
      <c r="R16" s="208">
        <v>13.377000000000001</v>
      </c>
      <c r="S16" s="209">
        <f t="shared" si="0"/>
        <v>2.5935368143134494</v>
      </c>
      <c r="T16" s="210">
        <v>455</v>
      </c>
      <c r="U16" s="209">
        <f t="shared" si="1"/>
        <v>6.1202974189509503</v>
      </c>
      <c r="V16" s="198">
        <v>52.8</v>
      </c>
      <c r="W16" s="208">
        <v>7875.68</v>
      </c>
      <c r="X16" s="209">
        <f t="shared" si="2"/>
        <v>8.9715348091723044</v>
      </c>
    </row>
    <row r="17" spans="1:24">
      <c r="A17" s="199">
        <v>2</v>
      </c>
      <c r="B17" s="200" t="s">
        <v>50</v>
      </c>
      <c r="C17" s="200" t="s">
        <v>49</v>
      </c>
      <c r="D17" s="201">
        <v>2014</v>
      </c>
      <c r="E17" s="202">
        <v>14.489000000000001</v>
      </c>
      <c r="F17" s="203">
        <v>2.7778999999999998</v>
      </c>
      <c r="G17" s="202">
        <v>445</v>
      </c>
      <c r="H17" s="187">
        <v>53.799999</v>
      </c>
      <c r="I17" s="204">
        <v>76.7</v>
      </c>
      <c r="J17" s="203">
        <v>17.899999999999999</v>
      </c>
      <c r="K17" s="205">
        <v>12341.4</v>
      </c>
      <c r="L17" s="206">
        <v>1.2</v>
      </c>
      <c r="M17" s="191">
        <v>1.7</v>
      </c>
      <c r="N17" s="192">
        <v>60314</v>
      </c>
      <c r="O17" s="193">
        <v>1.07</v>
      </c>
      <c r="P17" s="202">
        <v>7804.6421</v>
      </c>
      <c r="Q17" s="207">
        <v>71.5</v>
      </c>
      <c r="R17" s="208">
        <v>14.489000000000001</v>
      </c>
      <c r="S17" s="209">
        <f t="shared" si="0"/>
        <v>2.6733897408385854</v>
      </c>
      <c r="T17" s="210">
        <v>445</v>
      </c>
      <c r="U17" s="209">
        <f t="shared" si="1"/>
        <v>6.0980742821662401</v>
      </c>
      <c r="V17" s="198">
        <v>53.8</v>
      </c>
      <c r="W17" s="208">
        <v>7804.64</v>
      </c>
      <c r="X17" s="209">
        <f t="shared" si="2"/>
        <v>8.9624737076064669</v>
      </c>
    </row>
    <row r="18" spans="1:24">
      <c r="A18" s="199">
        <v>2</v>
      </c>
      <c r="B18" s="200" t="s">
        <v>50</v>
      </c>
      <c r="C18" s="200" t="s">
        <v>49</v>
      </c>
      <c r="D18" s="201">
        <v>2015</v>
      </c>
      <c r="E18" s="202">
        <v>14.526</v>
      </c>
      <c r="F18" s="203">
        <v>2.8570000000000002</v>
      </c>
      <c r="G18" s="202">
        <v>436</v>
      </c>
      <c r="H18" s="187">
        <v>53.5</v>
      </c>
      <c r="I18" s="204">
        <v>77.400000000000006</v>
      </c>
      <c r="J18" s="203">
        <v>18.100000000000001</v>
      </c>
      <c r="K18" s="205">
        <v>10765.5</v>
      </c>
      <c r="L18" s="206">
        <v>1.2</v>
      </c>
      <c r="M18" s="191">
        <v>1.7</v>
      </c>
      <c r="N18" s="192">
        <v>62338</v>
      </c>
      <c r="O18" s="193">
        <v>1.06</v>
      </c>
      <c r="P18" s="202">
        <v>7785.2739000000001</v>
      </c>
      <c r="Q18" s="207">
        <v>71.400000000000006</v>
      </c>
      <c r="R18" s="208">
        <v>14.526</v>
      </c>
      <c r="S18" s="209">
        <f t="shared" si="0"/>
        <v>2.6759401471839763</v>
      </c>
      <c r="T18" s="210">
        <v>436</v>
      </c>
      <c r="U18" s="209">
        <f t="shared" si="1"/>
        <v>6.0776422433490342</v>
      </c>
      <c r="V18" s="198">
        <v>53.5</v>
      </c>
      <c r="W18" s="208">
        <v>7785.27</v>
      </c>
      <c r="X18" s="209">
        <f t="shared" si="2"/>
        <v>8.9599887657476138</v>
      </c>
    </row>
    <row r="19" spans="1:24">
      <c r="A19" s="199">
        <v>2</v>
      </c>
      <c r="B19" s="200" t="s">
        <v>50</v>
      </c>
      <c r="C19" s="200" t="s">
        <v>49</v>
      </c>
      <c r="D19" s="201">
        <v>2016</v>
      </c>
      <c r="E19" s="202">
        <v>14.007999999999999</v>
      </c>
      <c r="F19" s="203">
        <v>2.8933</v>
      </c>
      <c r="G19" s="202">
        <v>425</v>
      </c>
      <c r="H19" s="187">
        <v>53.5</v>
      </c>
      <c r="I19" s="204">
        <v>72.5</v>
      </c>
      <c r="J19" s="203">
        <v>18.100000000000001</v>
      </c>
      <c r="K19" s="205">
        <v>7861.7</v>
      </c>
      <c r="L19" s="206">
        <v>1.7</v>
      </c>
      <c r="M19" s="191">
        <v>1.8</v>
      </c>
      <c r="N19" s="192">
        <v>61463</v>
      </c>
      <c r="O19" s="193">
        <v>1.05</v>
      </c>
      <c r="P19" s="202">
        <v>7897.4214000000002</v>
      </c>
      <c r="Q19" s="207">
        <v>72.900000000000006</v>
      </c>
      <c r="R19" s="208">
        <v>14.007999999999999</v>
      </c>
      <c r="S19" s="209">
        <f t="shared" si="0"/>
        <v>2.6396285949835505</v>
      </c>
      <c r="T19" s="210">
        <v>425</v>
      </c>
      <c r="U19" s="209">
        <f t="shared" si="1"/>
        <v>6.0520891689244172</v>
      </c>
      <c r="V19" s="198">
        <v>53.5</v>
      </c>
      <c r="W19" s="208">
        <v>7897.42</v>
      </c>
      <c r="X19" s="209">
        <f t="shared" si="2"/>
        <v>8.9742914028370269</v>
      </c>
    </row>
    <row r="20" spans="1:24">
      <c r="A20" s="199">
        <v>2</v>
      </c>
      <c r="B20" s="200" t="s">
        <v>50</v>
      </c>
      <c r="C20" s="200" t="s">
        <v>49</v>
      </c>
      <c r="D20" s="201">
        <v>2017</v>
      </c>
      <c r="E20" s="202">
        <v>13.430999999999999</v>
      </c>
      <c r="F20" s="203">
        <v>2.8744000000000001</v>
      </c>
      <c r="G20" s="202">
        <v>412</v>
      </c>
      <c r="H20" s="187">
        <v>53.900002000000001</v>
      </c>
      <c r="I20" s="204">
        <v>75.099999999999994</v>
      </c>
      <c r="J20" s="203">
        <v>19</v>
      </c>
      <c r="K20" s="205">
        <v>9962.5</v>
      </c>
      <c r="L20" s="206">
        <v>1.4</v>
      </c>
      <c r="M20" s="191">
        <v>1.8</v>
      </c>
      <c r="N20" s="192">
        <v>62281</v>
      </c>
      <c r="O20" s="193">
        <v>1.0900000000000001</v>
      </c>
      <c r="P20" s="202">
        <v>7861.9477999999999</v>
      </c>
      <c r="Q20" s="207">
        <v>72</v>
      </c>
      <c r="R20" s="208">
        <v>13.430999999999999</v>
      </c>
      <c r="S20" s="209">
        <f t="shared" si="0"/>
        <v>2.597565467926938</v>
      </c>
      <c r="T20" s="210">
        <v>412</v>
      </c>
      <c r="U20" s="209">
        <f t="shared" si="1"/>
        <v>6.0210233493495267</v>
      </c>
      <c r="V20" s="198">
        <v>53.9</v>
      </c>
      <c r="W20" s="208">
        <v>7861.95</v>
      </c>
      <c r="X20" s="209">
        <f t="shared" si="2"/>
        <v>8.9697899462566735</v>
      </c>
    </row>
    <row r="21" spans="1:24">
      <c r="A21" s="199">
        <v>2</v>
      </c>
      <c r="B21" s="200" t="s">
        <v>50</v>
      </c>
      <c r="C21" s="200" t="s">
        <v>49</v>
      </c>
      <c r="D21" s="201">
        <v>2018</v>
      </c>
      <c r="E21" s="202">
        <v>14.92</v>
      </c>
      <c r="F21" s="203">
        <v>3.0398000000000001</v>
      </c>
      <c r="G21" s="202">
        <v>419</v>
      </c>
      <c r="H21" s="187">
        <v>54.400002000000001</v>
      </c>
      <c r="I21" s="204">
        <v>72.5</v>
      </c>
      <c r="J21" s="203">
        <v>20.6</v>
      </c>
      <c r="K21" s="205">
        <v>11848.3</v>
      </c>
      <c r="L21" s="206">
        <v>1.4</v>
      </c>
      <c r="M21" s="191">
        <v>1.7</v>
      </c>
      <c r="N21" s="192">
        <v>63234</v>
      </c>
      <c r="O21" s="193">
        <v>1.06</v>
      </c>
      <c r="P21" s="202">
        <v>7215.5068000000001</v>
      </c>
      <c r="Q21" s="207">
        <v>72.7</v>
      </c>
      <c r="R21" s="208">
        <v>14.92</v>
      </c>
      <c r="S21" s="209">
        <f t="shared" si="0"/>
        <v>2.7027025947756149</v>
      </c>
      <c r="T21" s="210">
        <v>419</v>
      </c>
      <c r="U21" s="209">
        <f t="shared" si="1"/>
        <v>6.0378709199221374</v>
      </c>
      <c r="V21" s="198">
        <v>54.4</v>
      </c>
      <c r="W21" s="208">
        <v>7215.51</v>
      </c>
      <c r="X21" s="209">
        <f t="shared" si="2"/>
        <v>8.8839881547805142</v>
      </c>
    </row>
    <row r="22" spans="1:24">
      <c r="A22" s="199">
        <v>2</v>
      </c>
      <c r="B22" s="200" t="s">
        <v>50</v>
      </c>
      <c r="C22" s="200" t="s">
        <v>49</v>
      </c>
      <c r="D22" s="201">
        <v>2019</v>
      </c>
      <c r="E22" s="202">
        <v>12.821999999999999</v>
      </c>
      <c r="F22" s="203">
        <v>2.9823</v>
      </c>
      <c r="G22" s="202">
        <v>411</v>
      </c>
      <c r="H22" s="187">
        <v>54.700001</v>
      </c>
      <c r="I22" s="204">
        <v>70.8</v>
      </c>
      <c r="J22" s="203">
        <v>20.5</v>
      </c>
      <c r="K22" s="205">
        <v>9433.7999999999993</v>
      </c>
      <c r="L22" s="206">
        <v>1.6</v>
      </c>
      <c r="M22" s="191">
        <v>1.8</v>
      </c>
      <c r="N22" s="192">
        <v>62091</v>
      </c>
      <c r="O22" s="193">
        <v>1.08</v>
      </c>
      <c r="P22" s="202">
        <v>6569.0658999999996</v>
      </c>
      <c r="Q22" s="207">
        <v>72.5</v>
      </c>
      <c r="R22" s="208">
        <v>12.821999999999999</v>
      </c>
      <c r="S22" s="209">
        <f t="shared" si="0"/>
        <v>2.5511624455650654</v>
      </c>
      <c r="T22" s="210">
        <v>411</v>
      </c>
      <c r="U22" s="209">
        <f t="shared" si="1"/>
        <v>6.0185932144962342</v>
      </c>
      <c r="V22" s="198">
        <v>54.7</v>
      </c>
      <c r="W22" s="208"/>
      <c r="X22" s="209" t="e">
        <f t="shared" si="2"/>
        <v>#NUM!</v>
      </c>
    </row>
    <row r="23" spans="1:24">
      <c r="A23" s="199">
        <v>2</v>
      </c>
      <c r="B23" s="200" t="s">
        <v>50</v>
      </c>
      <c r="C23" s="200" t="s">
        <v>49</v>
      </c>
      <c r="D23" s="201">
        <v>2020</v>
      </c>
      <c r="E23" s="202">
        <v>12.984999999999999</v>
      </c>
      <c r="F23" s="203">
        <v>3.0830000000000002</v>
      </c>
      <c r="G23" s="202">
        <v>409</v>
      </c>
      <c r="H23" s="187">
        <v>51.400002000000001</v>
      </c>
      <c r="I23" s="204">
        <v>73.5</v>
      </c>
      <c r="J23" s="203">
        <v>22.9</v>
      </c>
      <c r="K23" s="205">
        <v>7318.9</v>
      </c>
      <c r="L23" s="206">
        <v>1.5</v>
      </c>
      <c r="M23" s="191">
        <v>1.9</v>
      </c>
      <c r="N23" s="192">
        <v>63816</v>
      </c>
      <c r="O23" s="193">
        <v>1.04</v>
      </c>
      <c r="P23" s="202">
        <v>5922.625</v>
      </c>
      <c r="Q23" s="207">
        <v>72.3</v>
      </c>
      <c r="R23" s="208">
        <v>12.984999999999999</v>
      </c>
      <c r="S23" s="209">
        <f t="shared" si="0"/>
        <v>2.5637948451147117</v>
      </c>
      <c r="T23" s="210">
        <v>409</v>
      </c>
      <c r="U23" s="209">
        <f t="shared" si="1"/>
        <v>6.0137151560428022</v>
      </c>
      <c r="V23" s="198">
        <v>51.4</v>
      </c>
      <c r="W23" s="208"/>
      <c r="X23" s="209" t="e">
        <f t="shared" si="2"/>
        <v>#NUM!</v>
      </c>
    </row>
    <row r="24" spans="1:24">
      <c r="A24" s="199">
        <v>3</v>
      </c>
      <c r="B24" s="200" t="s">
        <v>48</v>
      </c>
      <c r="C24" s="200" t="s">
        <v>47</v>
      </c>
      <c r="D24" s="201">
        <v>2010</v>
      </c>
      <c r="E24" s="202">
        <v>13.522</v>
      </c>
      <c r="F24" s="203">
        <v>0.35520000000000002</v>
      </c>
      <c r="G24" s="202">
        <v>577</v>
      </c>
      <c r="H24" s="187">
        <v>24.5</v>
      </c>
      <c r="I24" s="204">
        <v>78.400000000000006</v>
      </c>
      <c r="J24" s="203">
        <v>2.1</v>
      </c>
      <c r="K24" s="205">
        <v>439.7</v>
      </c>
      <c r="L24" s="206">
        <v>0.69999999000000002</v>
      </c>
      <c r="M24" s="191">
        <v>1.4</v>
      </c>
      <c r="N24" s="192">
        <v>49981</v>
      </c>
      <c r="O24" s="193">
        <v>0.54</v>
      </c>
      <c r="P24" s="202">
        <v>7811.9087</v>
      </c>
      <c r="Q24" s="207">
        <v>15.9</v>
      </c>
      <c r="R24" s="208">
        <v>13.522</v>
      </c>
      <c r="S24" s="209">
        <f t="shared" si="0"/>
        <v>2.6043179886684862</v>
      </c>
      <c r="T24" s="210">
        <v>577</v>
      </c>
      <c r="U24" s="209">
        <f t="shared" si="1"/>
        <v>6.3578422665080998</v>
      </c>
      <c r="V24" s="198">
        <v>24.5</v>
      </c>
      <c r="W24" s="208">
        <v>7811.91</v>
      </c>
      <c r="X24" s="209">
        <f t="shared" si="2"/>
        <v>8.9634047711928773</v>
      </c>
    </row>
    <row r="25" spans="1:24">
      <c r="A25" s="199">
        <v>3</v>
      </c>
      <c r="B25" s="200" t="s">
        <v>48</v>
      </c>
      <c r="C25" s="200" t="s">
        <v>47</v>
      </c>
      <c r="D25" s="201">
        <v>2011</v>
      </c>
      <c r="E25" s="202">
        <v>14.548</v>
      </c>
      <c r="F25" s="203">
        <v>0.32750000000000001</v>
      </c>
      <c r="G25" s="202">
        <v>553</v>
      </c>
      <c r="H25" s="187">
        <v>26.200001</v>
      </c>
      <c r="I25" s="204">
        <v>82.3</v>
      </c>
      <c r="J25" s="203">
        <v>1.8</v>
      </c>
      <c r="K25" s="205">
        <v>1111.5</v>
      </c>
      <c r="L25" s="206">
        <v>0.59999999000000004</v>
      </c>
      <c r="M25" s="191">
        <v>1.4</v>
      </c>
      <c r="N25" s="192">
        <v>49886</v>
      </c>
      <c r="O25" s="193">
        <v>0.54</v>
      </c>
      <c r="P25" s="202">
        <v>7243.7046</v>
      </c>
      <c r="Q25" s="207">
        <v>15</v>
      </c>
      <c r="R25" s="208">
        <v>14.548</v>
      </c>
      <c r="S25" s="209">
        <f t="shared" si="0"/>
        <v>2.6774535271247424</v>
      </c>
      <c r="T25" s="210">
        <v>553</v>
      </c>
      <c r="U25" s="209">
        <f t="shared" si="1"/>
        <v>6.315358001522335</v>
      </c>
      <c r="V25" s="198">
        <v>26.2</v>
      </c>
      <c r="W25" s="208">
        <v>7243.7</v>
      </c>
      <c r="X25" s="209">
        <f t="shared" si="2"/>
        <v>8.8878874045620826</v>
      </c>
    </row>
    <row r="26" spans="1:24">
      <c r="A26" s="199">
        <v>3</v>
      </c>
      <c r="B26" s="200" t="s">
        <v>48</v>
      </c>
      <c r="C26" s="200" t="s">
        <v>47</v>
      </c>
      <c r="D26" s="201">
        <v>2012</v>
      </c>
      <c r="E26" s="202">
        <v>14.429</v>
      </c>
      <c r="F26" s="203">
        <v>0.34329999999999999</v>
      </c>
      <c r="G26" s="202">
        <v>599</v>
      </c>
      <c r="H26" s="187">
        <v>25</v>
      </c>
      <c r="I26" s="204">
        <v>84</v>
      </c>
      <c r="J26" s="203">
        <v>1.8</v>
      </c>
      <c r="K26" s="205">
        <v>1490</v>
      </c>
      <c r="L26" s="206">
        <v>0.5</v>
      </c>
      <c r="M26" s="191">
        <v>1.4</v>
      </c>
      <c r="N26" s="192">
        <v>50643</v>
      </c>
      <c r="O26" s="193">
        <v>0.55000000000000004</v>
      </c>
      <c r="P26" s="202">
        <v>7807.1646000000001</v>
      </c>
      <c r="Q26" s="207">
        <v>15.2</v>
      </c>
      <c r="R26" s="208">
        <v>14.429</v>
      </c>
      <c r="S26" s="209">
        <f t="shared" si="0"/>
        <v>2.6692400703151189</v>
      </c>
      <c r="T26" s="210">
        <v>599</v>
      </c>
      <c r="U26" s="209">
        <f t="shared" si="1"/>
        <v>6.3952615981154493</v>
      </c>
      <c r="V26" s="198">
        <v>25</v>
      </c>
      <c r="W26" s="208">
        <v>7807.16</v>
      </c>
      <c r="X26" s="209">
        <f t="shared" si="2"/>
        <v>8.9627965403383598</v>
      </c>
    </row>
    <row r="27" spans="1:24">
      <c r="A27" s="199">
        <v>3</v>
      </c>
      <c r="B27" s="200" t="s">
        <v>48</v>
      </c>
      <c r="C27" s="200" t="s">
        <v>47</v>
      </c>
      <c r="D27" s="201">
        <v>2013</v>
      </c>
      <c r="E27" s="202">
        <v>15.289</v>
      </c>
      <c r="F27" s="203">
        <v>0.35360000000000003</v>
      </c>
      <c r="G27" s="202">
        <v>598</v>
      </c>
      <c r="H27" s="187">
        <v>28.5</v>
      </c>
      <c r="I27" s="204">
        <v>83.5</v>
      </c>
      <c r="J27" s="203">
        <v>2.5</v>
      </c>
      <c r="K27" s="205">
        <v>780.6</v>
      </c>
      <c r="L27" s="206">
        <v>0.40000001000000002</v>
      </c>
      <c r="M27" s="191">
        <v>1.4</v>
      </c>
      <c r="N27" s="192">
        <v>49110</v>
      </c>
      <c r="O27" s="193">
        <v>0.56000000000000005</v>
      </c>
      <c r="P27" s="202">
        <v>8344.7471000000005</v>
      </c>
      <c r="Q27" s="207">
        <v>15.7</v>
      </c>
      <c r="R27" s="208">
        <v>15.289</v>
      </c>
      <c r="S27" s="209">
        <f t="shared" si="0"/>
        <v>2.7271336155784764</v>
      </c>
      <c r="T27" s="210">
        <v>598</v>
      </c>
      <c r="U27" s="209">
        <f t="shared" si="1"/>
        <v>6.3935907539506314</v>
      </c>
      <c r="V27" s="198">
        <v>28.5</v>
      </c>
      <c r="W27" s="208">
        <v>8344.75</v>
      </c>
      <c r="X27" s="209">
        <f t="shared" si="2"/>
        <v>9.0293878775884657</v>
      </c>
    </row>
    <row r="28" spans="1:24">
      <c r="A28" s="199">
        <v>3</v>
      </c>
      <c r="B28" s="200" t="s">
        <v>48</v>
      </c>
      <c r="C28" s="200" t="s">
        <v>47</v>
      </c>
      <c r="D28" s="201">
        <v>2014</v>
      </c>
      <c r="E28" s="202">
        <v>16.566998999999999</v>
      </c>
      <c r="F28" s="203">
        <v>0.32569999999999999</v>
      </c>
      <c r="G28" s="202">
        <v>554</v>
      </c>
      <c r="H28" s="187">
        <v>23.1</v>
      </c>
      <c r="I28" s="204">
        <v>84.9</v>
      </c>
      <c r="J28" s="203">
        <v>2.7</v>
      </c>
      <c r="K28" s="205">
        <v>1120.4000000000001</v>
      </c>
      <c r="L28" s="206">
        <v>0.60000001999999997</v>
      </c>
      <c r="M28" s="191">
        <v>1.5</v>
      </c>
      <c r="N28" s="192">
        <v>48335</v>
      </c>
      <c r="O28" s="193">
        <v>0.56999999999999995</v>
      </c>
      <c r="P28" s="202">
        <v>8137.8334999999997</v>
      </c>
      <c r="Q28" s="207">
        <v>14.5</v>
      </c>
      <c r="R28" s="208">
        <v>16.567</v>
      </c>
      <c r="S28" s="209">
        <f t="shared" si="0"/>
        <v>2.8074127649564002</v>
      </c>
      <c r="T28" s="210">
        <v>554</v>
      </c>
      <c r="U28" s="209">
        <f t="shared" si="1"/>
        <v>6.3171646867472839</v>
      </c>
      <c r="V28" s="198">
        <v>23.1</v>
      </c>
      <c r="W28" s="208">
        <v>8137.83</v>
      </c>
      <c r="X28" s="209">
        <f t="shared" si="2"/>
        <v>9.0042788386899666</v>
      </c>
    </row>
    <row r="29" spans="1:24">
      <c r="A29" s="199">
        <v>3</v>
      </c>
      <c r="B29" s="200" t="s">
        <v>48</v>
      </c>
      <c r="C29" s="200" t="s">
        <v>47</v>
      </c>
      <c r="D29" s="201">
        <v>2015</v>
      </c>
      <c r="E29" s="202">
        <v>17.585999999999999</v>
      </c>
      <c r="F29" s="203">
        <v>0.29949999999999999</v>
      </c>
      <c r="G29" s="202">
        <v>508</v>
      </c>
      <c r="H29" s="187">
        <v>29.4</v>
      </c>
      <c r="I29" s="204">
        <v>85.6</v>
      </c>
      <c r="J29" s="203">
        <v>3.1</v>
      </c>
      <c r="K29" s="205">
        <v>1763.9</v>
      </c>
      <c r="L29" s="206">
        <v>0.69999999000000002</v>
      </c>
      <c r="M29" s="191">
        <v>1.6</v>
      </c>
      <c r="N29" s="192">
        <v>48132</v>
      </c>
      <c r="O29" s="193">
        <v>0.61</v>
      </c>
      <c r="P29" s="202">
        <v>8492.9014000000006</v>
      </c>
      <c r="Q29" s="207">
        <v>14.1</v>
      </c>
      <c r="R29" s="208">
        <v>17.585999999999999</v>
      </c>
      <c r="S29" s="209">
        <f t="shared" si="0"/>
        <v>2.8671031309568105</v>
      </c>
      <c r="T29" s="210">
        <v>508</v>
      </c>
      <c r="U29" s="209">
        <f t="shared" si="1"/>
        <v>6.230481447578482</v>
      </c>
      <c r="V29" s="198">
        <v>29.4</v>
      </c>
      <c r="W29" s="208">
        <v>8492.9</v>
      </c>
      <c r="X29" s="209">
        <f t="shared" si="2"/>
        <v>9.0469857993082421</v>
      </c>
    </row>
    <row r="30" spans="1:24">
      <c r="A30" s="199">
        <v>3</v>
      </c>
      <c r="B30" s="200" t="s">
        <v>48</v>
      </c>
      <c r="C30" s="200" t="s">
        <v>47</v>
      </c>
      <c r="D30" s="201">
        <v>2016</v>
      </c>
      <c r="E30" s="202">
        <v>17.524000000000001</v>
      </c>
      <c r="F30" s="203">
        <v>0.3498</v>
      </c>
      <c r="G30" s="202">
        <v>460</v>
      </c>
      <c r="H30" s="187">
        <v>31.799999</v>
      </c>
      <c r="I30" s="204">
        <v>81.5</v>
      </c>
      <c r="J30" s="203">
        <v>4.3</v>
      </c>
      <c r="K30" s="205">
        <v>2970.3</v>
      </c>
      <c r="L30" s="206">
        <v>0.60000001999999997</v>
      </c>
      <c r="M30" s="191">
        <v>1.5</v>
      </c>
      <c r="N30" s="192">
        <v>51013</v>
      </c>
      <c r="O30" s="193">
        <v>0.61</v>
      </c>
      <c r="P30" s="202">
        <v>7944.9813999999997</v>
      </c>
      <c r="Q30" s="207">
        <v>16.100000000000001</v>
      </c>
      <c r="R30" s="208">
        <v>17.524000000000001</v>
      </c>
      <c r="S30" s="209">
        <f t="shared" si="0"/>
        <v>2.8635713699516523</v>
      </c>
      <c r="T30" s="210">
        <v>460</v>
      </c>
      <c r="U30" s="209">
        <f t="shared" si="1"/>
        <v>6.131226489483141</v>
      </c>
      <c r="V30" s="198">
        <v>31.8</v>
      </c>
      <c r="W30" s="208">
        <v>7944.98</v>
      </c>
      <c r="X30" s="209">
        <f t="shared" si="2"/>
        <v>8.9802955616611655</v>
      </c>
    </row>
    <row r="31" spans="1:24">
      <c r="A31" s="199">
        <v>3</v>
      </c>
      <c r="B31" s="200" t="s">
        <v>48</v>
      </c>
      <c r="C31" s="200" t="s">
        <v>47</v>
      </c>
      <c r="D31" s="201">
        <v>2017</v>
      </c>
      <c r="E31" s="202">
        <v>17.308001000000001</v>
      </c>
      <c r="F31" s="203">
        <v>0.3483</v>
      </c>
      <c r="G31" s="202">
        <v>438</v>
      </c>
      <c r="H31" s="187">
        <v>34.599997999999999</v>
      </c>
      <c r="I31" s="204">
        <v>83.7</v>
      </c>
      <c r="J31" s="203">
        <v>3.4</v>
      </c>
      <c r="K31" s="205">
        <v>2539.8000000000002</v>
      </c>
      <c r="L31" s="206">
        <v>0.69999999000000002</v>
      </c>
      <c r="M31" s="191">
        <v>1.7</v>
      </c>
      <c r="N31" s="192">
        <v>51855</v>
      </c>
      <c r="O31" s="193">
        <v>0.62</v>
      </c>
      <c r="P31" s="202">
        <v>7863.5249000000003</v>
      </c>
      <c r="Q31" s="207">
        <v>16.8</v>
      </c>
      <c r="R31" s="208">
        <v>17.308</v>
      </c>
      <c r="S31" s="209">
        <f t="shared" si="0"/>
        <v>2.8511688223626384</v>
      </c>
      <c r="T31" s="210">
        <v>438</v>
      </c>
      <c r="U31" s="209">
        <f t="shared" si="1"/>
        <v>6.0822189103764464</v>
      </c>
      <c r="V31" s="198">
        <v>34.6</v>
      </c>
      <c r="W31" s="208">
        <v>7863.52</v>
      </c>
      <c r="X31" s="209">
        <f t="shared" si="2"/>
        <v>8.9699896223242526</v>
      </c>
    </row>
    <row r="32" spans="1:24">
      <c r="A32" s="199">
        <v>3</v>
      </c>
      <c r="B32" s="200" t="s">
        <v>48</v>
      </c>
      <c r="C32" s="200" t="s">
        <v>47</v>
      </c>
      <c r="D32" s="201">
        <v>2018</v>
      </c>
      <c r="E32" s="202">
        <v>19.405999999999999</v>
      </c>
      <c r="F32" s="203">
        <v>0.34870000000000001</v>
      </c>
      <c r="G32" s="202">
        <v>451</v>
      </c>
      <c r="H32" s="187">
        <v>31.5</v>
      </c>
      <c r="I32" s="204">
        <v>81</v>
      </c>
      <c r="J32" s="203">
        <v>2.4</v>
      </c>
      <c r="K32" s="205">
        <v>2798.1</v>
      </c>
      <c r="L32" s="206">
        <v>0.69999999000000002</v>
      </c>
      <c r="M32" s="191">
        <v>1.6</v>
      </c>
      <c r="N32" s="192">
        <v>52418</v>
      </c>
      <c r="O32" s="193">
        <v>0.64</v>
      </c>
      <c r="P32" s="202">
        <v>6967.8842999999997</v>
      </c>
      <c r="Q32" s="207">
        <v>15.7</v>
      </c>
      <c r="R32" s="208">
        <v>19.405999999999999</v>
      </c>
      <c r="S32" s="209">
        <f t="shared" si="0"/>
        <v>2.9655822966031078</v>
      </c>
      <c r="T32" s="210">
        <v>451</v>
      </c>
      <c r="U32" s="209">
        <f t="shared" si="1"/>
        <v>6.1114673395026786</v>
      </c>
      <c r="V32" s="198">
        <v>31.5</v>
      </c>
      <c r="W32" s="208">
        <v>6967.88</v>
      </c>
      <c r="X32" s="209">
        <f t="shared" si="2"/>
        <v>8.8490662967996592</v>
      </c>
    </row>
    <row r="33" spans="1:24">
      <c r="A33" s="199">
        <v>3</v>
      </c>
      <c r="B33" s="200" t="s">
        <v>48</v>
      </c>
      <c r="C33" s="200" t="s">
        <v>47</v>
      </c>
      <c r="D33" s="201">
        <v>2019</v>
      </c>
      <c r="E33" s="202">
        <v>20.239999999999998</v>
      </c>
      <c r="F33" s="203">
        <v>0.3599</v>
      </c>
      <c r="G33" s="202">
        <v>431</v>
      </c>
      <c r="H33" s="187">
        <v>34.599997999999999</v>
      </c>
      <c r="I33" s="204">
        <v>83</v>
      </c>
      <c r="J33" s="203">
        <v>4</v>
      </c>
      <c r="K33" s="205">
        <v>1686.4</v>
      </c>
      <c r="L33" s="206">
        <v>0.69999999000000002</v>
      </c>
      <c r="M33" s="191">
        <v>1.7</v>
      </c>
      <c r="N33" s="192">
        <v>53871</v>
      </c>
      <c r="O33" s="193">
        <v>0.67</v>
      </c>
      <c r="P33" s="202">
        <v>6072.2437</v>
      </c>
      <c r="Q33" s="207">
        <v>16.399999999999999</v>
      </c>
      <c r="R33" s="208">
        <v>20.239999999999998</v>
      </c>
      <c r="S33" s="209">
        <f t="shared" si="0"/>
        <v>3.0076608444192647</v>
      </c>
      <c r="T33" s="210">
        <v>431</v>
      </c>
      <c r="U33" s="209">
        <f t="shared" si="1"/>
        <v>6.0661080901037474</v>
      </c>
      <c r="V33" s="198">
        <v>34.6</v>
      </c>
      <c r="W33" s="208"/>
      <c r="X33" s="209" t="e">
        <f t="shared" si="2"/>
        <v>#NUM!</v>
      </c>
    </row>
    <row r="34" spans="1:24">
      <c r="A34" s="199">
        <v>3</v>
      </c>
      <c r="B34" s="200" t="s">
        <v>48</v>
      </c>
      <c r="C34" s="200" t="s">
        <v>47</v>
      </c>
      <c r="D34" s="201">
        <v>2020</v>
      </c>
      <c r="E34" s="202">
        <v>21.073999000000001</v>
      </c>
      <c r="F34" s="203">
        <v>0.35120000000000001</v>
      </c>
      <c r="G34" s="202">
        <v>418</v>
      </c>
      <c r="H34" s="187">
        <v>35.200001</v>
      </c>
      <c r="I34" s="204">
        <v>83.6</v>
      </c>
      <c r="J34" s="203">
        <v>5.8</v>
      </c>
      <c r="K34" s="205">
        <v>2309.1999999999998</v>
      </c>
      <c r="L34" s="206">
        <v>0.60000001999999997</v>
      </c>
      <c r="M34" s="191">
        <v>1.6</v>
      </c>
      <c r="N34" s="192">
        <v>51751</v>
      </c>
      <c r="O34" s="193">
        <v>0.63</v>
      </c>
      <c r="P34" s="202">
        <v>5176.6030000000001</v>
      </c>
      <c r="Q34" s="207">
        <v>16</v>
      </c>
      <c r="R34" s="208"/>
      <c r="S34" s="209" t="e">
        <f t="shared" si="0"/>
        <v>#NUM!</v>
      </c>
      <c r="T34" s="210">
        <v>418</v>
      </c>
      <c r="U34" s="209">
        <f t="shared" si="1"/>
        <v>6.0354814325247563</v>
      </c>
      <c r="V34" s="198">
        <v>35.200000000000003</v>
      </c>
      <c r="W34" s="208"/>
      <c r="X34" s="209" t="e">
        <f t="shared" si="2"/>
        <v>#NUM!</v>
      </c>
    </row>
    <row r="35" spans="1:24">
      <c r="A35" s="199">
        <v>4</v>
      </c>
      <c r="B35" s="200" t="s">
        <v>46</v>
      </c>
      <c r="C35" s="200" t="s">
        <v>45</v>
      </c>
      <c r="D35" s="201">
        <v>2010</v>
      </c>
      <c r="E35" s="202">
        <v>31.122999</v>
      </c>
      <c r="F35" s="203">
        <v>0.84560000000000002</v>
      </c>
      <c r="G35" s="202">
        <v>684</v>
      </c>
      <c r="H35" s="187">
        <v>11.2</v>
      </c>
      <c r="I35" s="204">
        <v>71.599999999999994</v>
      </c>
      <c r="J35" s="203">
        <v>2</v>
      </c>
      <c r="K35" s="205">
        <v>17.600000000000001</v>
      </c>
      <c r="L35" s="206">
        <v>0.60000001999999997</v>
      </c>
      <c r="M35" s="191">
        <v>1.3</v>
      </c>
      <c r="N35" s="192">
        <v>6003</v>
      </c>
      <c r="O35" s="193">
        <v>0.61</v>
      </c>
      <c r="P35" s="202">
        <v>8046.9683000000005</v>
      </c>
      <c r="Q35" s="207">
        <v>24.7</v>
      </c>
      <c r="R35" s="208">
        <v>31.123000000000001</v>
      </c>
      <c r="S35" s="209">
        <f t="shared" si="0"/>
        <v>3.4379470956921878</v>
      </c>
      <c r="T35" s="210">
        <v>684</v>
      </c>
      <c r="U35" s="209">
        <f t="shared" si="1"/>
        <v>6.5279579176225502</v>
      </c>
      <c r="V35" s="198">
        <v>11.2</v>
      </c>
      <c r="W35" s="208">
        <v>8046.97</v>
      </c>
      <c r="X35" s="209">
        <f t="shared" si="2"/>
        <v>8.9930509020417553</v>
      </c>
    </row>
    <row r="36" spans="1:24">
      <c r="A36" s="199">
        <v>4</v>
      </c>
      <c r="B36" s="200" t="s">
        <v>46</v>
      </c>
      <c r="C36" s="200" t="s">
        <v>45</v>
      </c>
      <c r="D36" s="201">
        <v>2011</v>
      </c>
      <c r="E36" s="202">
        <v>28.802</v>
      </c>
      <c r="F36" s="203">
        <v>0.86499999999999999</v>
      </c>
      <c r="G36" s="202">
        <v>688</v>
      </c>
      <c r="H36" s="187">
        <v>11.2</v>
      </c>
      <c r="I36" s="204">
        <v>78.900000000000006</v>
      </c>
      <c r="J36" s="203">
        <v>1.9</v>
      </c>
      <c r="K36" s="205">
        <v>5.4</v>
      </c>
      <c r="L36" s="206">
        <v>0.60000001999999997</v>
      </c>
      <c r="M36" s="191">
        <v>1.3</v>
      </c>
      <c r="N36" s="192">
        <v>5625</v>
      </c>
      <c r="O36" s="193">
        <v>0.63</v>
      </c>
      <c r="P36" s="202">
        <v>7326.9228999999996</v>
      </c>
      <c r="Q36" s="207">
        <v>22.5</v>
      </c>
      <c r="R36" s="208">
        <v>28.802</v>
      </c>
      <c r="S36" s="209">
        <f t="shared" si="0"/>
        <v>3.3604448291751909</v>
      </c>
      <c r="T36" s="210">
        <v>688</v>
      </c>
      <c r="U36" s="209">
        <f t="shared" si="1"/>
        <v>6.5337888379333435</v>
      </c>
      <c r="V36" s="198">
        <v>11.2</v>
      </c>
      <c r="W36" s="208">
        <v>7326.92</v>
      </c>
      <c r="X36" s="209">
        <f t="shared" si="2"/>
        <v>8.8993105155798151</v>
      </c>
    </row>
    <row r="37" spans="1:24">
      <c r="A37" s="199">
        <v>4</v>
      </c>
      <c r="B37" s="200" t="s">
        <v>46</v>
      </c>
      <c r="C37" s="200" t="s">
        <v>45</v>
      </c>
      <c r="D37" s="201">
        <v>2012</v>
      </c>
      <c r="E37" s="202">
        <v>20.693999999999999</v>
      </c>
      <c r="F37" s="203">
        <v>1.1384000000000001</v>
      </c>
      <c r="G37" s="202">
        <v>695</v>
      </c>
      <c r="H37" s="187">
        <v>12.8</v>
      </c>
      <c r="I37" s="204">
        <v>86.6</v>
      </c>
      <c r="J37" s="203">
        <v>2</v>
      </c>
      <c r="K37" s="205"/>
      <c r="L37" s="206">
        <v>0.60000001999999997</v>
      </c>
      <c r="M37" s="191">
        <v>1.3</v>
      </c>
      <c r="N37" s="192">
        <v>5582</v>
      </c>
      <c r="O37" s="193">
        <v>0.61</v>
      </c>
      <c r="P37" s="202">
        <v>7812.5293000000001</v>
      </c>
      <c r="Q37" s="207">
        <v>26.5</v>
      </c>
      <c r="R37" s="208">
        <v>20.693999999999999</v>
      </c>
      <c r="S37" s="209">
        <f t="shared" si="0"/>
        <v>3.029843803182759</v>
      </c>
      <c r="T37" s="210">
        <v>695</v>
      </c>
      <c r="U37" s="209">
        <f t="shared" si="1"/>
        <v>6.543911845564792</v>
      </c>
      <c r="V37" s="198">
        <v>12.8</v>
      </c>
      <c r="W37" s="208">
        <v>7812.53</v>
      </c>
      <c r="X37" s="209">
        <f t="shared" si="2"/>
        <v>8.9634841340372837</v>
      </c>
    </row>
    <row r="38" spans="1:24">
      <c r="A38" s="199">
        <v>4</v>
      </c>
      <c r="B38" s="200" t="s">
        <v>46</v>
      </c>
      <c r="C38" s="200" t="s">
        <v>45</v>
      </c>
      <c r="D38" s="201">
        <v>2013</v>
      </c>
      <c r="E38" s="202">
        <v>15.271000000000001</v>
      </c>
      <c r="F38" s="203">
        <v>1.4731000000000001</v>
      </c>
      <c r="G38" s="202">
        <v>704</v>
      </c>
      <c r="H38" s="187">
        <v>13.9</v>
      </c>
      <c r="I38" s="204">
        <v>80.3</v>
      </c>
      <c r="J38" s="203">
        <v>2.4</v>
      </c>
      <c r="K38" s="205">
        <v>4.5</v>
      </c>
      <c r="L38" s="206">
        <v>0.60000001999999997</v>
      </c>
      <c r="M38" s="191">
        <v>1.3</v>
      </c>
      <c r="N38" s="192">
        <v>5391</v>
      </c>
      <c r="O38" s="193">
        <v>0.62</v>
      </c>
      <c r="P38" s="202">
        <v>7647.4579999999996</v>
      </c>
      <c r="Q38" s="207">
        <v>29.2</v>
      </c>
      <c r="R38" s="208">
        <v>15.271000000000001</v>
      </c>
      <c r="S38" s="209">
        <f t="shared" si="0"/>
        <v>2.7259556049710447</v>
      </c>
      <c r="T38" s="210">
        <v>704</v>
      </c>
      <c r="U38" s="209">
        <f t="shared" si="1"/>
        <v>6.5567783561580422</v>
      </c>
      <c r="V38" s="198">
        <v>13.9</v>
      </c>
      <c r="W38" s="208">
        <v>7647.46</v>
      </c>
      <c r="X38" s="209">
        <f t="shared" si="2"/>
        <v>8.9421288455439072</v>
      </c>
    </row>
    <row r="39" spans="1:24">
      <c r="A39" s="199">
        <v>4</v>
      </c>
      <c r="B39" s="200" t="s">
        <v>46</v>
      </c>
      <c r="C39" s="200" t="s">
        <v>45</v>
      </c>
      <c r="D39" s="201">
        <v>2014</v>
      </c>
      <c r="E39" s="202">
        <v>15.134</v>
      </c>
      <c r="F39" s="203">
        <v>1.4573</v>
      </c>
      <c r="G39" s="202">
        <v>729</v>
      </c>
      <c r="H39" s="187">
        <v>14.8</v>
      </c>
      <c r="I39" s="204">
        <v>89.4</v>
      </c>
      <c r="J39" s="203">
        <v>2.2000000000000002</v>
      </c>
      <c r="K39" s="205">
        <v>4.7</v>
      </c>
      <c r="L39" s="206">
        <v>0.2</v>
      </c>
      <c r="M39" s="191">
        <v>1.4</v>
      </c>
      <c r="N39" s="192">
        <v>5515</v>
      </c>
      <c r="O39" s="193">
        <v>0.63</v>
      </c>
      <c r="P39" s="202">
        <v>8058.0087999999996</v>
      </c>
      <c r="Q39" s="207">
        <v>30.8</v>
      </c>
      <c r="R39" s="208">
        <v>15.134</v>
      </c>
      <c r="S39" s="209">
        <f t="shared" si="0"/>
        <v>2.7169438682723297</v>
      </c>
      <c r="T39" s="210">
        <v>729</v>
      </c>
      <c r="U39" s="209">
        <f t="shared" si="1"/>
        <v>6.5916737320086582</v>
      </c>
      <c r="V39" s="198">
        <v>14.8</v>
      </c>
      <c r="W39" s="208">
        <v>8058.01</v>
      </c>
      <c r="X39" s="209">
        <f t="shared" si="2"/>
        <v>8.9944219067532529</v>
      </c>
    </row>
    <row r="40" spans="1:24">
      <c r="A40" s="199">
        <v>4</v>
      </c>
      <c r="B40" s="200" t="s">
        <v>46</v>
      </c>
      <c r="C40" s="200" t="s">
        <v>45</v>
      </c>
      <c r="D40" s="201">
        <v>2015</v>
      </c>
      <c r="E40" s="202">
        <v>15.362</v>
      </c>
      <c r="F40" s="203">
        <v>1.4997</v>
      </c>
      <c r="G40" s="202">
        <v>729</v>
      </c>
      <c r="H40" s="187">
        <v>16.700001</v>
      </c>
      <c r="I40" s="204">
        <v>91</v>
      </c>
      <c r="J40" s="203">
        <v>2.4</v>
      </c>
      <c r="K40" s="205">
        <v>15.2</v>
      </c>
      <c r="L40" s="206">
        <v>0.30000000999999998</v>
      </c>
      <c r="M40" s="191">
        <v>1.5</v>
      </c>
      <c r="N40" s="192">
        <v>6120</v>
      </c>
      <c r="O40" s="193">
        <v>0.62</v>
      </c>
      <c r="P40" s="202">
        <v>8295.8438000000006</v>
      </c>
      <c r="Q40" s="207">
        <v>32.799999999999997</v>
      </c>
      <c r="R40" s="208">
        <v>15.362</v>
      </c>
      <c r="S40" s="209">
        <f t="shared" si="0"/>
        <v>2.7318969275764902</v>
      </c>
      <c r="T40" s="210">
        <v>729</v>
      </c>
      <c r="U40" s="209">
        <f t="shared" si="1"/>
        <v>6.5916737320086582</v>
      </c>
      <c r="V40" s="198">
        <v>16.7</v>
      </c>
      <c r="W40" s="208">
        <v>8295.84</v>
      </c>
      <c r="X40" s="209">
        <f t="shared" si="2"/>
        <v>9.023509463320293</v>
      </c>
    </row>
    <row r="41" spans="1:24">
      <c r="A41" s="199">
        <v>4</v>
      </c>
      <c r="B41" s="200" t="s">
        <v>46</v>
      </c>
      <c r="C41" s="200" t="s">
        <v>45</v>
      </c>
      <c r="D41" s="201">
        <v>2016</v>
      </c>
      <c r="E41" s="202">
        <v>16.966999000000001</v>
      </c>
      <c r="F41" s="203">
        <v>1.4369000000000001</v>
      </c>
      <c r="G41" s="202">
        <v>711</v>
      </c>
      <c r="H41" s="187">
        <v>16.299999</v>
      </c>
      <c r="I41" s="204">
        <v>87.8</v>
      </c>
      <c r="J41" s="203">
        <v>2.4</v>
      </c>
      <c r="K41" s="205">
        <v>6.6</v>
      </c>
      <c r="L41" s="206">
        <v>0.30000000999999998</v>
      </c>
      <c r="M41" s="191">
        <v>1.6</v>
      </c>
      <c r="N41" s="192">
        <v>6840</v>
      </c>
      <c r="O41" s="193">
        <v>0.65</v>
      </c>
      <c r="P41" s="202">
        <v>8283.5663999999997</v>
      </c>
      <c r="Q41" s="207">
        <v>33.6</v>
      </c>
      <c r="R41" s="208">
        <v>16.966999999999999</v>
      </c>
      <c r="S41" s="209">
        <f t="shared" si="0"/>
        <v>2.8312702810608026</v>
      </c>
      <c r="T41" s="210">
        <v>711</v>
      </c>
      <c r="U41" s="209">
        <f t="shared" si="1"/>
        <v>6.5666724298032406</v>
      </c>
      <c r="V41" s="198">
        <v>16.3</v>
      </c>
      <c r="W41" s="208">
        <v>8283.57</v>
      </c>
      <c r="X41" s="209">
        <f t="shared" si="2"/>
        <v>9.0220293138770806</v>
      </c>
    </row>
    <row r="42" spans="1:24">
      <c r="A42" s="199">
        <v>4</v>
      </c>
      <c r="B42" s="200" t="s">
        <v>46</v>
      </c>
      <c r="C42" s="200" t="s">
        <v>45</v>
      </c>
      <c r="D42" s="201">
        <v>2017</v>
      </c>
      <c r="E42" s="202">
        <v>20.197001</v>
      </c>
      <c r="F42" s="203">
        <v>1.2815000000000001</v>
      </c>
      <c r="G42" s="202">
        <v>692</v>
      </c>
      <c r="H42" s="187">
        <v>16.5</v>
      </c>
      <c r="I42" s="204">
        <v>78.3</v>
      </c>
      <c r="J42" s="203">
        <v>2.4</v>
      </c>
      <c r="K42" s="205">
        <v>8.5</v>
      </c>
      <c r="L42" s="206">
        <v>0.5</v>
      </c>
      <c r="M42" s="191">
        <v>1.6</v>
      </c>
      <c r="N42" s="192">
        <v>7449</v>
      </c>
      <c r="O42" s="193">
        <v>0.67</v>
      </c>
      <c r="P42" s="202">
        <v>7971.4116000000004</v>
      </c>
      <c r="Q42" s="207">
        <v>33.299999999999997</v>
      </c>
      <c r="R42" s="208">
        <v>20.196999999999999</v>
      </c>
      <c r="S42" s="209">
        <f t="shared" si="0"/>
        <v>3.0055340785262512</v>
      </c>
      <c r="T42" s="210">
        <v>692</v>
      </c>
      <c r="U42" s="209">
        <f t="shared" si="1"/>
        <v>6.5395859556176692</v>
      </c>
      <c r="V42" s="198">
        <v>16.5</v>
      </c>
      <c r="W42" s="208">
        <v>7971.41</v>
      </c>
      <c r="X42" s="209">
        <f t="shared" si="2"/>
        <v>8.9836166695622719</v>
      </c>
    </row>
    <row r="43" spans="1:24">
      <c r="A43" s="199">
        <v>4</v>
      </c>
      <c r="B43" s="200" t="s">
        <v>46</v>
      </c>
      <c r="C43" s="200" t="s">
        <v>45</v>
      </c>
      <c r="D43" s="201">
        <v>2018</v>
      </c>
      <c r="E43" s="202">
        <v>19.367999999999999</v>
      </c>
      <c r="F43" s="203">
        <v>1.3594999999999999</v>
      </c>
      <c r="G43" s="202">
        <v>681</v>
      </c>
      <c r="H43" s="187">
        <v>16.799999</v>
      </c>
      <c r="I43" s="204">
        <v>90.6</v>
      </c>
      <c r="J43" s="203">
        <v>2.8</v>
      </c>
      <c r="K43" s="205">
        <v>29.4</v>
      </c>
      <c r="L43" s="206">
        <v>0.40000001000000002</v>
      </c>
      <c r="M43" s="191">
        <v>1.7</v>
      </c>
      <c r="N43" s="192">
        <v>8291</v>
      </c>
      <c r="O43" s="193">
        <v>0.67</v>
      </c>
      <c r="P43" s="202">
        <v>7773.4263000000001</v>
      </c>
      <c r="Q43" s="207">
        <v>34</v>
      </c>
      <c r="R43" s="208">
        <v>19.367999999999999</v>
      </c>
      <c r="S43" s="209">
        <f t="shared" si="0"/>
        <v>2.9636222196357571</v>
      </c>
      <c r="T43" s="210">
        <v>681</v>
      </c>
      <c r="U43" s="209">
        <f t="shared" si="1"/>
        <v>6.523562306149512</v>
      </c>
      <c r="V43" s="198">
        <v>16.8</v>
      </c>
      <c r="W43" s="208">
        <v>7773.43</v>
      </c>
      <c r="X43" s="209">
        <f t="shared" si="2"/>
        <v>8.9584667873965262</v>
      </c>
    </row>
    <row r="44" spans="1:24">
      <c r="A44" s="199">
        <v>4</v>
      </c>
      <c r="B44" s="200" t="s">
        <v>46</v>
      </c>
      <c r="C44" s="200" t="s">
        <v>45</v>
      </c>
      <c r="D44" s="201">
        <v>2019</v>
      </c>
      <c r="E44" s="202">
        <v>20.504999000000002</v>
      </c>
      <c r="F44" s="203">
        <v>1.3320000000000001</v>
      </c>
      <c r="G44" s="202">
        <v>635</v>
      </c>
      <c r="H44" s="187">
        <v>16.899999999999999</v>
      </c>
      <c r="I44" s="204">
        <v>81.400000000000006</v>
      </c>
      <c r="J44" s="203">
        <v>3.2</v>
      </c>
      <c r="K44" s="205">
        <v>16.600000000000001</v>
      </c>
      <c r="L44" s="206">
        <v>0.30000000999999998</v>
      </c>
      <c r="M44" s="191">
        <v>1.8</v>
      </c>
      <c r="N44" s="192">
        <v>8664</v>
      </c>
      <c r="O44" s="193">
        <v>0.67</v>
      </c>
      <c r="P44" s="202">
        <v>7575.4408999999996</v>
      </c>
      <c r="Q44" s="207">
        <v>31.4</v>
      </c>
      <c r="R44" s="208">
        <v>20.504999999999999</v>
      </c>
      <c r="S44" s="209">
        <f t="shared" si="0"/>
        <v>3.0206687588440224</v>
      </c>
      <c r="T44" s="210">
        <v>635</v>
      </c>
      <c r="U44" s="209">
        <f t="shared" si="1"/>
        <v>6.4536249988926917</v>
      </c>
      <c r="V44" s="198">
        <v>16.899999999999999</v>
      </c>
      <c r="W44" s="208"/>
      <c r="X44" s="209" t="e">
        <f t="shared" si="2"/>
        <v>#NUM!</v>
      </c>
    </row>
    <row r="45" spans="1:24">
      <c r="A45" s="199">
        <v>4</v>
      </c>
      <c r="B45" s="200" t="s">
        <v>46</v>
      </c>
      <c r="C45" s="200" t="s">
        <v>45</v>
      </c>
      <c r="D45" s="201">
        <v>2020</v>
      </c>
      <c r="E45" s="202">
        <v>19.562999999999999</v>
      </c>
      <c r="F45" s="203">
        <v>1.3385</v>
      </c>
      <c r="G45" s="202">
        <v>619</v>
      </c>
      <c r="H45" s="187">
        <v>17</v>
      </c>
      <c r="I45" s="204">
        <v>90.9</v>
      </c>
      <c r="J45" s="203">
        <v>3.8</v>
      </c>
      <c r="K45" s="205">
        <v>9</v>
      </c>
      <c r="L45" s="206">
        <v>0.2</v>
      </c>
      <c r="M45" s="191">
        <v>1.7</v>
      </c>
      <c r="N45" s="192">
        <v>8348</v>
      </c>
      <c r="O45" s="193">
        <v>0.67</v>
      </c>
      <c r="P45" s="202">
        <v>7377.4556000000002</v>
      </c>
      <c r="Q45" s="207">
        <v>32.4</v>
      </c>
      <c r="R45" s="208">
        <v>19.562999999999999</v>
      </c>
      <c r="S45" s="209">
        <f t="shared" si="0"/>
        <v>2.973640027079175</v>
      </c>
      <c r="T45" s="210">
        <v>619</v>
      </c>
      <c r="U45" s="209">
        <f t="shared" si="1"/>
        <v>6.4281052726845962</v>
      </c>
      <c r="V45" s="198">
        <v>17</v>
      </c>
      <c r="W45" s="208"/>
      <c r="X45" s="209" t="e">
        <f t="shared" si="2"/>
        <v>#NUM!</v>
      </c>
    </row>
    <row r="46" spans="1:24">
      <c r="A46" s="199">
        <v>5</v>
      </c>
      <c r="B46" s="200" t="s">
        <v>44</v>
      </c>
      <c r="C46" s="200" t="s">
        <v>43</v>
      </c>
      <c r="D46" s="201">
        <v>2010</v>
      </c>
      <c r="E46" s="202">
        <v>17.002001</v>
      </c>
      <c r="F46" s="203">
        <v>0.93799999999999994</v>
      </c>
      <c r="G46" s="202">
        <v>279</v>
      </c>
      <c r="H46" s="187">
        <v>15.8</v>
      </c>
      <c r="I46" s="204">
        <v>86.7</v>
      </c>
      <c r="J46" s="203">
        <v>5.3</v>
      </c>
      <c r="K46" s="205">
        <v>7435.2</v>
      </c>
      <c r="L46" s="206">
        <v>0.30000000999999998</v>
      </c>
      <c r="M46" s="191">
        <v>1.4</v>
      </c>
      <c r="N46" s="192">
        <v>114395</v>
      </c>
      <c r="O46" s="193">
        <v>1.0900000000000001</v>
      </c>
      <c r="P46" s="202">
        <v>10601.975</v>
      </c>
      <c r="Q46" s="207">
        <v>29.3</v>
      </c>
      <c r="R46" s="208">
        <v>17.001999999999999</v>
      </c>
      <c r="S46" s="209">
        <f t="shared" si="0"/>
        <v>2.8333309841951673</v>
      </c>
      <c r="T46" s="210">
        <v>279</v>
      </c>
      <c r="U46" s="209">
        <f t="shared" si="1"/>
        <v>5.6312117818213654</v>
      </c>
      <c r="V46" s="198">
        <v>15.8</v>
      </c>
      <c r="W46" s="208">
        <v>10602</v>
      </c>
      <c r="X46" s="209">
        <f t="shared" si="2"/>
        <v>9.2687979415477511</v>
      </c>
    </row>
    <row r="47" spans="1:24">
      <c r="A47" s="199">
        <v>5</v>
      </c>
      <c r="B47" s="200" t="s">
        <v>44</v>
      </c>
      <c r="C47" s="200" t="s">
        <v>43</v>
      </c>
      <c r="D47" s="201">
        <v>2011</v>
      </c>
      <c r="E47" s="202">
        <v>17.271000000000001</v>
      </c>
      <c r="F47" s="203">
        <v>0.90429999999999999</v>
      </c>
      <c r="G47" s="202">
        <v>280</v>
      </c>
      <c r="H47" s="187">
        <v>16.899999999999999</v>
      </c>
      <c r="I47" s="204">
        <v>86.8</v>
      </c>
      <c r="J47" s="203">
        <v>5.4</v>
      </c>
      <c r="K47" s="205">
        <v>9869.4</v>
      </c>
      <c r="L47" s="206">
        <v>0.30000000999999998</v>
      </c>
      <c r="M47" s="191">
        <v>1.4</v>
      </c>
      <c r="N47" s="192">
        <v>117602</v>
      </c>
      <c r="O47" s="193">
        <v>1.07</v>
      </c>
      <c r="P47" s="202">
        <v>10130.85</v>
      </c>
      <c r="Q47" s="207">
        <v>29.1</v>
      </c>
      <c r="R47" s="208">
        <v>17.271000000000001</v>
      </c>
      <c r="S47" s="209">
        <f t="shared" si="0"/>
        <v>2.8490287943617822</v>
      </c>
      <c r="T47" s="210">
        <v>280</v>
      </c>
      <c r="U47" s="209">
        <f t="shared" si="1"/>
        <v>5.6347896031692493</v>
      </c>
      <c r="V47" s="198">
        <v>16.899999999999999</v>
      </c>
      <c r="W47" s="208">
        <v>10130.799999999999</v>
      </c>
      <c r="X47" s="209">
        <f t="shared" si="2"/>
        <v>9.2233355674709934</v>
      </c>
    </row>
    <row r="48" spans="1:24">
      <c r="A48" s="199">
        <v>5</v>
      </c>
      <c r="B48" s="200" t="s">
        <v>44</v>
      </c>
      <c r="C48" s="200" t="s">
        <v>43</v>
      </c>
      <c r="D48" s="201">
        <v>2012</v>
      </c>
      <c r="E48" s="202">
        <v>14.981999999999999</v>
      </c>
      <c r="F48" s="203">
        <v>1.0089999999999999</v>
      </c>
      <c r="G48" s="202">
        <v>279</v>
      </c>
      <c r="H48" s="187">
        <v>23.200001</v>
      </c>
      <c r="I48" s="204">
        <v>80.599999999999994</v>
      </c>
      <c r="J48" s="203">
        <v>6.3</v>
      </c>
      <c r="K48" s="205">
        <v>9845.5</v>
      </c>
      <c r="L48" s="206">
        <v>0.30000000999999998</v>
      </c>
      <c r="M48" s="191">
        <v>1.4</v>
      </c>
      <c r="N48" s="192">
        <v>119217</v>
      </c>
      <c r="O48" s="193">
        <v>1.07</v>
      </c>
      <c r="P48" s="202">
        <v>10059.413</v>
      </c>
      <c r="Q48" s="207">
        <v>29.9</v>
      </c>
      <c r="R48" s="208">
        <v>14.981999999999999</v>
      </c>
      <c r="S48" s="209">
        <f t="shared" si="0"/>
        <v>2.7068494805256913</v>
      </c>
      <c r="T48" s="210">
        <v>279</v>
      </c>
      <c r="U48" s="209">
        <f t="shared" si="1"/>
        <v>5.6312117818213654</v>
      </c>
      <c r="V48" s="198">
        <v>23.2</v>
      </c>
      <c r="W48" s="208">
        <v>10059.4</v>
      </c>
      <c r="X48" s="209">
        <f t="shared" si="2"/>
        <v>9.21626279972795</v>
      </c>
    </row>
    <row r="49" spans="1:24">
      <c r="A49" s="199">
        <v>5</v>
      </c>
      <c r="B49" s="200" t="s">
        <v>44</v>
      </c>
      <c r="C49" s="200" t="s">
        <v>43</v>
      </c>
      <c r="D49" s="201">
        <v>2013</v>
      </c>
      <c r="E49" s="202">
        <v>15.314</v>
      </c>
      <c r="F49" s="203">
        <v>1.0245</v>
      </c>
      <c r="G49" s="202">
        <v>289</v>
      </c>
      <c r="H49" s="187">
        <v>24.200001</v>
      </c>
      <c r="I49" s="204">
        <v>91.1</v>
      </c>
      <c r="J49" s="203">
        <v>6.7</v>
      </c>
      <c r="K49" s="205">
        <v>9709.4</v>
      </c>
      <c r="L49" s="206">
        <v>0.30000000999999998</v>
      </c>
      <c r="M49" s="191">
        <v>1.4</v>
      </c>
      <c r="N49" s="192">
        <v>116448</v>
      </c>
      <c r="O49" s="193">
        <v>1.03</v>
      </c>
      <c r="P49" s="202">
        <v>10009.271000000001</v>
      </c>
      <c r="Q49" s="207">
        <v>31.8</v>
      </c>
      <c r="R49" s="208">
        <v>15.314</v>
      </c>
      <c r="S49" s="209">
        <f t="shared" si="0"/>
        <v>2.7287674426909319</v>
      </c>
      <c r="T49" s="210">
        <v>289</v>
      </c>
      <c r="U49" s="209">
        <f t="shared" si="1"/>
        <v>5.6664266881124323</v>
      </c>
      <c r="V49" s="198">
        <v>24.2</v>
      </c>
      <c r="W49" s="208">
        <v>10009.299999999999</v>
      </c>
      <c r="X49" s="209">
        <f t="shared" si="2"/>
        <v>9.2112699397941142</v>
      </c>
    </row>
    <row r="50" spans="1:24">
      <c r="A50" s="199">
        <v>5</v>
      </c>
      <c r="B50" s="200" t="s">
        <v>44</v>
      </c>
      <c r="C50" s="200" t="s">
        <v>43</v>
      </c>
      <c r="D50" s="201">
        <v>2014</v>
      </c>
      <c r="E50" s="202">
        <v>16.141000999999999</v>
      </c>
      <c r="F50" s="203">
        <v>1.0129999999999999</v>
      </c>
      <c r="G50" s="202">
        <v>297</v>
      </c>
      <c r="H50" s="187">
        <v>25.4</v>
      </c>
      <c r="I50" s="204">
        <v>85.5</v>
      </c>
      <c r="J50" s="203">
        <v>6.8</v>
      </c>
      <c r="K50" s="205">
        <v>11381.9</v>
      </c>
      <c r="L50" s="206">
        <v>0.30000000999999998</v>
      </c>
      <c r="M50" s="191">
        <v>1.4</v>
      </c>
      <c r="N50" s="192">
        <v>114863</v>
      </c>
      <c r="O50" s="193">
        <v>1.06</v>
      </c>
      <c r="P50" s="202">
        <v>10178.439</v>
      </c>
      <c r="Q50" s="207">
        <v>31.8</v>
      </c>
      <c r="R50" s="208">
        <v>16.140999999999998</v>
      </c>
      <c r="S50" s="209">
        <f t="shared" si="0"/>
        <v>2.7813626187911424</v>
      </c>
      <c r="T50" s="210">
        <v>297</v>
      </c>
      <c r="U50" s="209">
        <f t="shared" si="1"/>
        <v>5.6937321388026998</v>
      </c>
      <c r="V50" s="198">
        <v>25.4</v>
      </c>
      <c r="W50" s="208">
        <v>10178.4</v>
      </c>
      <c r="X50" s="209">
        <f t="shared" si="2"/>
        <v>9.2280231068284913</v>
      </c>
    </row>
    <row r="51" spans="1:24">
      <c r="A51" s="199">
        <v>5</v>
      </c>
      <c r="B51" s="200" t="s">
        <v>44</v>
      </c>
      <c r="C51" s="200" t="s">
        <v>43</v>
      </c>
      <c r="D51" s="201">
        <v>2015</v>
      </c>
      <c r="E51" s="202">
        <v>16.988001000000001</v>
      </c>
      <c r="F51" s="203">
        <v>1.02</v>
      </c>
      <c r="G51" s="202">
        <v>294</v>
      </c>
      <c r="H51" s="187">
        <v>29.700001</v>
      </c>
      <c r="I51" s="204">
        <v>82.5</v>
      </c>
      <c r="J51" s="203">
        <v>6.9</v>
      </c>
      <c r="K51" s="205">
        <v>11821.4</v>
      </c>
      <c r="L51" s="206">
        <v>0.30000000999999998</v>
      </c>
      <c r="M51" s="191">
        <v>1.4</v>
      </c>
      <c r="N51" s="192">
        <v>117124</v>
      </c>
      <c r="O51" s="193">
        <v>1.08</v>
      </c>
      <c r="P51" s="202">
        <v>9968.3369000000002</v>
      </c>
      <c r="Q51" s="207">
        <v>33</v>
      </c>
      <c r="R51" s="208">
        <v>16.988</v>
      </c>
      <c r="S51" s="209">
        <f t="shared" si="0"/>
        <v>2.8325072124510249</v>
      </c>
      <c r="T51" s="210">
        <v>294</v>
      </c>
      <c r="U51" s="209">
        <f t="shared" si="1"/>
        <v>5.6835797673386814</v>
      </c>
      <c r="V51" s="198">
        <v>29.7</v>
      </c>
      <c r="W51" s="208">
        <v>9968.34</v>
      </c>
      <c r="X51" s="209">
        <f t="shared" si="2"/>
        <v>9.2071693495948086</v>
      </c>
    </row>
    <row r="52" spans="1:24">
      <c r="A52" s="199">
        <v>5</v>
      </c>
      <c r="B52" s="200" t="s">
        <v>44</v>
      </c>
      <c r="C52" s="200" t="s">
        <v>43</v>
      </c>
      <c r="D52" s="201">
        <v>2016</v>
      </c>
      <c r="E52" s="202">
        <v>16.687999999999999</v>
      </c>
      <c r="F52" s="203">
        <v>1.0606</v>
      </c>
      <c r="G52" s="202">
        <v>306</v>
      </c>
      <c r="H52" s="187">
        <v>33.599997999999999</v>
      </c>
      <c r="I52" s="204">
        <v>90</v>
      </c>
      <c r="J52" s="203">
        <v>7.5</v>
      </c>
      <c r="K52" s="205">
        <v>11743.5</v>
      </c>
      <c r="L52" s="206">
        <v>0.30000000999999998</v>
      </c>
      <c r="M52" s="191">
        <v>1.4</v>
      </c>
      <c r="N52" s="192">
        <v>120738</v>
      </c>
      <c r="O52" s="193">
        <v>1.1100000000000001</v>
      </c>
      <c r="P52" s="202">
        <v>10018.364</v>
      </c>
      <c r="Q52" s="207">
        <v>32.299999999999997</v>
      </c>
      <c r="R52" s="208">
        <v>16.687999999999999</v>
      </c>
      <c r="S52" s="209">
        <f t="shared" si="0"/>
        <v>2.8146898982584165</v>
      </c>
      <c r="T52" s="210">
        <v>306</v>
      </c>
      <c r="U52" s="209">
        <f t="shared" si="1"/>
        <v>5.7235851019523807</v>
      </c>
      <c r="V52" s="198">
        <v>33.6</v>
      </c>
      <c r="W52" s="208">
        <v>10018.4</v>
      </c>
      <c r="X52" s="209">
        <f t="shared" si="2"/>
        <v>9.2121786812498225</v>
      </c>
    </row>
    <row r="53" spans="1:24">
      <c r="A53" s="199">
        <v>5</v>
      </c>
      <c r="B53" s="200" t="s">
        <v>44</v>
      </c>
      <c r="C53" s="200" t="s">
        <v>43</v>
      </c>
      <c r="D53" s="201">
        <v>2017</v>
      </c>
      <c r="E53" s="202">
        <v>17.850000000000001</v>
      </c>
      <c r="F53" s="203">
        <v>1.0991</v>
      </c>
      <c r="G53" s="202">
        <v>317</v>
      </c>
      <c r="H53" s="187">
        <v>32.099997999999999</v>
      </c>
      <c r="I53" s="204">
        <v>86.9</v>
      </c>
      <c r="J53" s="203">
        <v>9.1</v>
      </c>
      <c r="K53" s="205">
        <v>11740.6</v>
      </c>
      <c r="L53" s="206">
        <v>0.40000001000000002</v>
      </c>
      <c r="M53" s="191">
        <v>1.4</v>
      </c>
      <c r="N53" s="192">
        <v>120430</v>
      </c>
      <c r="O53" s="193">
        <v>1.1399999999999999</v>
      </c>
      <c r="P53" s="202">
        <v>9457.3232000000007</v>
      </c>
      <c r="Q53" s="207">
        <v>32.9</v>
      </c>
      <c r="R53" s="208">
        <v>17.850000000000001</v>
      </c>
      <c r="S53" s="209">
        <f t="shared" si="0"/>
        <v>2.8820035082256483</v>
      </c>
      <c r="T53" s="210">
        <v>317</v>
      </c>
      <c r="U53" s="209">
        <f t="shared" si="1"/>
        <v>5.7589017738772803</v>
      </c>
      <c r="V53" s="198">
        <v>32.1</v>
      </c>
      <c r="W53" s="208">
        <v>9457.32</v>
      </c>
      <c r="X53" s="209">
        <f t="shared" si="2"/>
        <v>9.1545443238121855</v>
      </c>
    </row>
    <row r="54" spans="1:24">
      <c r="A54" s="199">
        <v>5</v>
      </c>
      <c r="B54" s="200" t="s">
        <v>44</v>
      </c>
      <c r="C54" s="200" t="s">
        <v>43</v>
      </c>
      <c r="D54" s="201">
        <v>2018</v>
      </c>
      <c r="E54" s="202">
        <v>17.829999999999998</v>
      </c>
      <c r="F54" s="203">
        <v>1.1122000000000001</v>
      </c>
      <c r="G54" s="202">
        <v>318</v>
      </c>
      <c r="H54" s="187">
        <v>32.200001</v>
      </c>
      <c r="I54" s="204">
        <v>84.7</v>
      </c>
      <c r="J54" s="203">
        <v>10.5</v>
      </c>
      <c r="K54" s="205">
        <v>12059.6</v>
      </c>
      <c r="L54" s="206">
        <v>0.40000001000000002</v>
      </c>
      <c r="M54" s="191">
        <v>1.4</v>
      </c>
      <c r="N54" s="192">
        <v>120905</v>
      </c>
      <c r="O54" s="193">
        <v>1.1399999999999999</v>
      </c>
      <c r="P54" s="202">
        <v>8455.7724999999991</v>
      </c>
      <c r="Q54" s="207">
        <v>32.799999999999997</v>
      </c>
      <c r="R54" s="208">
        <v>17.829999999999998</v>
      </c>
      <c r="S54" s="209">
        <f t="shared" si="0"/>
        <v>2.8808824318750488</v>
      </c>
      <c r="T54" s="210">
        <v>318</v>
      </c>
      <c r="U54" s="209">
        <f t="shared" si="1"/>
        <v>5.7620513827801769</v>
      </c>
      <c r="V54" s="198">
        <v>32.200000000000003</v>
      </c>
      <c r="W54" s="208">
        <v>8455.77</v>
      </c>
      <c r="X54" s="209">
        <f t="shared" si="2"/>
        <v>9.0426043275585872</v>
      </c>
    </row>
    <row r="55" spans="1:24">
      <c r="A55" s="199">
        <v>5</v>
      </c>
      <c r="B55" s="200" t="s">
        <v>44</v>
      </c>
      <c r="C55" s="200" t="s">
        <v>43</v>
      </c>
      <c r="D55" s="201">
        <v>2019</v>
      </c>
      <c r="E55" s="202">
        <v>17.335999999999999</v>
      </c>
      <c r="F55" s="203">
        <v>1.1414</v>
      </c>
      <c r="G55" s="202">
        <v>320</v>
      </c>
      <c r="H55" s="187">
        <v>33.299999</v>
      </c>
      <c r="I55" s="204">
        <v>92.6</v>
      </c>
      <c r="J55" s="203">
        <v>10.6</v>
      </c>
      <c r="K55" s="205">
        <v>13898.1</v>
      </c>
      <c r="L55" s="206">
        <v>0.40000001000000002</v>
      </c>
      <c r="M55" s="191">
        <v>1.4</v>
      </c>
      <c r="N55" s="192">
        <v>125173</v>
      </c>
      <c r="O55" s="193">
        <v>1.1299999999999999</v>
      </c>
      <c r="P55" s="202">
        <v>7454.2217000000001</v>
      </c>
      <c r="Q55" s="207">
        <v>32.700000000000003</v>
      </c>
      <c r="R55" s="208">
        <v>17.335999999999999</v>
      </c>
      <c r="S55" s="209">
        <f t="shared" si="0"/>
        <v>2.8527852642340576</v>
      </c>
      <c r="T55" s="210">
        <v>320</v>
      </c>
      <c r="U55" s="209">
        <f t="shared" si="1"/>
        <v>5.768320995793772</v>
      </c>
      <c r="V55" s="198">
        <v>33.299999999999997</v>
      </c>
      <c r="W55" s="208"/>
      <c r="X55" s="209" t="e">
        <f t="shared" si="2"/>
        <v>#NUM!</v>
      </c>
    </row>
    <row r="56" spans="1:24">
      <c r="A56" s="199">
        <v>5</v>
      </c>
      <c r="B56" s="200" t="s">
        <v>44</v>
      </c>
      <c r="C56" s="200" t="s">
        <v>43</v>
      </c>
      <c r="D56" s="201">
        <v>2020</v>
      </c>
      <c r="E56" s="202">
        <v>16.042000000000002</v>
      </c>
      <c r="F56" s="203">
        <v>1.1672</v>
      </c>
      <c r="G56" s="202">
        <v>308</v>
      </c>
      <c r="H56" s="187">
        <v>40.5</v>
      </c>
      <c r="I56" s="204">
        <v>88.8</v>
      </c>
      <c r="J56" s="203">
        <v>11.5</v>
      </c>
      <c r="K56" s="205">
        <v>13085</v>
      </c>
      <c r="L56" s="206">
        <v>0.40000001000000002</v>
      </c>
      <c r="M56" s="191">
        <v>1.5</v>
      </c>
      <c r="N56" s="192">
        <v>123938</v>
      </c>
      <c r="O56" s="193">
        <v>1.01</v>
      </c>
      <c r="P56" s="202">
        <v>6452.6709000000001</v>
      </c>
      <c r="Q56" s="207">
        <v>31.1</v>
      </c>
      <c r="R56" s="208">
        <v>16.042000000000002</v>
      </c>
      <c r="S56" s="209">
        <f t="shared" si="0"/>
        <v>2.7752102829447329</v>
      </c>
      <c r="T56" s="210">
        <v>308</v>
      </c>
      <c r="U56" s="209">
        <f t="shared" si="1"/>
        <v>5.730099782973574</v>
      </c>
      <c r="V56" s="198">
        <v>40.5</v>
      </c>
      <c r="W56" s="208"/>
      <c r="X56" s="209" t="e">
        <f t="shared" si="2"/>
        <v>#NUM!</v>
      </c>
    </row>
    <row r="57" spans="1:24">
      <c r="A57" s="199">
        <v>6</v>
      </c>
      <c r="B57" s="200" t="s">
        <v>42</v>
      </c>
      <c r="C57" s="200" t="s">
        <v>41</v>
      </c>
      <c r="D57" s="201">
        <v>2010</v>
      </c>
      <c r="E57" s="202">
        <v>15.398999999999999</v>
      </c>
      <c r="F57" s="203">
        <v>2.2462</v>
      </c>
      <c r="G57" s="202">
        <v>642</v>
      </c>
      <c r="H57" s="187">
        <v>62.5</v>
      </c>
      <c r="I57" s="204">
        <v>82.8</v>
      </c>
      <c r="J57" s="203">
        <v>11.2</v>
      </c>
      <c r="K57" s="205">
        <v>7078.4</v>
      </c>
      <c r="L57" s="206">
        <v>0.69999999000000002</v>
      </c>
      <c r="M57" s="191">
        <v>1.7</v>
      </c>
      <c r="N57" s="192">
        <v>583392</v>
      </c>
      <c r="O57" s="193">
        <v>0.8</v>
      </c>
      <c r="P57" s="202">
        <v>9782.7178000000004</v>
      </c>
      <c r="Q57" s="207">
        <v>38</v>
      </c>
      <c r="R57" s="208">
        <v>15.398999999999999</v>
      </c>
      <c r="S57" s="209">
        <f t="shared" si="0"/>
        <v>2.7343025722462757</v>
      </c>
      <c r="T57" s="210">
        <v>642</v>
      </c>
      <c r="U57" s="209">
        <f t="shared" si="1"/>
        <v>6.4645883036899612</v>
      </c>
      <c r="V57" s="198">
        <v>62.5</v>
      </c>
      <c r="W57" s="208">
        <v>9782.7199999999993</v>
      </c>
      <c r="X57" s="209">
        <f t="shared" si="2"/>
        <v>9.188372842970459</v>
      </c>
    </row>
    <row r="58" spans="1:24">
      <c r="A58" s="199">
        <v>6</v>
      </c>
      <c r="B58" s="200" t="s">
        <v>42</v>
      </c>
      <c r="C58" s="200" t="s">
        <v>41</v>
      </c>
      <c r="D58" s="201">
        <v>2011</v>
      </c>
      <c r="E58" s="202">
        <v>0</v>
      </c>
      <c r="F58" s="203">
        <v>2.1867999999999999</v>
      </c>
      <c r="G58" s="202">
        <v>632</v>
      </c>
      <c r="H58" s="187">
        <v>63</v>
      </c>
      <c r="I58" s="204">
        <v>83.9</v>
      </c>
      <c r="J58" s="203">
        <v>10.6</v>
      </c>
      <c r="K58" s="205">
        <v>8983.4</v>
      </c>
      <c r="L58" s="206">
        <v>0.59999999000000004</v>
      </c>
      <c r="M58" s="191">
        <v>1.7</v>
      </c>
      <c r="N58" s="192">
        <v>596629</v>
      </c>
      <c r="O58" s="193">
        <v>0.81</v>
      </c>
      <c r="P58" s="202">
        <v>9873.4853999999996</v>
      </c>
      <c r="Q58" s="207">
        <v>37.1</v>
      </c>
      <c r="R58" s="208">
        <v>0</v>
      </c>
      <c r="S58" s="209" t="e">
        <f t="shared" si="0"/>
        <v>#NUM!</v>
      </c>
      <c r="T58" s="210">
        <v>632</v>
      </c>
      <c r="U58" s="209">
        <f t="shared" si="1"/>
        <v>6.4488893941468577</v>
      </c>
      <c r="V58" s="198">
        <v>63</v>
      </c>
      <c r="W58" s="208">
        <v>9873.49</v>
      </c>
      <c r="X58" s="209">
        <f t="shared" si="2"/>
        <v>9.1976086666847792</v>
      </c>
    </row>
    <row r="59" spans="1:24">
      <c r="A59" s="199">
        <v>6</v>
      </c>
      <c r="B59" s="200" t="s">
        <v>42</v>
      </c>
      <c r="C59" s="200" t="s">
        <v>41</v>
      </c>
      <c r="D59" s="201">
        <v>2012</v>
      </c>
      <c r="E59" s="202">
        <v>16.007000000000001</v>
      </c>
      <c r="F59" s="203">
        <v>2.2747999999999999</v>
      </c>
      <c r="G59" s="202">
        <v>640</v>
      </c>
      <c r="H59" s="187">
        <v>65.199996999999996</v>
      </c>
      <c r="I59" s="204">
        <v>83.5</v>
      </c>
      <c r="J59" s="203">
        <v>11</v>
      </c>
      <c r="K59" s="205">
        <v>10636.4</v>
      </c>
      <c r="L59" s="206">
        <v>0.5</v>
      </c>
      <c r="M59" s="191">
        <v>1.7</v>
      </c>
      <c r="N59" s="192">
        <v>617452</v>
      </c>
      <c r="O59" s="193">
        <v>0.76</v>
      </c>
      <c r="P59" s="202">
        <v>9321.4696999999996</v>
      </c>
      <c r="Q59" s="207">
        <v>36.799999999999997</v>
      </c>
      <c r="R59" s="208">
        <v>16.007000000000001</v>
      </c>
      <c r="S59" s="209">
        <f t="shared" si="0"/>
        <v>2.7730261265645604</v>
      </c>
      <c r="T59" s="210">
        <v>640</v>
      </c>
      <c r="U59" s="209">
        <f t="shared" si="1"/>
        <v>6.4614681763537174</v>
      </c>
      <c r="V59" s="198">
        <v>65.2</v>
      </c>
      <c r="W59" s="208">
        <v>9321.4699999999993</v>
      </c>
      <c r="X59" s="209">
        <f t="shared" si="2"/>
        <v>9.1400756205641951</v>
      </c>
    </row>
    <row r="60" spans="1:24">
      <c r="A60" s="199">
        <v>6</v>
      </c>
      <c r="B60" s="200" t="s">
        <v>42</v>
      </c>
      <c r="C60" s="200" t="s">
        <v>41</v>
      </c>
      <c r="D60" s="201">
        <v>2013</v>
      </c>
      <c r="E60" s="202">
        <v>15.949</v>
      </c>
      <c r="F60" s="203">
        <v>2.2837000000000001</v>
      </c>
      <c r="G60" s="202">
        <v>601</v>
      </c>
      <c r="H60" s="187">
        <v>63.799999</v>
      </c>
      <c r="I60" s="204">
        <v>82.8</v>
      </c>
      <c r="J60" s="203">
        <v>11.1</v>
      </c>
      <c r="K60" s="205">
        <v>12487.7</v>
      </c>
      <c r="L60" s="206">
        <v>0.40000001000000002</v>
      </c>
      <c r="M60" s="191">
        <v>1.7</v>
      </c>
      <c r="N60" s="192">
        <v>611082</v>
      </c>
      <c r="O60" s="193">
        <v>0.75</v>
      </c>
      <c r="P60" s="202">
        <v>9288.0547000000006</v>
      </c>
      <c r="Q60" s="207">
        <v>37.9</v>
      </c>
      <c r="R60" s="208">
        <v>15.949</v>
      </c>
      <c r="S60" s="209">
        <f t="shared" si="0"/>
        <v>2.769396131340617</v>
      </c>
      <c r="T60" s="210">
        <v>601</v>
      </c>
      <c r="U60" s="209">
        <f t="shared" si="1"/>
        <v>6.3985949345352076</v>
      </c>
      <c r="V60" s="198">
        <v>63.8</v>
      </c>
      <c r="W60" s="208">
        <v>9288.0499999999993</v>
      </c>
      <c r="X60" s="209">
        <f t="shared" si="2"/>
        <v>9.1364839066535044</v>
      </c>
    </row>
    <row r="61" spans="1:24">
      <c r="A61" s="199">
        <v>6</v>
      </c>
      <c r="B61" s="200" t="s">
        <v>42</v>
      </c>
      <c r="C61" s="200" t="s">
        <v>41</v>
      </c>
      <c r="D61" s="201">
        <v>2014</v>
      </c>
      <c r="E61" s="202">
        <v>16.059000000000001</v>
      </c>
      <c r="F61" s="203">
        <v>2.3123999999999998</v>
      </c>
      <c r="G61" s="202">
        <v>587</v>
      </c>
      <c r="H61" s="187">
        <v>65.599997999999999</v>
      </c>
      <c r="I61" s="204">
        <v>84.2</v>
      </c>
      <c r="J61" s="203">
        <v>11.2</v>
      </c>
      <c r="K61" s="205">
        <v>13520.5</v>
      </c>
      <c r="L61" s="206">
        <v>0.5</v>
      </c>
      <c r="M61" s="191">
        <v>1.8</v>
      </c>
      <c r="N61" s="192">
        <v>657563</v>
      </c>
      <c r="O61" s="193">
        <v>0.76</v>
      </c>
      <c r="P61" s="202">
        <v>9087.3153999999995</v>
      </c>
      <c r="Q61" s="207">
        <v>38</v>
      </c>
      <c r="R61" s="208">
        <v>16.059000000000001</v>
      </c>
      <c r="S61" s="209">
        <f t="shared" si="0"/>
        <v>2.7762694400793539</v>
      </c>
      <c r="T61" s="210">
        <v>587</v>
      </c>
      <c r="U61" s="209">
        <f t="shared" si="1"/>
        <v>6.3750248198280968</v>
      </c>
      <c r="V61" s="198">
        <v>65.599999999999994</v>
      </c>
      <c r="W61" s="208">
        <v>9087.32</v>
      </c>
      <c r="X61" s="209">
        <f t="shared" si="2"/>
        <v>9.1146353142178196</v>
      </c>
    </row>
    <row r="62" spans="1:24">
      <c r="A62" s="199">
        <v>6</v>
      </c>
      <c r="B62" s="200" t="s">
        <v>42</v>
      </c>
      <c r="C62" s="200" t="s">
        <v>41</v>
      </c>
      <c r="D62" s="201">
        <v>2015</v>
      </c>
      <c r="E62" s="202">
        <v>15.316000000000001</v>
      </c>
      <c r="F62" s="203">
        <v>2.4224999999999999</v>
      </c>
      <c r="G62" s="202">
        <v>565</v>
      </c>
      <c r="H62" s="187">
        <v>66.699996999999996</v>
      </c>
      <c r="I62" s="204">
        <v>79.3</v>
      </c>
      <c r="J62" s="203">
        <v>11.6</v>
      </c>
      <c r="K62" s="205">
        <v>16300.1</v>
      </c>
      <c r="L62" s="206">
        <v>0.5</v>
      </c>
      <c r="M62" s="191">
        <v>1.9</v>
      </c>
      <c r="N62" s="192">
        <v>651777</v>
      </c>
      <c r="O62" s="193">
        <v>0.78</v>
      </c>
      <c r="P62" s="202">
        <v>8939.5781000000006</v>
      </c>
      <c r="Q62" s="207">
        <v>40</v>
      </c>
      <c r="R62" s="208">
        <v>15.316000000000001</v>
      </c>
      <c r="S62" s="209">
        <f t="shared" si="0"/>
        <v>2.7288980336150481</v>
      </c>
      <c r="T62" s="210">
        <v>565</v>
      </c>
      <c r="U62" s="209">
        <f t="shared" si="1"/>
        <v>6.3368257311464413</v>
      </c>
      <c r="V62" s="198">
        <v>66.7</v>
      </c>
      <c r="W62" s="208">
        <v>8939.58</v>
      </c>
      <c r="X62" s="209">
        <f t="shared" si="2"/>
        <v>9.0982438871981994</v>
      </c>
    </row>
    <row r="63" spans="1:24">
      <c r="A63" s="199">
        <v>6</v>
      </c>
      <c r="B63" s="200" t="s">
        <v>42</v>
      </c>
      <c r="C63" s="200" t="s">
        <v>41</v>
      </c>
      <c r="D63" s="201">
        <v>2016</v>
      </c>
      <c r="E63" s="202">
        <v>15.664999999999999</v>
      </c>
      <c r="F63" s="203">
        <v>2.4466000000000001</v>
      </c>
      <c r="G63" s="202">
        <v>564</v>
      </c>
      <c r="H63" s="187">
        <v>67.099997999999999</v>
      </c>
      <c r="I63" s="204">
        <v>86.7</v>
      </c>
      <c r="J63" s="203">
        <v>11.8</v>
      </c>
      <c r="K63" s="205">
        <v>18016.7</v>
      </c>
      <c r="L63" s="206">
        <v>0.5</v>
      </c>
      <c r="M63" s="191">
        <v>1.9</v>
      </c>
      <c r="N63" s="192">
        <v>677723</v>
      </c>
      <c r="O63" s="193">
        <v>0.8</v>
      </c>
      <c r="P63" s="202">
        <v>8613.6347999999998</v>
      </c>
      <c r="Q63" s="207">
        <v>40</v>
      </c>
      <c r="R63" s="208">
        <v>15.664999999999999</v>
      </c>
      <c r="S63" s="209">
        <f t="shared" si="0"/>
        <v>2.7514289244041552</v>
      </c>
      <c r="T63" s="210">
        <v>564</v>
      </c>
      <c r="U63" s="209">
        <f t="shared" si="1"/>
        <v>6.3350542514980592</v>
      </c>
      <c r="V63" s="198">
        <v>67.099999999999994</v>
      </c>
      <c r="W63" s="208">
        <v>8613.6299999999992</v>
      </c>
      <c r="X63" s="209">
        <f t="shared" si="2"/>
        <v>9.0611011113597488</v>
      </c>
    </row>
    <row r="64" spans="1:24">
      <c r="A64" s="199">
        <v>6</v>
      </c>
      <c r="B64" s="200" t="s">
        <v>42</v>
      </c>
      <c r="C64" s="200" t="s">
        <v>41</v>
      </c>
      <c r="D64" s="201">
        <v>2017</v>
      </c>
      <c r="E64" s="202">
        <v>16.089001</v>
      </c>
      <c r="F64" s="203">
        <v>2.4775999999999998</v>
      </c>
      <c r="G64" s="202">
        <v>582</v>
      </c>
      <c r="H64" s="187">
        <v>67.199996999999996</v>
      </c>
      <c r="I64" s="204">
        <v>85.8</v>
      </c>
      <c r="J64" s="203">
        <v>11.6</v>
      </c>
      <c r="K64" s="205">
        <v>15734.1</v>
      </c>
      <c r="L64" s="206">
        <v>0.89999998000000003</v>
      </c>
      <c r="M64" s="191">
        <v>2.0999998999999998</v>
      </c>
      <c r="N64" s="192">
        <v>700179</v>
      </c>
      <c r="O64" s="193">
        <v>0.82</v>
      </c>
      <c r="P64" s="202">
        <v>7787.9727000000003</v>
      </c>
      <c r="Q64" s="207">
        <v>39.1</v>
      </c>
      <c r="R64" s="208">
        <v>16.088999999999999</v>
      </c>
      <c r="S64" s="209">
        <f t="shared" si="0"/>
        <v>2.7781358086688979</v>
      </c>
      <c r="T64" s="210">
        <v>582</v>
      </c>
      <c r="U64" s="209">
        <f t="shared" si="1"/>
        <v>6.3664704477314382</v>
      </c>
      <c r="V64" s="198">
        <v>67.2</v>
      </c>
      <c r="W64" s="208">
        <v>7787.97</v>
      </c>
      <c r="X64" s="209">
        <f t="shared" si="2"/>
        <v>8.960335514404548</v>
      </c>
    </row>
    <row r="65" spans="1:24">
      <c r="A65" s="199">
        <v>6</v>
      </c>
      <c r="B65" s="200" t="s">
        <v>42</v>
      </c>
      <c r="C65" s="200" t="s">
        <v>41</v>
      </c>
      <c r="D65" s="201">
        <v>2018</v>
      </c>
      <c r="E65" s="202">
        <v>16.209999</v>
      </c>
      <c r="F65" s="203">
        <v>2.5867</v>
      </c>
      <c r="G65" s="202">
        <v>589</v>
      </c>
      <c r="H65" s="187">
        <v>67.099997999999999</v>
      </c>
      <c r="I65" s="204">
        <v>85.6</v>
      </c>
      <c r="J65" s="203">
        <v>12</v>
      </c>
      <c r="K65" s="205">
        <v>18920.8</v>
      </c>
      <c r="L65" s="206">
        <v>1</v>
      </c>
      <c r="M65" s="191">
        <v>2.2000000000000002</v>
      </c>
      <c r="N65" s="192">
        <v>744774</v>
      </c>
      <c r="O65" s="193">
        <v>0.83</v>
      </c>
      <c r="P65" s="202">
        <v>6885.7271000000001</v>
      </c>
      <c r="Q65" s="207">
        <v>40</v>
      </c>
      <c r="R65" s="208">
        <v>16.21</v>
      </c>
      <c r="S65" s="209">
        <f t="shared" si="0"/>
        <v>2.7856283357475848</v>
      </c>
      <c r="T65" s="210">
        <v>589</v>
      </c>
      <c r="U65" s="209">
        <f t="shared" si="1"/>
        <v>6.3784261836515865</v>
      </c>
      <c r="V65" s="198">
        <v>67.099999999999994</v>
      </c>
      <c r="W65" s="208">
        <v>6885.73</v>
      </c>
      <c r="X65" s="209">
        <f t="shared" si="2"/>
        <v>8.8372064331384497</v>
      </c>
    </row>
    <row r="66" spans="1:24">
      <c r="A66" s="199">
        <v>6</v>
      </c>
      <c r="B66" s="200" t="s">
        <v>42</v>
      </c>
      <c r="C66" s="200" t="s">
        <v>41</v>
      </c>
      <c r="D66" s="201">
        <v>2019</v>
      </c>
      <c r="E66" s="202">
        <v>15.981999999999999</v>
      </c>
      <c r="F66" s="203">
        <v>2.7054999999999998</v>
      </c>
      <c r="G66" s="202">
        <v>592</v>
      </c>
      <c r="H66" s="187">
        <v>66.699996999999996</v>
      </c>
      <c r="I66" s="204">
        <v>85.4</v>
      </c>
      <c r="J66" s="203">
        <v>12.4</v>
      </c>
      <c r="K66" s="205">
        <v>17948.900000000001</v>
      </c>
      <c r="L66" s="206">
        <v>0.80000000999999998</v>
      </c>
      <c r="M66" s="191">
        <v>2.2999999999999998</v>
      </c>
      <c r="N66" s="192">
        <v>739622</v>
      </c>
      <c r="O66" s="193">
        <v>0.84</v>
      </c>
      <c r="P66" s="202">
        <v>15576.141</v>
      </c>
      <c r="Q66" s="207">
        <v>41.4</v>
      </c>
      <c r="R66" s="208">
        <v>15.981999999999999</v>
      </c>
      <c r="S66" s="209">
        <f t="shared" si="0"/>
        <v>2.7714630889522711</v>
      </c>
      <c r="T66" s="210">
        <v>592</v>
      </c>
      <c r="U66" s="209">
        <f t="shared" si="1"/>
        <v>6.3835066348840055</v>
      </c>
      <c r="V66" s="198">
        <v>66.7</v>
      </c>
      <c r="W66" s="208">
        <v>15576.1</v>
      </c>
      <c r="X66" s="209">
        <f t="shared" si="2"/>
        <v>9.653492967164965</v>
      </c>
    </row>
    <row r="67" spans="1:24">
      <c r="A67" s="199">
        <v>6</v>
      </c>
      <c r="B67" s="200" t="s">
        <v>42</v>
      </c>
      <c r="C67" s="200" t="s">
        <v>41</v>
      </c>
      <c r="D67" s="201">
        <v>2020</v>
      </c>
      <c r="E67" s="202">
        <v>15.271000000000001</v>
      </c>
      <c r="F67" s="203">
        <v>2.6840000000000002</v>
      </c>
      <c r="G67" s="202">
        <v>602</v>
      </c>
      <c r="H67" s="187">
        <v>70.300003000000004</v>
      </c>
      <c r="I67" s="204">
        <v>86.7</v>
      </c>
      <c r="J67" s="203">
        <v>12.8</v>
      </c>
      <c r="K67" s="205">
        <v>20307.7</v>
      </c>
      <c r="L67" s="206">
        <v>0.89999998000000003</v>
      </c>
      <c r="M67" s="191">
        <v>2.2999999999999998</v>
      </c>
      <c r="N67" s="192">
        <v>764770</v>
      </c>
      <c r="O67" s="193">
        <v>0.81</v>
      </c>
      <c r="P67" s="202">
        <v>15617.64</v>
      </c>
      <c r="Q67" s="207">
        <v>39.700000000000003</v>
      </c>
      <c r="R67" s="208">
        <v>15.271000000000001</v>
      </c>
      <c r="S67" s="209">
        <f t="shared" si="0"/>
        <v>2.7259556049710447</v>
      </c>
      <c r="T67" s="210">
        <v>602</v>
      </c>
      <c r="U67" s="209">
        <f t="shared" si="1"/>
        <v>6.4002574453088208</v>
      </c>
      <c r="V67" s="198">
        <v>70.3</v>
      </c>
      <c r="W67" s="208">
        <v>15617.6</v>
      </c>
      <c r="X67" s="209">
        <f t="shared" si="2"/>
        <v>9.6561537624207006</v>
      </c>
    </row>
    <row r="68" spans="1:24">
      <c r="A68" s="199">
        <v>7</v>
      </c>
      <c r="B68" s="200" t="s">
        <v>40</v>
      </c>
      <c r="C68" s="200" t="s">
        <v>39</v>
      </c>
      <c r="D68" s="201">
        <v>2010</v>
      </c>
      <c r="E68" s="202">
        <v>18.150998999999999</v>
      </c>
      <c r="F68" s="203">
        <v>2.1768999999999998</v>
      </c>
      <c r="G68" s="202">
        <v>651</v>
      </c>
      <c r="H68" s="187">
        <v>42.300002999999997</v>
      </c>
      <c r="I68" s="204">
        <v>83.5</v>
      </c>
      <c r="J68" s="203">
        <v>8</v>
      </c>
      <c r="K68" s="205">
        <v>2061.6</v>
      </c>
      <c r="L68" s="206">
        <v>1.0999999</v>
      </c>
      <c r="M68" s="191">
        <v>1.7</v>
      </c>
      <c r="N68" s="192">
        <v>33681</v>
      </c>
      <c r="O68" s="193">
        <v>1.02</v>
      </c>
      <c r="P68" s="202">
        <v>15406.038</v>
      </c>
      <c r="Q68" s="207">
        <v>35.200000000000003</v>
      </c>
      <c r="R68" s="208">
        <v>18.151</v>
      </c>
      <c r="S68" s="209">
        <f t="shared" si="0"/>
        <v>2.8987256556118406</v>
      </c>
      <c r="T68" s="210">
        <v>651</v>
      </c>
      <c r="U68" s="209">
        <f t="shared" si="1"/>
        <v>6.4785096422085688</v>
      </c>
      <c r="V68" s="198"/>
      <c r="W68" s="208">
        <v>15406</v>
      </c>
      <c r="X68" s="209">
        <f t="shared" si="2"/>
        <v>9.6425123229129106</v>
      </c>
    </row>
    <row r="69" spans="1:24">
      <c r="A69" s="199">
        <v>7</v>
      </c>
      <c r="B69" s="200" t="s">
        <v>40</v>
      </c>
      <c r="C69" s="200" t="s">
        <v>39</v>
      </c>
      <c r="D69" s="201">
        <v>2011</v>
      </c>
      <c r="E69" s="202">
        <v>21.297001000000002</v>
      </c>
      <c r="F69" s="203">
        <v>1.9789000000000001</v>
      </c>
      <c r="G69" s="202">
        <v>606</v>
      </c>
      <c r="H69" s="187">
        <v>42.400002000000001</v>
      </c>
      <c r="I69" s="204">
        <v>92</v>
      </c>
      <c r="J69" s="203">
        <v>7</v>
      </c>
      <c r="K69" s="205">
        <v>2654.5</v>
      </c>
      <c r="L69" s="206">
        <v>0.99999994000000003</v>
      </c>
      <c r="M69" s="191">
        <v>1.7</v>
      </c>
      <c r="N69" s="192">
        <v>34410</v>
      </c>
      <c r="O69" s="193">
        <v>1.07</v>
      </c>
      <c r="P69" s="202">
        <v>15012.806</v>
      </c>
      <c r="Q69" s="207">
        <v>36</v>
      </c>
      <c r="R69" s="208">
        <v>21.297000000000001</v>
      </c>
      <c r="S69" s="209">
        <f t="shared" si="0"/>
        <v>3.0585662177253585</v>
      </c>
      <c r="T69" s="210">
        <v>606</v>
      </c>
      <c r="U69" s="209">
        <f t="shared" si="1"/>
        <v>6.4068799860693142</v>
      </c>
      <c r="V69" s="198">
        <v>42.4</v>
      </c>
      <c r="W69" s="208">
        <v>15012.8</v>
      </c>
      <c r="X69" s="209">
        <f t="shared" si="2"/>
        <v>9.6166584495357856</v>
      </c>
    </row>
    <row r="70" spans="1:24">
      <c r="A70" s="199">
        <v>7</v>
      </c>
      <c r="B70" s="200" t="s">
        <v>40</v>
      </c>
      <c r="C70" s="200" t="s">
        <v>39</v>
      </c>
      <c r="D70" s="201">
        <v>2012</v>
      </c>
      <c r="E70" s="202">
        <v>22.580998999999998</v>
      </c>
      <c r="F70" s="203">
        <v>1.9710000000000001</v>
      </c>
      <c r="G70" s="202">
        <v>664</v>
      </c>
      <c r="H70" s="187">
        <v>42.5</v>
      </c>
      <c r="I70" s="204">
        <v>84.4</v>
      </c>
      <c r="J70" s="203">
        <v>6.4</v>
      </c>
      <c r="K70" s="205">
        <v>2399.6999999999998</v>
      </c>
      <c r="L70" s="206">
        <v>0.89999998000000003</v>
      </c>
      <c r="M70" s="191">
        <v>1.7</v>
      </c>
      <c r="N70" s="192">
        <v>33009</v>
      </c>
      <c r="O70" s="193">
        <v>1.06</v>
      </c>
      <c r="P70" s="202">
        <v>14013.514999999999</v>
      </c>
      <c r="Q70" s="207">
        <v>34.799999999999997</v>
      </c>
      <c r="R70" s="208">
        <v>22.581</v>
      </c>
      <c r="S70" s="209">
        <f t="shared" si="0"/>
        <v>3.1171088447205046</v>
      </c>
      <c r="T70" s="210">
        <v>664</v>
      </c>
      <c r="U70" s="209">
        <f t="shared" si="1"/>
        <v>6.4982821494764336</v>
      </c>
      <c r="V70" s="198">
        <v>42.5</v>
      </c>
      <c r="W70" s="208">
        <v>14013.5</v>
      </c>
      <c r="X70" s="209">
        <f t="shared" si="2"/>
        <v>9.5477764296868752</v>
      </c>
    </row>
    <row r="71" spans="1:24">
      <c r="A71" s="199">
        <v>7</v>
      </c>
      <c r="B71" s="200" t="s">
        <v>40</v>
      </c>
      <c r="C71" s="200" t="s">
        <v>39</v>
      </c>
      <c r="D71" s="201">
        <v>2013</v>
      </c>
      <c r="E71" s="202">
        <v>21.364999999999998</v>
      </c>
      <c r="F71" s="203">
        <v>2.1162000000000001</v>
      </c>
      <c r="G71" s="202">
        <v>657</v>
      </c>
      <c r="H71" s="187">
        <v>43.299999</v>
      </c>
      <c r="I71" s="204">
        <v>82.6</v>
      </c>
      <c r="J71" s="203">
        <v>7.7</v>
      </c>
      <c r="K71" s="205">
        <v>1812.9</v>
      </c>
      <c r="L71" s="206">
        <v>0.80000000999999998</v>
      </c>
      <c r="M71" s="191">
        <v>1.7</v>
      </c>
      <c r="N71" s="192">
        <v>32705</v>
      </c>
      <c r="O71" s="193">
        <v>1.07</v>
      </c>
      <c r="P71" s="202">
        <v>14513.152</v>
      </c>
      <c r="Q71" s="207">
        <v>38.799999999999997</v>
      </c>
      <c r="R71" s="208">
        <v>21.364999999999998</v>
      </c>
      <c r="S71" s="209">
        <f t="shared" si="0"/>
        <v>3.0617540690959881</v>
      </c>
      <c r="T71" s="210">
        <v>657</v>
      </c>
      <c r="U71" s="209">
        <f t="shared" si="1"/>
        <v>6.4876840184846101</v>
      </c>
      <c r="V71" s="198">
        <v>43.3</v>
      </c>
      <c r="W71" s="208">
        <v>14513.2</v>
      </c>
      <c r="X71" s="209">
        <f t="shared" si="2"/>
        <v>9.5828138591237035</v>
      </c>
    </row>
    <row r="72" spans="1:24">
      <c r="A72" s="199">
        <v>7</v>
      </c>
      <c r="B72" s="200" t="s">
        <v>40</v>
      </c>
      <c r="C72" s="200" t="s">
        <v>39</v>
      </c>
      <c r="D72" s="201">
        <v>2014</v>
      </c>
      <c r="E72" s="202">
        <v>21.128</v>
      </c>
      <c r="F72" s="203">
        <v>2.1328999999999998</v>
      </c>
      <c r="G72" s="202">
        <v>664</v>
      </c>
      <c r="H72" s="187">
        <v>45.400002000000001</v>
      </c>
      <c r="I72" s="204">
        <v>83</v>
      </c>
      <c r="J72" s="203">
        <v>9</v>
      </c>
      <c r="K72" s="205">
        <v>2575.6999999999998</v>
      </c>
      <c r="L72" s="206">
        <v>1</v>
      </c>
      <c r="M72" s="191">
        <v>1.7</v>
      </c>
      <c r="N72" s="192">
        <v>33351</v>
      </c>
      <c r="O72" s="193">
        <v>1.08</v>
      </c>
      <c r="P72" s="202">
        <v>15344.65</v>
      </c>
      <c r="Q72" s="207">
        <v>37.1</v>
      </c>
      <c r="R72" s="208">
        <v>21.128</v>
      </c>
      <c r="S72" s="209">
        <f t="shared" si="0"/>
        <v>3.0505991749948311</v>
      </c>
      <c r="T72" s="210">
        <v>664</v>
      </c>
      <c r="U72" s="209">
        <f t="shared" si="1"/>
        <v>6.4982821494764336</v>
      </c>
      <c r="V72" s="198">
        <v>45.4</v>
      </c>
      <c r="W72" s="208">
        <v>15344.7</v>
      </c>
      <c r="X72" s="209">
        <f t="shared" si="2"/>
        <v>9.6385254165205954</v>
      </c>
    </row>
    <row r="73" spans="1:24">
      <c r="A73" s="199">
        <v>7</v>
      </c>
      <c r="B73" s="200" t="s">
        <v>40</v>
      </c>
      <c r="C73" s="200" t="s">
        <v>39</v>
      </c>
      <c r="D73" s="201">
        <v>2015</v>
      </c>
      <c r="E73" s="202">
        <v>23.101998999999999</v>
      </c>
      <c r="F73" s="203">
        <v>2.0924</v>
      </c>
      <c r="G73" s="202">
        <v>671</v>
      </c>
      <c r="H73" s="187">
        <v>47.400002000000001</v>
      </c>
      <c r="I73" s="204">
        <v>84.2</v>
      </c>
      <c r="J73" s="203">
        <v>8.3000000000000007</v>
      </c>
      <c r="K73" s="205">
        <v>2832.1</v>
      </c>
      <c r="L73" s="206">
        <v>1</v>
      </c>
      <c r="M73" s="191">
        <v>1.8</v>
      </c>
      <c r="N73" s="192">
        <v>32930</v>
      </c>
      <c r="O73" s="193">
        <v>1.07</v>
      </c>
      <c r="P73" s="202">
        <v>15101.9</v>
      </c>
      <c r="Q73" s="207">
        <v>35.9</v>
      </c>
      <c r="R73" s="208">
        <v>23.102</v>
      </c>
      <c r="S73" s="209">
        <f t="shared" si="0"/>
        <v>3.1399191938664885</v>
      </c>
      <c r="T73" s="210">
        <v>671</v>
      </c>
      <c r="U73" s="209">
        <f t="shared" si="1"/>
        <v>6.508769136971682</v>
      </c>
      <c r="V73" s="198">
        <v>47.4</v>
      </c>
      <c r="W73" s="208">
        <v>15101.9</v>
      </c>
      <c r="X73" s="209">
        <f t="shared" si="2"/>
        <v>9.622575842701929</v>
      </c>
    </row>
    <row r="74" spans="1:24">
      <c r="A74" s="199">
        <v>7</v>
      </c>
      <c r="B74" s="200" t="s">
        <v>40</v>
      </c>
      <c r="C74" s="200" t="s">
        <v>39</v>
      </c>
      <c r="D74" s="201">
        <v>2016</v>
      </c>
      <c r="E74" s="202">
        <v>23.334999</v>
      </c>
      <c r="F74" s="203">
        <v>2.0947</v>
      </c>
      <c r="G74" s="202">
        <v>695</v>
      </c>
      <c r="H74" s="187">
        <v>48.299999</v>
      </c>
      <c r="I74" s="204">
        <v>86.4</v>
      </c>
      <c r="J74" s="203">
        <v>8</v>
      </c>
      <c r="K74" s="205">
        <v>3009</v>
      </c>
      <c r="L74" s="206">
        <v>0.89999998000000003</v>
      </c>
      <c r="M74" s="191">
        <v>1.8</v>
      </c>
      <c r="N74" s="192">
        <v>33435</v>
      </c>
      <c r="O74" s="193">
        <v>1.0900000000000001</v>
      </c>
      <c r="P74" s="202">
        <v>15143.965</v>
      </c>
      <c r="Q74" s="207">
        <v>35.4</v>
      </c>
      <c r="R74" s="208">
        <v>23.335000000000001</v>
      </c>
      <c r="S74" s="209">
        <f t="shared" si="0"/>
        <v>3.149954379401779</v>
      </c>
      <c r="T74" s="210">
        <v>695</v>
      </c>
      <c r="U74" s="209">
        <f t="shared" si="1"/>
        <v>6.543911845564792</v>
      </c>
      <c r="V74" s="198">
        <v>48.3</v>
      </c>
      <c r="W74" s="208">
        <v>15144</v>
      </c>
      <c r="X74" s="209">
        <f t="shared" si="2"/>
        <v>9.6253596928891589</v>
      </c>
    </row>
    <row r="75" spans="1:24">
      <c r="A75" s="199">
        <v>7</v>
      </c>
      <c r="B75" s="200" t="s">
        <v>40</v>
      </c>
      <c r="C75" s="200" t="s">
        <v>39</v>
      </c>
      <c r="D75" s="201">
        <v>2017</v>
      </c>
      <c r="E75" s="202">
        <v>22.867000999999998</v>
      </c>
      <c r="F75" s="203">
        <v>2.0831</v>
      </c>
      <c r="G75" s="202">
        <v>736</v>
      </c>
      <c r="H75" s="187">
        <v>47.599997999999999</v>
      </c>
      <c r="I75" s="204">
        <v>85.8</v>
      </c>
      <c r="J75" s="203">
        <v>7.9</v>
      </c>
      <c r="K75" s="205">
        <v>2274.4</v>
      </c>
      <c r="L75" s="206">
        <v>1</v>
      </c>
      <c r="M75" s="191">
        <v>1.7</v>
      </c>
      <c r="N75" s="192">
        <v>34814</v>
      </c>
      <c r="O75" s="193">
        <v>1.07</v>
      </c>
      <c r="P75" s="202">
        <v>14518.353999999999</v>
      </c>
      <c r="Q75" s="207">
        <v>36</v>
      </c>
      <c r="R75" s="208">
        <v>22.867000000000001</v>
      </c>
      <c r="S75" s="209">
        <f t="shared" si="0"/>
        <v>3.1296948232169579</v>
      </c>
      <c r="T75" s="210">
        <v>736</v>
      </c>
      <c r="U75" s="209">
        <f t="shared" si="1"/>
        <v>6.6012301187288767</v>
      </c>
      <c r="V75" s="198">
        <v>47.6</v>
      </c>
      <c r="W75" s="208">
        <v>14518.4</v>
      </c>
      <c r="X75" s="209">
        <f t="shared" si="2"/>
        <v>9.5831720894696453</v>
      </c>
    </row>
    <row r="76" spans="1:24">
      <c r="A76" s="199">
        <v>7</v>
      </c>
      <c r="B76" s="200" t="s">
        <v>40</v>
      </c>
      <c r="C76" s="200" t="s">
        <v>39</v>
      </c>
      <c r="D76" s="201">
        <v>2018</v>
      </c>
      <c r="E76" s="202">
        <v>23.184000000000001</v>
      </c>
      <c r="F76" s="203">
        <v>2.1135999999999999</v>
      </c>
      <c r="G76" s="202">
        <v>740</v>
      </c>
      <c r="H76" s="187">
        <v>49.900002000000001</v>
      </c>
      <c r="I76" s="204">
        <v>80.7</v>
      </c>
      <c r="J76" s="203">
        <v>8.1</v>
      </c>
      <c r="K76" s="205">
        <v>2672</v>
      </c>
      <c r="L76" s="206">
        <v>0.89999998000000003</v>
      </c>
      <c r="M76" s="191">
        <v>1.8</v>
      </c>
      <c r="N76" s="192">
        <v>36639</v>
      </c>
      <c r="O76" s="193">
        <v>1.08</v>
      </c>
      <c r="P76" s="202">
        <v>12752.816999999999</v>
      </c>
      <c r="Q76" s="207">
        <v>38.1</v>
      </c>
      <c r="R76" s="208">
        <v>23.184000000000001</v>
      </c>
      <c r="S76" s="209">
        <f t="shared" si="0"/>
        <v>3.1434623855783266</v>
      </c>
      <c r="T76" s="210">
        <v>740</v>
      </c>
      <c r="U76" s="209">
        <f t="shared" si="1"/>
        <v>6.6066501861982152</v>
      </c>
      <c r="V76" s="198">
        <v>49.9</v>
      </c>
      <c r="W76" s="208">
        <v>12752.8</v>
      </c>
      <c r="X76" s="209">
        <f t="shared" si="2"/>
        <v>9.4535061343194364</v>
      </c>
    </row>
    <row r="77" spans="1:24">
      <c r="A77" s="199">
        <v>7</v>
      </c>
      <c r="B77" s="200" t="s">
        <v>40</v>
      </c>
      <c r="C77" s="200" t="s">
        <v>39</v>
      </c>
      <c r="D77" s="201">
        <v>2019</v>
      </c>
      <c r="E77" s="202">
        <v>24.236999999999998</v>
      </c>
      <c r="F77" s="203">
        <v>2.1276000000000002</v>
      </c>
      <c r="G77" s="202">
        <v>790</v>
      </c>
      <c r="H77" s="187">
        <v>51.5</v>
      </c>
      <c r="I77" s="204">
        <v>83.7</v>
      </c>
      <c r="J77" s="203">
        <v>7.6</v>
      </c>
      <c r="K77" s="205">
        <v>2876</v>
      </c>
      <c r="L77" s="206">
        <v>0.80000000999999998</v>
      </c>
      <c r="M77" s="191">
        <v>1.7</v>
      </c>
      <c r="N77" s="192">
        <v>36394</v>
      </c>
      <c r="O77" s="193">
        <v>1.0900000000000001</v>
      </c>
      <c r="P77" s="202">
        <v>10987.281000000001</v>
      </c>
      <c r="Q77" s="207">
        <v>37.1</v>
      </c>
      <c r="R77" s="208">
        <v>24.236999999999998</v>
      </c>
      <c r="S77" s="209">
        <f t="shared" si="0"/>
        <v>3.187880391165681</v>
      </c>
      <c r="T77" s="210">
        <v>790</v>
      </c>
      <c r="U77" s="209">
        <f t="shared" si="1"/>
        <v>6.6720329454610674</v>
      </c>
      <c r="V77" s="198">
        <v>51.5</v>
      </c>
      <c r="W77" s="208"/>
      <c r="X77" s="209" t="e">
        <f t="shared" si="2"/>
        <v>#NUM!</v>
      </c>
    </row>
    <row r="78" spans="1:24">
      <c r="A78" s="199">
        <v>7</v>
      </c>
      <c r="B78" s="200" t="s">
        <v>40</v>
      </c>
      <c r="C78" s="200" t="s">
        <v>39</v>
      </c>
      <c r="D78" s="201">
        <v>2020</v>
      </c>
      <c r="E78" s="202">
        <v>22.957001000000002</v>
      </c>
      <c r="F78" s="203">
        <v>2.1474000000000002</v>
      </c>
      <c r="G78" s="202">
        <v>830</v>
      </c>
      <c r="H78" s="187">
        <v>45</v>
      </c>
      <c r="I78" s="204">
        <v>84.1</v>
      </c>
      <c r="J78" s="203">
        <v>7.6</v>
      </c>
      <c r="K78" s="205">
        <v>2435.6999999999998</v>
      </c>
      <c r="L78" s="206">
        <v>0.89999998000000003</v>
      </c>
      <c r="M78" s="191">
        <v>1.9</v>
      </c>
      <c r="N78" s="192">
        <v>35758</v>
      </c>
      <c r="O78" s="193">
        <v>1.06</v>
      </c>
      <c r="P78" s="202">
        <v>9221.7451000000001</v>
      </c>
      <c r="Q78" s="207">
        <v>37</v>
      </c>
      <c r="R78" s="208">
        <v>22.957000000000001</v>
      </c>
      <c r="S78" s="209">
        <f t="shared" si="0"/>
        <v>3.1336229008934344</v>
      </c>
      <c r="T78" s="210">
        <v>830</v>
      </c>
      <c r="U78" s="209">
        <f t="shared" si="1"/>
        <v>6.7214257007906433</v>
      </c>
      <c r="V78" s="198">
        <v>45</v>
      </c>
      <c r="W78" s="208"/>
      <c r="X78" s="209" t="e">
        <f t="shared" si="2"/>
        <v>#NUM!</v>
      </c>
    </row>
    <row r="79" spans="1:24">
      <c r="A79" s="199">
        <v>8</v>
      </c>
      <c r="B79" s="200" t="s">
        <v>38</v>
      </c>
      <c r="C79" s="200" t="s">
        <v>37</v>
      </c>
      <c r="D79" s="201">
        <v>2010</v>
      </c>
      <c r="E79" s="202">
        <v>23.652999999999999</v>
      </c>
      <c r="F79" s="203">
        <v>0.54020000000000001</v>
      </c>
      <c r="G79" s="202">
        <v>844</v>
      </c>
      <c r="H79" s="187">
        <v>18</v>
      </c>
      <c r="I79" s="204">
        <v>82.7</v>
      </c>
      <c r="J79" s="203">
        <v>9</v>
      </c>
      <c r="K79" s="205">
        <v>18.2</v>
      </c>
      <c r="L79" s="206">
        <v>1.7</v>
      </c>
      <c r="M79" s="191">
        <v>2</v>
      </c>
      <c r="N79" s="192">
        <v>9288</v>
      </c>
      <c r="O79" s="193">
        <v>1.1100000000000001</v>
      </c>
      <c r="P79" s="202">
        <v>14918.12</v>
      </c>
      <c r="Q79" s="207">
        <v>21.5</v>
      </c>
      <c r="R79" s="208">
        <v>23.652999999999999</v>
      </c>
      <c r="S79" s="209">
        <f t="shared" si="0"/>
        <v>3.1634899567874664</v>
      </c>
      <c r="T79" s="210">
        <v>844</v>
      </c>
      <c r="U79" s="209">
        <f t="shared" si="1"/>
        <v>6.7381524945959574</v>
      </c>
      <c r="V79" s="198">
        <v>18</v>
      </c>
      <c r="W79" s="208">
        <v>14918.1</v>
      </c>
      <c r="X79" s="209">
        <f t="shared" si="2"/>
        <v>9.6103305198040765</v>
      </c>
    </row>
    <row r="80" spans="1:24">
      <c r="A80" s="199">
        <v>8</v>
      </c>
      <c r="B80" s="200" t="s">
        <v>38</v>
      </c>
      <c r="C80" s="200" t="s">
        <v>37</v>
      </c>
      <c r="D80" s="201">
        <v>2011</v>
      </c>
      <c r="E80" s="202">
        <v>26.240998999999999</v>
      </c>
      <c r="F80" s="203">
        <v>0.53749999999999998</v>
      </c>
      <c r="G80" s="202">
        <v>814</v>
      </c>
      <c r="H80" s="187">
        <v>23.299999</v>
      </c>
      <c r="I80" s="204">
        <v>69.5</v>
      </c>
      <c r="J80" s="203">
        <v>14.5</v>
      </c>
      <c r="K80" s="205">
        <v>24.1</v>
      </c>
      <c r="L80" s="206">
        <v>1.4</v>
      </c>
      <c r="M80" s="191">
        <v>2</v>
      </c>
      <c r="N80" s="192">
        <v>9860</v>
      </c>
      <c r="O80" s="193">
        <v>1.1200000000000001</v>
      </c>
      <c r="P80" s="202">
        <v>16336.708000000001</v>
      </c>
      <c r="Q80" s="207">
        <v>21.8</v>
      </c>
      <c r="R80" s="208">
        <v>26.241</v>
      </c>
      <c r="S80" s="209">
        <f t="shared" si="0"/>
        <v>3.2673230731058274</v>
      </c>
      <c r="T80" s="210">
        <v>814</v>
      </c>
      <c r="U80" s="209">
        <f t="shared" si="1"/>
        <v>6.70196036600254</v>
      </c>
      <c r="V80" s="198">
        <v>23.3</v>
      </c>
      <c r="W80" s="208">
        <v>16336.7</v>
      </c>
      <c r="X80" s="209">
        <f t="shared" si="2"/>
        <v>9.7011693896333195</v>
      </c>
    </row>
    <row r="81" spans="1:24">
      <c r="A81" s="199">
        <v>8</v>
      </c>
      <c r="B81" s="200" t="s">
        <v>38</v>
      </c>
      <c r="C81" s="200" t="s">
        <v>37</v>
      </c>
      <c r="D81" s="201">
        <v>2012</v>
      </c>
      <c r="E81" s="202">
        <v>27.187999999999999</v>
      </c>
      <c r="F81" s="203">
        <v>0.5464</v>
      </c>
      <c r="G81" s="202">
        <v>769</v>
      </c>
      <c r="H81" s="187">
        <v>19.100000000000001</v>
      </c>
      <c r="I81" s="204">
        <v>80.400000000000006</v>
      </c>
      <c r="J81" s="203">
        <v>19.2</v>
      </c>
      <c r="K81" s="205">
        <v>93.6</v>
      </c>
      <c r="L81" s="206">
        <v>1.1000000000000001</v>
      </c>
      <c r="M81" s="191">
        <v>2</v>
      </c>
      <c r="N81" s="192">
        <v>10687</v>
      </c>
      <c r="O81" s="193">
        <v>1.1499999999999999</v>
      </c>
      <c r="P81" s="202">
        <v>15694.669</v>
      </c>
      <c r="Q81" s="207">
        <v>20.7</v>
      </c>
      <c r="R81" s="208">
        <v>27.187999999999999</v>
      </c>
      <c r="S81" s="209">
        <f t="shared" si="0"/>
        <v>3.3027756994843918</v>
      </c>
      <c r="T81" s="210">
        <v>769</v>
      </c>
      <c r="U81" s="209">
        <f t="shared" si="1"/>
        <v>6.6450909695056444</v>
      </c>
      <c r="V81" s="198">
        <v>19.100000000000001</v>
      </c>
      <c r="W81" s="208">
        <v>15694.7</v>
      </c>
      <c r="X81" s="209">
        <f t="shared" si="2"/>
        <v>9.6610783547257384</v>
      </c>
    </row>
    <row r="82" spans="1:24">
      <c r="A82" s="199">
        <v>8</v>
      </c>
      <c r="B82" s="200" t="s">
        <v>38</v>
      </c>
      <c r="C82" s="200" t="s">
        <v>37</v>
      </c>
      <c r="D82" s="201">
        <v>2013</v>
      </c>
      <c r="E82" s="202">
        <v>26.624001</v>
      </c>
      <c r="F82" s="203">
        <v>0.52439999999999998</v>
      </c>
      <c r="G82" s="202">
        <v>802</v>
      </c>
      <c r="H82" s="187">
        <v>17.600000000000001</v>
      </c>
      <c r="I82" s="204">
        <v>66</v>
      </c>
      <c r="J82" s="203">
        <v>14.7</v>
      </c>
      <c r="K82" s="205">
        <v>444.3</v>
      </c>
      <c r="L82" s="206">
        <v>0.80000000999999998</v>
      </c>
      <c r="M82" s="191">
        <v>2</v>
      </c>
      <c r="N82" s="192">
        <v>11229</v>
      </c>
      <c r="O82" s="193">
        <v>1.1399999999999999</v>
      </c>
      <c r="P82" s="202">
        <v>13195.241</v>
      </c>
      <c r="Q82" s="207">
        <v>19.3</v>
      </c>
      <c r="R82" s="208">
        <v>26.623999999999999</v>
      </c>
      <c r="S82" s="209">
        <f t="shared" si="0"/>
        <v>3.281813064638798</v>
      </c>
      <c r="T82" s="210">
        <v>802</v>
      </c>
      <c r="U82" s="209">
        <f t="shared" si="1"/>
        <v>6.6871086078665147</v>
      </c>
      <c r="V82" s="198">
        <v>17.600000000000001</v>
      </c>
      <c r="W82" s="208">
        <v>13195.2</v>
      </c>
      <c r="X82" s="209">
        <f t="shared" si="2"/>
        <v>9.4876084060790902</v>
      </c>
    </row>
    <row r="83" spans="1:24">
      <c r="A83" s="199">
        <v>8</v>
      </c>
      <c r="B83" s="200" t="s">
        <v>38</v>
      </c>
      <c r="C83" s="200" t="s">
        <v>37</v>
      </c>
      <c r="D83" s="201">
        <v>2014</v>
      </c>
      <c r="E83" s="202">
        <v>24.298999999999999</v>
      </c>
      <c r="F83" s="203">
        <v>0.56769999999999998</v>
      </c>
      <c r="G83" s="202">
        <v>453</v>
      </c>
      <c r="H83" s="187">
        <v>31.1</v>
      </c>
      <c r="I83" s="204">
        <v>85.1</v>
      </c>
      <c r="J83" s="203">
        <v>11.3</v>
      </c>
      <c r="K83" s="205">
        <v>452.9</v>
      </c>
      <c r="L83" s="206">
        <v>0.60000001999999997</v>
      </c>
      <c r="M83" s="191">
        <v>2</v>
      </c>
      <c r="N83" s="192">
        <v>11944</v>
      </c>
      <c r="O83" s="193">
        <v>1.17</v>
      </c>
      <c r="P83" s="202">
        <v>14436.199000000001</v>
      </c>
      <c r="Q83" s="207">
        <v>20.2</v>
      </c>
      <c r="R83" s="208">
        <v>24.298999999999999</v>
      </c>
      <c r="S83" s="209">
        <f t="shared" si="0"/>
        <v>3.1904351972363507</v>
      </c>
      <c r="T83" s="210">
        <v>453</v>
      </c>
      <c r="U83" s="209">
        <f t="shared" si="1"/>
        <v>6.1158921254830343</v>
      </c>
      <c r="V83" s="198">
        <v>31.1</v>
      </c>
      <c r="W83" s="208">
        <v>14436.2</v>
      </c>
      <c r="X83" s="209">
        <f t="shared" si="2"/>
        <v>9.5774942199199664</v>
      </c>
    </row>
    <row r="84" spans="1:24">
      <c r="A84" s="199">
        <v>8</v>
      </c>
      <c r="B84" s="200" t="s">
        <v>38</v>
      </c>
      <c r="C84" s="200" t="s">
        <v>37</v>
      </c>
      <c r="D84" s="201">
        <v>2015</v>
      </c>
      <c r="E84" s="202">
        <v>25.447001</v>
      </c>
      <c r="F84" s="203">
        <v>0.58350000000000002</v>
      </c>
      <c r="G84" s="202">
        <v>366</v>
      </c>
      <c r="H84" s="187">
        <v>28.299999</v>
      </c>
      <c r="I84" s="204">
        <v>86.7</v>
      </c>
      <c r="J84" s="203">
        <v>11.4</v>
      </c>
      <c r="K84" s="205">
        <v>374.7</v>
      </c>
      <c r="L84" s="206">
        <v>0.60000001999999997</v>
      </c>
      <c r="M84" s="191">
        <v>1.9</v>
      </c>
      <c r="N84" s="192">
        <v>12174</v>
      </c>
      <c r="O84" s="193">
        <v>1.19</v>
      </c>
      <c r="P84" s="202">
        <v>15279.905000000001</v>
      </c>
      <c r="Q84" s="207">
        <v>19.7</v>
      </c>
      <c r="R84" s="208">
        <v>25.446999999999999</v>
      </c>
      <c r="S84" s="209">
        <f t="shared" si="0"/>
        <v>3.2365978578558172</v>
      </c>
      <c r="T84" s="210">
        <v>366</v>
      </c>
      <c r="U84" s="209">
        <f t="shared" si="1"/>
        <v>5.9026333334013659</v>
      </c>
      <c r="V84" s="198">
        <v>28.3</v>
      </c>
      <c r="W84" s="208">
        <v>15279.9</v>
      </c>
      <c r="X84" s="209">
        <f t="shared" si="2"/>
        <v>9.6342935181964791</v>
      </c>
    </row>
    <row r="85" spans="1:24">
      <c r="A85" s="199">
        <v>8</v>
      </c>
      <c r="B85" s="200" t="s">
        <v>38</v>
      </c>
      <c r="C85" s="200" t="s">
        <v>37</v>
      </c>
      <c r="D85" s="201">
        <v>2016</v>
      </c>
      <c r="E85" s="202">
        <v>24.549999</v>
      </c>
      <c r="F85" s="203">
        <v>0.62239999999999995</v>
      </c>
      <c r="G85" s="202">
        <v>401</v>
      </c>
      <c r="H85" s="187">
        <v>27.9</v>
      </c>
      <c r="I85" s="204">
        <v>86.7</v>
      </c>
      <c r="J85" s="203">
        <v>11.9</v>
      </c>
      <c r="K85" s="205">
        <v>1027.3</v>
      </c>
      <c r="L85" s="206">
        <v>0.60000001999999997</v>
      </c>
      <c r="M85" s="191">
        <v>1.9</v>
      </c>
      <c r="N85" s="192">
        <v>11644</v>
      </c>
      <c r="O85" s="193">
        <v>1.2</v>
      </c>
      <c r="P85" s="202">
        <v>14529.228999999999</v>
      </c>
      <c r="Q85" s="207">
        <v>22.3</v>
      </c>
      <c r="R85" s="208">
        <v>24.55</v>
      </c>
      <c r="S85" s="209">
        <f t="shared" si="0"/>
        <v>3.2007118542405295</v>
      </c>
      <c r="T85" s="210">
        <v>401</v>
      </c>
      <c r="U85" s="209">
        <f t="shared" si="1"/>
        <v>5.9939614273065693</v>
      </c>
      <c r="V85" s="198">
        <v>27.9</v>
      </c>
      <c r="W85" s="208">
        <v>14529.2</v>
      </c>
      <c r="X85" s="209">
        <f t="shared" si="2"/>
        <v>9.5839156965488979</v>
      </c>
    </row>
    <row r="86" spans="1:24">
      <c r="A86" s="199">
        <v>8</v>
      </c>
      <c r="B86" s="200" t="s">
        <v>38</v>
      </c>
      <c r="C86" s="200" t="s">
        <v>37</v>
      </c>
      <c r="D86" s="201">
        <v>2017</v>
      </c>
      <c r="E86" s="202">
        <v>28.867000999999998</v>
      </c>
      <c r="F86" s="203">
        <v>0.55489999999999995</v>
      </c>
      <c r="G86" s="202">
        <v>414</v>
      </c>
      <c r="H86" s="187">
        <v>28.200001</v>
      </c>
      <c r="I86" s="204">
        <v>85.7</v>
      </c>
      <c r="J86" s="203">
        <v>12.5</v>
      </c>
      <c r="K86" s="205">
        <v>947.8</v>
      </c>
      <c r="L86" s="206">
        <v>0.69999999000000002</v>
      </c>
      <c r="M86" s="191">
        <v>2</v>
      </c>
      <c r="N86" s="192">
        <v>12372</v>
      </c>
      <c r="O86" s="193">
        <v>1.2</v>
      </c>
      <c r="P86" s="202">
        <v>10611.668</v>
      </c>
      <c r="Q86" s="207">
        <v>20.9</v>
      </c>
      <c r="R86" s="208">
        <v>28.867000000000001</v>
      </c>
      <c r="S86" s="209">
        <f t="shared" si="0"/>
        <v>3.3626990741777205</v>
      </c>
      <c r="T86" s="210">
        <v>414</v>
      </c>
      <c r="U86" s="209">
        <f t="shared" si="1"/>
        <v>6.0258659738253142</v>
      </c>
      <c r="V86" s="198">
        <v>28.2</v>
      </c>
      <c r="W86" s="208">
        <v>10611.7</v>
      </c>
      <c r="X86" s="209">
        <f t="shared" si="2"/>
        <v>9.2697124449748785</v>
      </c>
    </row>
    <row r="87" spans="1:24">
      <c r="A87" s="199">
        <v>8</v>
      </c>
      <c r="B87" s="200" t="s">
        <v>38</v>
      </c>
      <c r="C87" s="200" t="s">
        <v>37</v>
      </c>
      <c r="D87" s="201">
        <v>2018</v>
      </c>
      <c r="E87" s="202">
        <v>30.579000000000001</v>
      </c>
      <c r="F87" s="203">
        <v>0.55489999999999995</v>
      </c>
      <c r="G87" s="202">
        <v>445</v>
      </c>
      <c r="H87" s="187">
        <v>28</v>
      </c>
      <c r="I87" s="204">
        <v>85.7</v>
      </c>
      <c r="J87" s="203">
        <v>13.8</v>
      </c>
      <c r="K87" s="205">
        <v>818.2</v>
      </c>
      <c r="L87" s="206">
        <v>0.80000000999999998</v>
      </c>
      <c r="M87" s="191">
        <v>2.0999998999999998</v>
      </c>
      <c r="N87" s="192">
        <v>13829</v>
      </c>
      <c r="O87" s="193">
        <v>1.19</v>
      </c>
      <c r="P87" s="202">
        <v>7940.9921999999997</v>
      </c>
      <c r="Q87" s="207">
        <v>23.4</v>
      </c>
      <c r="R87" s="208">
        <v>30.579000000000001</v>
      </c>
      <c r="S87" s="209">
        <f t="shared" si="0"/>
        <v>3.4203134988543855</v>
      </c>
      <c r="T87" s="210">
        <v>445</v>
      </c>
      <c r="U87" s="209">
        <f t="shared" si="1"/>
        <v>6.0980742821662401</v>
      </c>
      <c r="V87" s="198">
        <v>28</v>
      </c>
      <c r="W87" s="208">
        <v>7940.99</v>
      </c>
      <c r="X87" s="209">
        <f t="shared" si="2"/>
        <v>8.9797932316071751</v>
      </c>
    </row>
    <row r="88" spans="1:24">
      <c r="A88" s="199">
        <v>8</v>
      </c>
      <c r="B88" s="200" t="s">
        <v>38</v>
      </c>
      <c r="C88" s="200" t="s">
        <v>37</v>
      </c>
      <c r="D88" s="201">
        <v>2019</v>
      </c>
      <c r="E88" s="202">
        <v>28.676000999999999</v>
      </c>
      <c r="F88" s="203">
        <v>0.64059999999999995</v>
      </c>
      <c r="G88" s="202">
        <v>433</v>
      </c>
      <c r="H88" s="187">
        <v>30.799999</v>
      </c>
      <c r="I88" s="204">
        <v>80.599999999999994</v>
      </c>
      <c r="J88" s="203">
        <v>15.3</v>
      </c>
      <c r="K88" s="205">
        <v>462.9</v>
      </c>
      <c r="L88" s="206">
        <v>0.69999999000000002</v>
      </c>
      <c r="M88" s="191">
        <v>2</v>
      </c>
      <c r="N88" s="192">
        <v>13343</v>
      </c>
      <c r="O88" s="193">
        <v>1.22</v>
      </c>
      <c r="P88" s="202">
        <v>5270.3163999999997</v>
      </c>
      <c r="Q88" s="207">
        <v>24.4</v>
      </c>
      <c r="R88" s="208">
        <v>28.675999999999998</v>
      </c>
      <c r="S88" s="209">
        <f t="shared" si="0"/>
        <v>3.3560605359906259</v>
      </c>
      <c r="T88" s="210">
        <v>433</v>
      </c>
      <c r="U88" s="209">
        <f t="shared" si="1"/>
        <v>6.0707377280024897</v>
      </c>
      <c r="V88" s="198">
        <v>30.8</v>
      </c>
      <c r="W88" s="208"/>
      <c r="X88" s="209" t="e">
        <f t="shared" si="2"/>
        <v>#NUM!</v>
      </c>
    </row>
    <row r="89" spans="1:24">
      <c r="A89" s="199">
        <v>8</v>
      </c>
      <c r="B89" s="200" t="s">
        <v>38</v>
      </c>
      <c r="C89" s="200" t="s">
        <v>37</v>
      </c>
      <c r="D89" s="201">
        <v>2020</v>
      </c>
      <c r="E89" s="202">
        <v>28.365998999999999</v>
      </c>
      <c r="F89" s="203">
        <v>0.66400000000000003</v>
      </c>
      <c r="G89" s="202">
        <v>398</v>
      </c>
      <c r="H89" s="187">
        <v>28.9</v>
      </c>
      <c r="I89" s="204">
        <v>81.599999999999994</v>
      </c>
      <c r="J89" s="203">
        <v>16.399999999999999</v>
      </c>
      <c r="K89" s="205">
        <v>1789.7</v>
      </c>
      <c r="L89" s="206">
        <v>0.69999999000000002</v>
      </c>
      <c r="M89" s="191">
        <v>2.0999998999999998</v>
      </c>
      <c r="N89" s="192">
        <v>13810</v>
      </c>
      <c r="O89" s="193">
        <v>1.19</v>
      </c>
      <c r="P89" s="202">
        <v>2599.6406000000002</v>
      </c>
      <c r="Q89" s="207">
        <v>26.7</v>
      </c>
      <c r="R89" s="208">
        <v>28.366</v>
      </c>
      <c r="S89" s="209">
        <f t="shared" si="0"/>
        <v>3.3451912448724159</v>
      </c>
      <c r="T89" s="210">
        <v>398</v>
      </c>
      <c r="U89" s="209">
        <f t="shared" si="1"/>
        <v>5.9864520052844377</v>
      </c>
      <c r="V89" s="198">
        <v>28.9</v>
      </c>
      <c r="W89" s="208"/>
      <c r="X89" s="209" t="e">
        <f t="shared" si="2"/>
        <v>#NUM!</v>
      </c>
    </row>
    <row r="90" spans="1:24">
      <c r="A90" s="199">
        <v>9</v>
      </c>
      <c r="B90" s="200" t="s">
        <v>36</v>
      </c>
      <c r="C90" s="200" t="s">
        <v>35</v>
      </c>
      <c r="D90" s="201">
        <v>2010</v>
      </c>
      <c r="E90" s="202">
        <v>18.785</v>
      </c>
      <c r="F90" s="203">
        <v>1.1411</v>
      </c>
      <c r="G90" s="202">
        <v>390</v>
      </c>
      <c r="H90" s="187">
        <v>17.100000000000001</v>
      </c>
      <c r="I90" s="204">
        <v>98</v>
      </c>
      <c r="J90" s="203">
        <v>2.5</v>
      </c>
      <c r="K90" s="205">
        <v>19.3</v>
      </c>
      <c r="L90" s="206">
        <v>0.1</v>
      </c>
      <c r="M90" s="191">
        <v>1.1000000000000001</v>
      </c>
      <c r="N90" s="192">
        <v>75071</v>
      </c>
      <c r="O90" s="193">
        <v>0.92</v>
      </c>
      <c r="P90" s="202">
        <v>9565.6455000000005</v>
      </c>
      <c r="Q90" s="207">
        <v>23.2</v>
      </c>
      <c r="R90" s="208">
        <v>18.785</v>
      </c>
      <c r="S90" s="209">
        <f t="shared" si="0"/>
        <v>2.9330586790259323</v>
      </c>
      <c r="T90" s="210">
        <v>390</v>
      </c>
      <c r="U90" s="209">
        <f t="shared" si="1"/>
        <v>5.9661467391236922</v>
      </c>
      <c r="V90" s="198">
        <v>17.100000000000001</v>
      </c>
      <c r="W90" s="208">
        <v>9565.65</v>
      </c>
      <c r="X90" s="209">
        <f t="shared" si="2"/>
        <v>9.1659338356553537</v>
      </c>
    </row>
    <row r="91" spans="1:24">
      <c r="A91" s="199">
        <v>9</v>
      </c>
      <c r="B91" s="200" t="s">
        <v>36</v>
      </c>
      <c r="C91" s="200" t="s">
        <v>35</v>
      </c>
      <c r="D91" s="201">
        <v>2011</v>
      </c>
      <c r="E91" s="202">
        <v>16.914000000000001</v>
      </c>
      <c r="F91" s="203">
        <v>1.1249</v>
      </c>
      <c r="G91" s="202">
        <v>405</v>
      </c>
      <c r="H91" s="187">
        <v>17.799999</v>
      </c>
      <c r="I91" s="204">
        <v>90.9</v>
      </c>
      <c r="J91" s="203">
        <v>2</v>
      </c>
      <c r="K91" s="205">
        <v>37.200000000000003</v>
      </c>
      <c r="L91" s="206">
        <v>0.1</v>
      </c>
      <c r="M91" s="191">
        <v>0.89999998000000003</v>
      </c>
      <c r="N91" s="192">
        <v>70588</v>
      </c>
      <c r="O91" s="193">
        <v>0.91</v>
      </c>
      <c r="P91" s="202">
        <v>8901.4570000000003</v>
      </c>
      <c r="Q91" s="207">
        <v>24.2</v>
      </c>
      <c r="R91" s="208">
        <v>16.914000000000001</v>
      </c>
      <c r="S91" s="209">
        <f t="shared" si="0"/>
        <v>2.8281416813600306</v>
      </c>
      <c r="T91" s="210">
        <v>405</v>
      </c>
      <c r="U91" s="209">
        <f t="shared" si="1"/>
        <v>6.0038870671065387</v>
      </c>
      <c r="V91" s="198">
        <v>17.8</v>
      </c>
      <c r="W91" s="208">
        <v>8901.4599999999991</v>
      </c>
      <c r="X91" s="209">
        <f t="shared" si="2"/>
        <v>9.0939705872101513</v>
      </c>
    </row>
    <row r="92" spans="1:24">
      <c r="A92" s="199">
        <v>9</v>
      </c>
      <c r="B92" s="200" t="s">
        <v>36</v>
      </c>
      <c r="C92" s="200" t="s">
        <v>35</v>
      </c>
      <c r="D92" s="201">
        <v>2012</v>
      </c>
      <c r="E92" s="202">
        <v>15.516999999999999</v>
      </c>
      <c r="F92" s="203">
        <v>1.1342000000000001</v>
      </c>
      <c r="G92" s="202">
        <v>369</v>
      </c>
      <c r="H92" s="187">
        <v>17</v>
      </c>
      <c r="I92" s="204">
        <v>90.2</v>
      </c>
      <c r="J92" s="203">
        <v>1.8</v>
      </c>
      <c r="K92" s="205">
        <v>71.400000000000006</v>
      </c>
      <c r="L92" s="206">
        <v>0.1</v>
      </c>
      <c r="M92" s="191">
        <v>0.69999999000000002</v>
      </c>
      <c r="N92" s="192">
        <v>60948</v>
      </c>
      <c r="O92" s="193">
        <v>0.87</v>
      </c>
      <c r="P92" s="202">
        <v>8711.7528999999995</v>
      </c>
      <c r="Q92" s="207">
        <v>25</v>
      </c>
      <c r="R92" s="208">
        <v>15.516999999999999</v>
      </c>
      <c r="S92" s="209">
        <f t="shared" si="0"/>
        <v>2.7419361971013467</v>
      </c>
      <c r="T92" s="210">
        <v>369</v>
      </c>
      <c r="U92" s="209">
        <f t="shared" si="1"/>
        <v>5.9107966440405271</v>
      </c>
      <c r="V92" s="198">
        <v>17</v>
      </c>
      <c r="W92" s="208">
        <v>8711.75</v>
      </c>
      <c r="X92" s="209">
        <f t="shared" si="2"/>
        <v>9.0724279681496327</v>
      </c>
    </row>
    <row r="93" spans="1:24">
      <c r="A93" s="199">
        <v>9</v>
      </c>
      <c r="B93" s="200" t="s">
        <v>36</v>
      </c>
      <c r="C93" s="200" t="s">
        <v>35</v>
      </c>
      <c r="D93" s="201">
        <v>2013</v>
      </c>
      <c r="E93" s="202">
        <v>14.483000000000001</v>
      </c>
      <c r="F93" s="203">
        <v>1.1910000000000001</v>
      </c>
      <c r="G93" s="202">
        <v>383</v>
      </c>
      <c r="H93" s="187">
        <v>15.8</v>
      </c>
      <c r="I93" s="204">
        <v>91</v>
      </c>
      <c r="J93" s="203">
        <v>1.7</v>
      </c>
      <c r="K93" s="205">
        <v>64.5</v>
      </c>
      <c r="L93" s="206">
        <v>0.1</v>
      </c>
      <c r="M93" s="191">
        <v>0.5</v>
      </c>
      <c r="N93" s="192">
        <v>56493</v>
      </c>
      <c r="O93" s="193">
        <v>0.89</v>
      </c>
      <c r="P93" s="202">
        <v>8431.8984</v>
      </c>
      <c r="Q93" s="207">
        <v>26.2</v>
      </c>
      <c r="R93" s="208">
        <v>14.483000000000001</v>
      </c>
      <c r="S93" s="209">
        <f t="shared" si="0"/>
        <v>2.6729755478187194</v>
      </c>
      <c r="T93" s="210">
        <v>383</v>
      </c>
      <c r="U93" s="209">
        <f t="shared" si="1"/>
        <v>5.9480349891806457</v>
      </c>
      <c r="V93" s="198">
        <v>15.8</v>
      </c>
      <c r="W93" s="208">
        <v>8431.9</v>
      </c>
      <c r="X93" s="209">
        <f t="shared" si="2"/>
        <v>9.0397774111282754</v>
      </c>
    </row>
    <row r="94" spans="1:24">
      <c r="A94" s="199">
        <v>9</v>
      </c>
      <c r="B94" s="200" t="s">
        <v>36</v>
      </c>
      <c r="C94" s="200" t="s">
        <v>35</v>
      </c>
      <c r="D94" s="201">
        <v>2014</v>
      </c>
      <c r="E94" s="202">
        <v>15.148</v>
      </c>
      <c r="F94" s="203">
        <v>1.163</v>
      </c>
      <c r="G94" s="202">
        <v>395</v>
      </c>
      <c r="H94" s="187">
        <v>15.4</v>
      </c>
      <c r="I94" s="204">
        <v>84</v>
      </c>
      <c r="J94" s="203">
        <v>1.3</v>
      </c>
      <c r="K94" s="205">
        <v>68</v>
      </c>
      <c r="L94" s="206">
        <v>0.2</v>
      </c>
      <c r="M94" s="191">
        <v>0.60000001999999997</v>
      </c>
      <c r="N94" s="192">
        <v>64608</v>
      </c>
      <c r="O94" s="193">
        <v>0.91</v>
      </c>
      <c r="P94" s="202">
        <v>8276.6327999999994</v>
      </c>
      <c r="Q94" s="207">
        <v>26.3</v>
      </c>
      <c r="R94" s="208">
        <v>15.148</v>
      </c>
      <c r="S94" s="209">
        <f t="shared" si="0"/>
        <v>2.7178685100395485</v>
      </c>
      <c r="T94" s="210">
        <v>395</v>
      </c>
      <c r="U94" s="209">
        <f t="shared" si="1"/>
        <v>5.978885764901122</v>
      </c>
      <c r="V94" s="198">
        <v>15.4</v>
      </c>
      <c r="W94" s="208">
        <v>8276.6299999999992</v>
      </c>
      <c r="X94" s="209">
        <f t="shared" si="2"/>
        <v>9.0211911596994412</v>
      </c>
    </row>
    <row r="95" spans="1:24">
      <c r="A95" s="199">
        <v>9</v>
      </c>
      <c r="B95" s="200" t="s">
        <v>36</v>
      </c>
      <c r="C95" s="200" t="s">
        <v>35</v>
      </c>
      <c r="D95" s="201">
        <v>2015</v>
      </c>
      <c r="E95" s="202">
        <v>14.628</v>
      </c>
      <c r="F95" s="203">
        <v>1.2181999999999999</v>
      </c>
      <c r="G95" s="202">
        <v>373</v>
      </c>
      <c r="H95" s="187">
        <v>15.8</v>
      </c>
      <c r="I95" s="204">
        <v>89.6</v>
      </c>
      <c r="J95" s="203">
        <v>1.8</v>
      </c>
      <c r="K95" s="205">
        <v>15.8</v>
      </c>
      <c r="L95" s="206">
        <v>0.30000000999999998</v>
      </c>
      <c r="M95" s="191">
        <v>0.60000001999999997</v>
      </c>
      <c r="N95" s="192">
        <v>55509</v>
      </c>
      <c r="O95" s="193">
        <v>0.94</v>
      </c>
      <c r="P95" s="202">
        <v>8837.6190999999999</v>
      </c>
      <c r="Q95" s="207">
        <v>29.5</v>
      </c>
      <c r="R95" s="208">
        <v>14.628</v>
      </c>
      <c r="S95" s="209">
        <f t="shared" si="0"/>
        <v>2.6829375002871347</v>
      </c>
      <c r="T95" s="210">
        <v>373</v>
      </c>
      <c r="U95" s="209">
        <f t="shared" si="1"/>
        <v>5.9215784196438159</v>
      </c>
      <c r="V95" s="198">
        <v>15.8</v>
      </c>
      <c r="W95" s="208">
        <v>8837.6200000000008</v>
      </c>
      <c r="X95" s="209">
        <f t="shared" si="2"/>
        <v>9.0867728886133481</v>
      </c>
    </row>
    <row r="96" spans="1:24">
      <c r="A96" s="199">
        <v>9</v>
      </c>
      <c r="B96" s="200" t="s">
        <v>36</v>
      </c>
      <c r="C96" s="200" t="s">
        <v>35</v>
      </c>
      <c r="D96" s="201">
        <v>2016</v>
      </c>
      <c r="E96" s="202">
        <v>13.941000000000001</v>
      </c>
      <c r="F96" s="203">
        <v>1.2839</v>
      </c>
      <c r="G96" s="202">
        <v>412</v>
      </c>
      <c r="H96" s="187">
        <v>17.200001</v>
      </c>
      <c r="I96" s="204">
        <v>85.4</v>
      </c>
      <c r="J96" s="203">
        <v>2.1</v>
      </c>
      <c r="K96" s="205">
        <v>52.2</v>
      </c>
      <c r="L96" s="206">
        <v>0.30000000999999998</v>
      </c>
      <c r="M96" s="191">
        <v>0.60000001999999997</v>
      </c>
      <c r="N96" s="192">
        <v>66723</v>
      </c>
      <c r="O96" s="193">
        <v>0.99</v>
      </c>
      <c r="P96" s="202">
        <v>8811.1337999999996</v>
      </c>
      <c r="Q96" s="207">
        <v>32.5</v>
      </c>
      <c r="R96" s="208">
        <v>13.941000000000001</v>
      </c>
      <c r="S96" s="209">
        <f t="shared" si="0"/>
        <v>2.6348341387709509</v>
      </c>
      <c r="T96" s="210">
        <v>412</v>
      </c>
      <c r="U96" s="209">
        <f t="shared" si="1"/>
        <v>6.0210233493495267</v>
      </c>
      <c r="V96" s="198">
        <v>17.2</v>
      </c>
      <c r="W96" s="208">
        <v>8811.1299999999992</v>
      </c>
      <c r="X96" s="209">
        <f t="shared" si="2"/>
        <v>9.083770974042304</v>
      </c>
    </row>
    <row r="97" spans="1:24">
      <c r="A97" s="199">
        <v>9</v>
      </c>
      <c r="B97" s="200" t="s">
        <v>36</v>
      </c>
      <c r="C97" s="200" t="s">
        <v>35</v>
      </c>
      <c r="D97" s="201">
        <v>2017</v>
      </c>
      <c r="E97" s="202">
        <v>13.236000000000001</v>
      </c>
      <c r="F97" s="203">
        <v>1.3152999999999999</v>
      </c>
      <c r="G97" s="202">
        <v>420</v>
      </c>
      <c r="H97" s="187">
        <v>18.899999999999999</v>
      </c>
      <c r="I97" s="204">
        <v>78.8</v>
      </c>
      <c r="J97" s="203">
        <v>2.5</v>
      </c>
      <c r="K97" s="205">
        <v>15.5</v>
      </c>
      <c r="L97" s="206">
        <v>0.30000000999999998</v>
      </c>
      <c r="M97" s="191">
        <v>0.60000001999999997</v>
      </c>
      <c r="N97" s="192">
        <v>61594</v>
      </c>
      <c r="O97" s="193">
        <v>1</v>
      </c>
      <c r="P97" s="202">
        <v>8258.8798999999999</v>
      </c>
      <c r="Q97" s="207">
        <v>33.799999999999997</v>
      </c>
      <c r="R97" s="208">
        <v>13.236000000000001</v>
      </c>
      <c r="S97" s="209">
        <f t="shared" si="0"/>
        <v>2.5829403900593659</v>
      </c>
      <c r="T97" s="210">
        <v>420</v>
      </c>
      <c r="U97" s="209">
        <f t="shared" si="1"/>
        <v>6.0402547112774139</v>
      </c>
      <c r="V97" s="198">
        <v>18.899999999999999</v>
      </c>
      <c r="W97" s="208">
        <v>8258.8799999999992</v>
      </c>
      <c r="X97" s="209">
        <f t="shared" si="2"/>
        <v>9.0190442641010922</v>
      </c>
    </row>
    <row r="98" spans="1:24">
      <c r="A98" s="199">
        <v>9</v>
      </c>
      <c r="B98" s="200" t="s">
        <v>36</v>
      </c>
      <c r="C98" s="200" t="s">
        <v>35</v>
      </c>
      <c r="D98" s="201">
        <v>2018</v>
      </c>
      <c r="E98" s="202">
        <v>12.987</v>
      </c>
      <c r="F98" s="203">
        <v>1.3757999999999999</v>
      </c>
      <c r="G98" s="202">
        <v>426</v>
      </c>
      <c r="H98" s="187">
        <v>20.100000000000001</v>
      </c>
      <c r="I98" s="204">
        <v>80.7</v>
      </c>
      <c r="J98" s="203">
        <v>3</v>
      </c>
      <c r="K98" s="205">
        <v>6.3</v>
      </c>
      <c r="L98" s="206">
        <v>0.1</v>
      </c>
      <c r="M98" s="191">
        <v>0.69999999000000002</v>
      </c>
      <c r="N98" s="192">
        <v>70128</v>
      </c>
      <c r="O98" s="193">
        <v>0.97</v>
      </c>
      <c r="P98" s="202">
        <v>7262.9263000000001</v>
      </c>
      <c r="Q98" s="207">
        <v>35.5</v>
      </c>
      <c r="R98" s="208">
        <v>12.987</v>
      </c>
      <c r="S98" s="209">
        <f t="shared" si="0"/>
        <v>2.5639488571279534</v>
      </c>
      <c r="T98" s="210">
        <v>426</v>
      </c>
      <c r="U98" s="209">
        <f t="shared" si="1"/>
        <v>6.0544393462693709</v>
      </c>
      <c r="V98" s="198">
        <v>20.100000000000001</v>
      </c>
      <c r="W98" s="208">
        <v>7262.93</v>
      </c>
      <c r="X98" s="209">
        <f t="shared" si="2"/>
        <v>8.8905386076690451</v>
      </c>
    </row>
    <row r="99" spans="1:24">
      <c r="A99" s="199">
        <v>9</v>
      </c>
      <c r="B99" s="200" t="s">
        <v>36</v>
      </c>
      <c r="C99" s="200" t="s">
        <v>35</v>
      </c>
      <c r="D99" s="201">
        <v>2019</v>
      </c>
      <c r="E99" s="202">
        <v>12.8</v>
      </c>
      <c r="F99" s="203">
        <v>1.4764999999999999</v>
      </c>
      <c r="G99" s="202">
        <v>431</v>
      </c>
      <c r="H99" s="187">
        <v>21</v>
      </c>
      <c r="I99" s="204">
        <v>79</v>
      </c>
      <c r="J99" s="203">
        <v>3.3</v>
      </c>
      <c r="K99" s="205">
        <v>5.3</v>
      </c>
      <c r="L99" s="206">
        <v>0.2</v>
      </c>
      <c r="M99" s="191">
        <v>0.80000000999999998</v>
      </c>
      <c r="N99" s="192">
        <v>72533</v>
      </c>
      <c r="O99" s="193">
        <v>1.01</v>
      </c>
      <c r="P99" s="202">
        <v>6266.9727000000003</v>
      </c>
      <c r="Q99" s="207">
        <v>36.299999999999997</v>
      </c>
      <c r="R99" s="208">
        <v>12.8</v>
      </c>
      <c r="S99" s="209">
        <f t="shared" si="0"/>
        <v>2.5494451709255714</v>
      </c>
      <c r="T99" s="210">
        <v>431</v>
      </c>
      <c r="U99" s="209">
        <f t="shared" si="1"/>
        <v>6.0661080901037474</v>
      </c>
      <c r="V99" s="198">
        <v>21</v>
      </c>
      <c r="W99" s="208"/>
      <c r="X99" s="209" t="e">
        <f t="shared" si="2"/>
        <v>#NUM!</v>
      </c>
    </row>
    <row r="100" spans="1:24">
      <c r="A100" s="199">
        <v>9</v>
      </c>
      <c r="B100" s="200" t="s">
        <v>36</v>
      </c>
      <c r="C100" s="200" t="s">
        <v>35</v>
      </c>
      <c r="D100" s="201">
        <v>2020</v>
      </c>
      <c r="E100" s="202">
        <v>11.805999999999999</v>
      </c>
      <c r="F100" s="203">
        <v>1.5230999999999999</v>
      </c>
      <c r="G100" s="202">
        <v>436</v>
      </c>
      <c r="H100" s="187">
        <v>18.100000000000001</v>
      </c>
      <c r="I100" s="204">
        <v>84.6</v>
      </c>
      <c r="J100" s="203">
        <v>4.2</v>
      </c>
      <c r="K100" s="205">
        <v>18.8</v>
      </c>
      <c r="L100" s="206">
        <v>0.1</v>
      </c>
      <c r="M100" s="191">
        <v>0.60000001999999997</v>
      </c>
      <c r="N100" s="192">
        <v>61139</v>
      </c>
      <c r="O100" s="193">
        <v>0.96</v>
      </c>
      <c r="P100" s="202">
        <v>5271.0190000000002</v>
      </c>
      <c r="Q100" s="207">
        <v>39.200000000000003</v>
      </c>
      <c r="R100" s="208">
        <v>11.805999999999999</v>
      </c>
      <c r="S100" s="209">
        <f t="shared" si="0"/>
        <v>2.4686078768184974</v>
      </c>
      <c r="T100" s="210">
        <v>436</v>
      </c>
      <c r="U100" s="209">
        <f t="shared" si="1"/>
        <v>6.0776422433490342</v>
      </c>
      <c r="V100" s="198">
        <v>18.100000000000001</v>
      </c>
      <c r="W100" s="208"/>
      <c r="X100" s="209" t="e">
        <f t="shared" si="2"/>
        <v>#NUM!</v>
      </c>
    </row>
    <row r="101" spans="1:24">
      <c r="A101" s="199">
        <v>10</v>
      </c>
      <c r="B101" s="200" t="s">
        <v>112</v>
      </c>
      <c r="C101" s="200" t="s">
        <v>113</v>
      </c>
      <c r="D101" s="201">
        <v>2010</v>
      </c>
      <c r="E101" s="202">
        <v>13.397</v>
      </c>
      <c r="F101" s="203">
        <v>1.833</v>
      </c>
      <c r="G101" s="202">
        <v>488</v>
      </c>
      <c r="H101" s="187">
        <v>29.200001</v>
      </c>
      <c r="I101" s="204">
        <v>67.400000000000006</v>
      </c>
      <c r="J101" s="203">
        <v>1.4</v>
      </c>
      <c r="K101" s="205">
        <v>4470.3</v>
      </c>
      <c r="L101" s="206">
        <v>0.10000002</v>
      </c>
      <c r="M101" s="191">
        <v>0.99999987999999995</v>
      </c>
      <c r="N101" s="192">
        <v>354615</v>
      </c>
      <c r="O101" s="193">
        <v>0.84</v>
      </c>
      <c r="P101" s="202">
        <v>6200.9184999999998</v>
      </c>
      <c r="Q101" s="207">
        <v>32.6</v>
      </c>
      <c r="R101" s="208">
        <v>13.397</v>
      </c>
      <c r="S101" s="209">
        <f t="shared" si="0"/>
        <v>2.5950308012948486</v>
      </c>
      <c r="T101" s="210">
        <v>488</v>
      </c>
      <c r="U101" s="209">
        <f t="shared" si="1"/>
        <v>6.1903154058531475</v>
      </c>
      <c r="V101" s="198">
        <v>29.2</v>
      </c>
      <c r="W101" s="208">
        <v>6200.92</v>
      </c>
      <c r="X101" s="209">
        <f t="shared" si="2"/>
        <v>8.732452947121681</v>
      </c>
    </row>
    <row r="102" spans="1:24">
      <c r="A102" s="199">
        <v>10</v>
      </c>
      <c r="B102" s="200" t="s">
        <v>112</v>
      </c>
      <c r="C102" s="200" t="s">
        <v>113</v>
      </c>
      <c r="D102" s="201">
        <v>2011</v>
      </c>
      <c r="E102" s="202">
        <v>12.143000000000001</v>
      </c>
      <c r="F102" s="203">
        <v>2.0602999999999998</v>
      </c>
      <c r="G102" s="202">
        <v>498</v>
      </c>
      <c r="H102" s="187">
        <v>26.700001</v>
      </c>
      <c r="I102" s="204">
        <v>80.3</v>
      </c>
      <c r="J102" s="203">
        <v>9.9</v>
      </c>
      <c r="K102" s="205">
        <v>4464.8999999999996</v>
      </c>
      <c r="L102" s="206">
        <v>0.20000002</v>
      </c>
      <c r="M102" s="191">
        <v>1.1999998999999999</v>
      </c>
      <c r="N102" s="192">
        <v>347090</v>
      </c>
      <c r="O102" s="193">
        <v>0.83</v>
      </c>
      <c r="P102" s="202">
        <v>5625.6913999999997</v>
      </c>
      <c r="Q102" s="207">
        <v>35.4</v>
      </c>
      <c r="R102" s="208">
        <v>12.143000000000001</v>
      </c>
      <c r="S102" s="209">
        <f t="shared" si="0"/>
        <v>2.4967528720716818</v>
      </c>
      <c r="T102" s="210">
        <v>498</v>
      </c>
      <c r="U102" s="209">
        <f t="shared" si="1"/>
        <v>6.2106000770246528</v>
      </c>
      <c r="V102" s="198">
        <v>26.7</v>
      </c>
      <c r="W102" s="208">
        <v>5625.69</v>
      </c>
      <c r="X102" s="209">
        <f t="shared" si="2"/>
        <v>8.6350988862163476</v>
      </c>
    </row>
    <row r="103" spans="1:24">
      <c r="A103" s="199">
        <v>10</v>
      </c>
      <c r="B103" s="200" t="s">
        <v>112</v>
      </c>
      <c r="C103" s="200" t="s">
        <v>113</v>
      </c>
      <c r="D103" s="201">
        <v>2012</v>
      </c>
      <c r="E103" s="202">
        <v>9.2240000000000002</v>
      </c>
      <c r="F103" s="203">
        <v>2.5129000000000001</v>
      </c>
      <c r="G103" s="202">
        <v>504</v>
      </c>
      <c r="H103" s="187">
        <v>29.799999</v>
      </c>
      <c r="I103" s="204">
        <v>84.5</v>
      </c>
      <c r="J103" s="203">
        <v>9.8000000000000007</v>
      </c>
      <c r="K103" s="205">
        <v>5813.4</v>
      </c>
      <c r="L103" s="206">
        <v>0.30000000999999998</v>
      </c>
      <c r="M103" s="191">
        <v>1.4</v>
      </c>
      <c r="N103" s="192">
        <v>343199</v>
      </c>
      <c r="O103" s="193">
        <v>0.79</v>
      </c>
      <c r="P103" s="202">
        <v>5690.8247000000001</v>
      </c>
      <c r="Q103" s="207">
        <v>41.5</v>
      </c>
      <c r="R103" s="208">
        <v>9.2240000000000002</v>
      </c>
      <c r="S103" s="209">
        <f t="shared" si="0"/>
        <v>2.2218087829667579</v>
      </c>
      <c r="T103" s="210">
        <v>504</v>
      </c>
      <c r="U103" s="209">
        <f t="shared" si="1"/>
        <v>6.2225762680713688</v>
      </c>
      <c r="V103" s="198">
        <v>29.8</v>
      </c>
      <c r="W103" s="208">
        <v>5690.82</v>
      </c>
      <c r="X103" s="209">
        <f t="shared" si="2"/>
        <v>8.6466096292152024</v>
      </c>
    </row>
    <row r="104" spans="1:24">
      <c r="A104" s="199">
        <v>10</v>
      </c>
      <c r="B104" s="200" t="s">
        <v>112</v>
      </c>
      <c r="C104" s="200" t="s">
        <v>113</v>
      </c>
      <c r="D104" s="201">
        <v>2013</v>
      </c>
      <c r="E104" s="202">
        <v>8.3710003000000004</v>
      </c>
      <c r="F104" s="203">
        <v>2.6389</v>
      </c>
      <c r="G104" s="202">
        <v>515</v>
      </c>
      <c r="H104" s="187">
        <v>32.5</v>
      </c>
      <c r="I104" s="204">
        <v>82</v>
      </c>
      <c r="J104" s="203">
        <v>8.9</v>
      </c>
      <c r="K104" s="205">
        <v>6137.4</v>
      </c>
      <c r="L104" s="206">
        <v>0.40000001000000002</v>
      </c>
      <c r="M104" s="191">
        <v>1.6</v>
      </c>
      <c r="N104" s="192">
        <v>362476</v>
      </c>
      <c r="O104" s="193">
        <v>0.78</v>
      </c>
      <c r="P104" s="202">
        <v>5911.8633</v>
      </c>
      <c r="Q104" s="207">
        <v>41.7</v>
      </c>
      <c r="R104" s="208">
        <v>8.3710000000000004</v>
      </c>
      <c r="S104" s="209">
        <f t="shared" si="0"/>
        <v>2.1247733516779195</v>
      </c>
      <c r="T104" s="210">
        <v>515</v>
      </c>
      <c r="U104" s="209">
        <f t="shared" si="1"/>
        <v>6.2441669006637364</v>
      </c>
      <c r="V104" s="198">
        <v>32.5</v>
      </c>
      <c r="W104" s="208">
        <v>5911.86</v>
      </c>
      <c r="X104" s="209">
        <f t="shared" si="2"/>
        <v>8.6847157816981202</v>
      </c>
    </row>
    <row r="105" spans="1:24">
      <c r="A105" s="199">
        <v>10</v>
      </c>
      <c r="B105" s="200" t="s">
        <v>112</v>
      </c>
      <c r="C105" s="200" t="s">
        <v>113</v>
      </c>
      <c r="D105" s="201">
        <v>2014</v>
      </c>
      <c r="E105" s="202">
        <v>8.6499995999999992</v>
      </c>
      <c r="F105" s="203">
        <v>2.6488999999999998</v>
      </c>
      <c r="G105" s="202">
        <v>524</v>
      </c>
      <c r="H105" s="187">
        <v>30.799999</v>
      </c>
      <c r="I105" s="204">
        <v>76.900000000000006</v>
      </c>
      <c r="J105" s="203">
        <v>7.7</v>
      </c>
      <c r="K105" s="205">
        <v>5949.4</v>
      </c>
      <c r="L105" s="206">
        <v>0.40000001000000002</v>
      </c>
      <c r="M105" s="191">
        <v>1.6</v>
      </c>
      <c r="N105" s="192">
        <v>364718</v>
      </c>
      <c r="O105" s="193">
        <v>0.77</v>
      </c>
      <c r="P105" s="202">
        <v>5651.5137000000004</v>
      </c>
      <c r="Q105" s="207">
        <v>43.3</v>
      </c>
      <c r="R105" s="208">
        <v>8.65</v>
      </c>
      <c r="S105" s="209">
        <f t="shared" si="0"/>
        <v>2.157559320943788</v>
      </c>
      <c r="T105" s="210">
        <v>524</v>
      </c>
      <c r="U105" s="209">
        <f t="shared" si="1"/>
        <v>6.261491684321042</v>
      </c>
      <c r="V105" s="198">
        <v>30.8</v>
      </c>
      <c r="W105" s="208">
        <v>5651.51</v>
      </c>
      <c r="X105" s="209">
        <f t="shared" si="2"/>
        <v>8.639678045070962</v>
      </c>
    </row>
    <row r="106" spans="1:24">
      <c r="A106" s="199">
        <v>10</v>
      </c>
      <c r="B106" s="200" t="s">
        <v>112</v>
      </c>
      <c r="C106" s="200" t="s">
        <v>113</v>
      </c>
      <c r="D106" s="201">
        <v>2015</v>
      </c>
      <c r="E106" s="202">
        <v>9.2690000999999995</v>
      </c>
      <c r="F106" s="203">
        <v>2.6311</v>
      </c>
      <c r="G106" s="202">
        <v>499</v>
      </c>
      <c r="H106" s="187">
        <v>30</v>
      </c>
      <c r="I106" s="204">
        <v>75.7</v>
      </c>
      <c r="J106" s="203">
        <v>7.6</v>
      </c>
      <c r="K106" s="205">
        <v>6533.2</v>
      </c>
      <c r="L106" s="206">
        <v>0.40000001000000002</v>
      </c>
      <c r="M106" s="191">
        <v>1.6</v>
      </c>
      <c r="N106" s="192">
        <v>384276</v>
      </c>
      <c r="O106" s="193">
        <v>0.77</v>
      </c>
      <c r="P106" s="202">
        <v>5934.1758</v>
      </c>
      <c r="Q106" s="207">
        <v>43.7</v>
      </c>
      <c r="R106" s="208">
        <v>9.2690000000000001</v>
      </c>
      <c r="S106" s="209">
        <f t="shared" si="0"/>
        <v>2.2266754988936954</v>
      </c>
      <c r="T106" s="210">
        <v>499</v>
      </c>
      <c r="U106" s="209">
        <f t="shared" si="1"/>
        <v>6.2126060957515188</v>
      </c>
      <c r="V106" s="198">
        <v>30</v>
      </c>
      <c r="W106" s="208">
        <v>5934.18</v>
      </c>
      <c r="X106" s="209">
        <f t="shared" si="2"/>
        <v>8.6884841340610848</v>
      </c>
    </row>
    <row r="107" spans="1:24">
      <c r="A107" s="199">
        <v>10</v>
      </c>
      <c r="B107" s="200" t="s">
        <v>112</v>
      </c>
      <c r="C107" s="200" t="s">
        <v>113</v>
      </c>
      <c r="D107" s="201">
        <v>2016</v>
      </c>
      <c r="E107" s="202">
        <v>9.6400003000000005</v>
      </c>
      <c r="F107" s="203">
        <v>2.7776000000000001</v>
      </c>
      <c r="G107" s="202">
        <v>509</v>
      </c>
      <c r="H107" s="187">
        <v>33.900002000000001</v>
      </c>
      <c r="I107" s="204">
        <v>87.8</v>
      </c>
      <c r="J107" s="203">
        <v>8.1999999999999993</v>
      </c>
      <c r="K107" s="205">
        <v>7546.6</v>
      </c>
      <c r="L107" s="206">
        <v>0.40000001000000002</v>
      </c>
      <c r="M107" s="191">
        <v>1.6</v>
      </c>
      <c r="N107" s="192">
        <v>405105</v>
      </c>
      <c r="O107" s="193">
        <v>0.78</v>
      </c>
      <c r="P107" s="202">
        <v>5756.7114000000001</v>
      </c>
      <c r="Q107" s="207">
        <v>42.9</v>
      </c>
      <c r="R107" s="208">
        <v>9.64</v>
      </c>
      <c r="S107" s="209">
        <f t="shared" si="0"/>
        <v>2.2659211086224542</v>
      </c>
      <c r="T107" s="210">
        <v>509</v>
      </c>
      <c r="U107" s="209">
        <f t="shared" si="1"/>
        <v>6.2324480165505225</v>
      </c>
      <c r="V107" s="198">
        <v>33.9</v>
      </c>
      <c r="W107" s="208">
        <v>5756.71</v>
      </c>
      <c r="X107" s="209">
        <f t="shared" si="2"/>
        <v>8.6581214099486257</v>
      </c>
    </row>
    <row r="108" spans="1:24">
      <c r="A108" s="199">
        <v>10</v>
      </c>
      <c r="B108" s="200" t="s">
        <v>112</v>
      </c>
      <c r="C108" s="200" t="s">
        <v>113</v>
      </c>
      <c r="D108" s="201">
        <v>2017</v>
      </c>
      <c r="E108" s="202">
        <v>9.5539999000000009</v>
      </c>
      <c r="F108" s="203">
        <v>2.8016000000000001</v>
      </c>
      <c r="G108" s="202">
        <v>581</v>
      </c>
      <c r="H108" s="187">
        <v>36.099997999999999</v>
      </c>
      <c r="I108" s="204">
        <v>83.1</v>
      </c>
      <c r="J108" s="203">
        <v>8.8000000000000007</v>
      </c>
      <c r="K108" s="205">
        <v>9056.9</v>
      </c>
      <c r="L108" s="206">
        <v>0.40000001000000002</v>
      </c>
      <c r="M108" s="191">
        <v>1.6</v>
      </c>
      <c r="N108" s="192">
        <v>414861</v>
      </c>
      <c r="O108" s="193">
        <v>0.8</v>
      </c>
      <c r="P108" s="202">
        <v>5361.4937</v>
      </c>
      <c r="Q108" s="207">
        <v>45.7</v>
      </c>
      <c r="R108" s="208">
        <v>9.5540000000000003</v>
      </c>
      <c r="S108" s="209">
        <f t="shared" si="0"/>
        <v>2.2569599149677702</v>
      </c>
      <c r="T108" s="210"/>
      <c r="U108" s="209" t="e">
        <f t="shared" si="1"/>
        <v>#NUM!</v>
      </c>
      <c r="V108" s="198">
        <v>36.1</v>
      </c>
      <c r="W108" s="208">
        <v>5361.49</v>
      </c>
      <c r="X108" s="209">
        <f t="shared" si="2"/>
        <v>8.5869972005087831</v>
      </c>
    </row>
    <row r="109" spans="1:24">
      <c r="A109" s="199">
        <v>10</v>
      </c>
      <c r="B109" s="200" t="s">
        <v>112</v>
      </c>
      <c r="C109" s="200" t="s">
        <v>113</v>
      </c>
      <c r="D109" s="201">
        <v>2018</v>
      </c>
      <c r="E109" s="202">
        <v>10.792999999999999</v>
      </c>
      <c r="F109" s="203">
        <v>2.6257999999999999</v>
      </c>
      <c r="G109" s="202">
        <v>653</v>
      </c>
      <c r="H109" s="187">
        <v>34.799999</v>
      </c>
      <c r="I109" s="204">
        <v>86.2</v>
      </c>
      <c r="J109" s="203">
        <v>8.9</v>
      </c>
      <c r="K109" s="205">
        <v>9202.2000000000007</v>
      </c>
      <c r="L109" s="206">
        <v>0.40000001000000002</v>
      </c>
      <c r="M109" s="191">
        <v>1.7</v>
      </c>
      <c r="N109" s="192">
        <v>426566</v>
      </c>
      <c r="O109" s="193">
        <v>0.84</v>
      </c>
      <c r="P109" s="202">
        <v>4566.1918999999998</v>
      </c>
      <c r="Q109" s="207">
        <v>42.8</v>
      </c>
      <c r="R109" s="208">
        <v>10.792999999999999</v>
      </c>
      <c r="S109" s="209">
        <f t="shared" si="0"/>
        <v>2.3788977758432091</v>
      </c>
      <c r="T109" s="210">
        <v>653</v>
      </c>
      <c r="U109" s="209">
        <f t="shared" si="1"/>
        <v>6.481577129276431</v>
      </c>
      <c r="V109" s="198">
        <v>34.799999999999997</v>
      </c>
      <c r="W109" s="208">
        <v>4566.1899999999996</v>
      </c>
      <c r="X109" s="209">
        <f t="shared" si="2"/>
        <v>8.4264344381381378</v>
      </c>
    </row>
    <row r="110" spans="1:24">
      <c r="A110" s="199">
        <v>10</v>
      </c>
      <c r="B110" s="200" t="s">
        <v>112</v>
      </c>
      <c r="C110" s="200" t="s">
        <v>113</v>
      </c>
      <c r="D110" s="201">
        <v>2019</v>
      </c>
      <c r="E110" s="202">
        <v>9.7670002</v>
      </c>
      <c r="F110" s="203">
        <v>2.7341000000000002</v>
      </c>
      <c r="G110" s="202">
        <v>652</v>
      </c>
      <c r="H110" s="187">
        <v>38</v>
      </c>
      <c r="I110" s="204">
        <v>79.7</v>
      </c>
      <c r="J110" s="203">
        <v>9</v>
      </c>
      <c r="K110" s="205">
        <v>5644.1</v>
      </c>
      <c r="L110" s="206">
        <v>0.5</v>
      </c>
      <c r="M110" s="191">
        <v>1.8</v>
      </c>
      <c r="N110" s="192">
        <v>455530</v>
      </c>
      <c r="O110" s="193">
        <v>0.84</v>
      </c>
      <c r="P110" s="202">
        <v>3770.8901000000001</v>
      </c>
      <c r="Q110" s="207">
        <v>41.8</v>
      </c>
      <c r="R110" s="208">
        <v>9.7669999999999995</v>
      </c>
      <c r="S110" s="209">
        <f t="shared" si="0"/>
        <v>2.2790093564653398</v>
      </c>
      <c r="T110" s="210">
        <v>652</v>
      </c>
      <c r="U110" s="209">
        <f t="shared" si="1"/>
        <v>6.4800445619266531</v>
      </c>
      <c r="V110" s="198">
        <v>38</v>
      </c>
      <c r="W110" s="208"/>
      <c r="X110" s="209" t="e">
        <f t="shared" si="2"/>
        <v>#NUM!</v>
      </c>
    </row>
    <row r="111" spans="1:24">
      <c r="A111" s="199">
        <v>10</v>
      </c>
      <c r="B111" s="200" t="s">
        <v>112</v>
      </c>
      <c r="C111" s="200" t="s">
        <v>113</v>
      </c>
      <c r="D111" s="201">
        <v>2020</v>
      </c>
      <c r="E111" s="202">
        <v>9.6309996000000009</v>
      </c>
      <c r="F111" s="203">
        <v>2.4935999999999998</v>
      </c>
      <c r="G111" s="202">
        <v>637</v>
      </c>
      <c r="H111" s="187">
        <v>38.900002000000001</v>
      </c>
      <c r="I111" s="204">
        <v>85.8</v>
      </c>
      <c r="J111" s="203">
        <v>9.3000000000000007</v>
      </c>
      <c r="K111" s="205">
        <v>4127.8</v>
      </c>
      <c r="L111" s="206">
        <v>0.5</v>
      </c>
      <c r="M111" s="191">
        <v>2</v>
      </c>
      <c r="N111" s="192">
        <v>448860</v>
      </c>
      <c r="O111" s="193">
        <v>0.76</v>
      </c>
      <c r="P111" s="202">
        <v>2975.5884000000001</v>
      </c>
      <c r="Q111" s="207">
        <v>37.9</v>
      </c>
      <c r="R111" s="208">
        <v>9.6310000000000002</v>
      </c>
      <c r="S111" s="209">
        <f t="shared" si="0"/>
        <v>2.2649870625787272</v>
      </c>
      <c r="T111" s="210">
        <v>637</v>
      </c>
      <c r="U111" s="209">
        <f t="shared" si="1"/>
        <v>6.4567696555721632</v>
      </c>
      <c r="V111" s="198">
        <v>38.9</v>
      </c>
      <c r="W111" s="208"/>
      <c r="X111" s="209" t="e">
        <f t="shared" si="2"/>
        <v>#NUM!</v>
      </c>
    </row>
    <row r="112" spans="1:24">
      <c r="A112" s="199">
        <v>11</v>
      </c>
      <c r="B112" s="200" t="s">
        <v>33</v>
      </c>
      <c r="C112" s="200" t="s">
        <v>32</v>
      </c>
      <c r="D112" s="201">
        <v>2010</v>
      </c>
      <c r="E112" s="202">
        <v>47.610999999999997</v>
      </c>
      <c r="F112" s="203">
        <v>0.87970000000000004</v>
      </c>
      <c r="G112" s="202">
        <v>455</v>
      </c>
      <c r="H112" s="187">
        <v>32.799999</v>
      </c>
      <c r="I112" s="204">
        <v>88.5</v>
      </c>
      <c r="J112" s="203">
        <v>1.7</v>
      </c>
      <c r="K112" s="205">
        <v>250.2</v>
      </c>
      <c r="L112" s="206">
        <v>0.59999999000000004</v>
      </c>
      <c r="M112" s="191">
        <v>1.8000001000000001</v>
      </c>
      <c r="N112" s="192">
        <v>43125</v>
      </c>
      <c r="O112" s="193">
        <v>0.95</v>
      </c>
      <c r="P112" s="202">
        <v>10847.838</v>
      </c>
      <c r="Q112" s="207">
        <v>22.1</v>
      </c>
      <c r="R112" s="208">
        <v>47.610999999999997</v>
      </c>
      <c r="S112" s="209">
        <f t="shared" si="0"/>
        <v>3.8630638269766049</v>
      </c>
      <c r="T112" s="210">
        <v>455</v>
      </c>
      <c r="U112" s="209">
        <f t="shared" si="1"/>
        <v>6.1202974189509503</v>
      </c>
      <c r="V112" s="198">
        <v>32.799999999999997</v>
      </c>
      <c r="W112" s="208">
        <v>10847.8</v>
      </c>
      <c r="X112" s="209">
        <f t="shared" si="2"/>
        <v>9.2917175734320505</v>
      </c>
    </row>
    <row r="113" spans="1:24">
      <c r="A113" s="199">
        <v>11</v>
      </c>
      <c r="B113" s="200" t="s">
        <v>33</v>
      </c>
      <c r="C113" s="200" t="s">
        <v>32</v>
      </c>
      <c r="D113" s="201">
        <v>2011</v>
      </c>
      <c r="E113" s="202">
        <v>50.433998000000003</v>
      </c>
      <c r="F113" s="203">
        <v>0.92020000000000002</v>
      </c>
      <c r="G113" s="202">
        <v>448</v>
      </c>
      <c r="H113" s="187">
        <v>34.799999</v>
      </c>
      <c r="I113" s="204">
        <v>89.1</v>
      </c>
      <c r="J113" s="203">
        <v>11.4</v>
      </c>
      <c r="K113" s="205">
        <v>106.8</v>
      </c>
      <c r="L113" s="206">
        <v>0.5</v>
      </c>
      <c r="M113" s="191">
        <v>1.7</v>
      </c>
      <c r="N113" s="192">
        <v>43389</v>
      </c>
      <c r="O113" s="193">
        <v>0.92</v>
      </c>
      <c r="P113" s="202">
        <v>10946.99</v>
      </c>
      <c r="Q113" s="207">
        <v>22.7</v>
      </c>
      <c r="R113" s="208">
        <v>50.433999999999997</v>
      </c>
      <c r="S113" s="209">
        <f t="shared" si="0"/>
        <v>3.9206655508094879</v>
      </c>
      <c r="T113" s="210">
        <v>448</v>
      </c>
      <c r="U113" s="209">
        <f t="shared" si="1"/>
        <v>6.1047932324149849</v>
      </c>
      <c r="V113" s="198">
        <v>34.799999999999997</v>
      </c>
      <c r="W113" s="208">
        <v>10947</v>
      </c>
      <c r="X113" s="209">
        <f t="shared" si="2"/>
        <v>9.3008207251045576</v>
      </c>
    </row>
    <row r="114" spans="1:24">
      <c r="A114" s="199">
        <v>11</v>
      </c>
      <c r="B114" s="200" t="s">
        <v>33</v>
      </c>
      <c r="C114" s="200" t="s">
        <v>32</v>
      </c>
      <c r="D114" s="201">
        <v>2012</v>
      </c>
      <c r="E114" s="202">
        <v>49.250999</v>
      </c>
      <c r="F114" s="203">
        <v>0.91439999999999999</v>
      </c>
      <c r="G114" s="202">
        <v>456</v>
      </c>
      <c r="H114" s="187">
        <v>33.299999</v>
      </c>
      <c r="I114" s="204">
        <v>89.4</v>
      </c>
      <c r="J114" s="203">
        <v>12.2</v>
      </c>
      <c r="K114" s="205">
        <v>133.19999999999999</v>
      </c>
      <c r="L114" s="206">
        <v>0.40000001000000002</v>
      </c>
      <c r="M114" s="191">
        <v>1.6</v>
      </c>
      <c r="N114" s="192">
        <v>43654</v>
      </c>
      <c r="O114" s="193">
        <v>0.9</v>
      </c>
      <c r="P114" s="202">
        <v>10107.544</v>
      </c>
      <c r="Q114" s="207">
        <v>20.7</v>
      </c>
      <c r="R114" s="208">
        <v>49.250999999999998</v>
      </c>
      <c r="S114" s="209">
        <f t="shared" si="0"/>
        <v>3.8969296719804909</v>
      </c>
      <c r="T114" s="210">
        <v>456</v>
      </c>
      <c r="U114" s="209">
        <f t="shared" si="1"/>
        <v>6.1224928095143865</v>
      </c>
      <c r="V114" s="198">
        <v>33.299999999999997</v>
      </c>
      <c r="W114" s="208">
        <v>10107.5</v>
      </c>
      <c r="X114" s="209">
        <f t="shared" si="2"/>
        <v>9.2210330015149253</v>
      </c>
    </row>
    <row r="115" spans="1:24">
      <c r="A115" s="199">
        <v>11</v>
      </c>
      <c r="B115" s="200" t="s">
        <v>33</v>
      </c>
      <c r="C115" s="200" t="s">
        <v>32</v>
      </c>
      <c r="D115" s="201">
        <v>2013</v>
      </c>
      <c r="E115" s="202">
        <v>54.707000999999998</v>
      </c>
      <c r="F115" s="203">
        <v>0.79820000000000002</v>
      </c>
      <c r="G115" s="202">
        <v>464</v>
      </c>
      <c r="H115" s="187">
        <v>32.5</v>
      </c>
      <c r="I115" s="204">
        <v>87.9</v>
      </c>
      <c r="J115" s="203">
        <v>7.9</v>
      </c>
      <c r="K115" s="205">
        <v>107.8</v>
      </c>
      <c r="L115" s="206">
        <v>0.30000000999999998</v>
      </c>
      <c r="M115" s="191">
        <v>1.5</v>
      </c>
      <c r="N115" s="192">
        <v>43299</v>
      </c>
      <c r="O115" s="193">
        <v>0.9</v>
      </c>
      <c r="P115" s="202">
        <v>9492.3857000000007</v>
      </c>
      <c r="Q115" s="207">
        <v>19.3</v>
      </c>
      <c r="R115" s="208">
        <v>54.707000000000001</v>
      </c>
      <c r="S115" s="209">
        <f t="shared" si="0"/>
        <v>4.0019916719899209</v>
      </c>
      <c r="T115" s="210">
        <v>464</v>
      </c>
      <c r="U115" s="209">
        <f t="shared" si="1"/>
        <v>6.1398845522262553</v>
      </c>
      <c r="V115" s="198">
        <v>32.5</v>
      </c>
      <c r="W115" s="208">
        <v>9492.39</v>
      </c>
      <c r="X115" s="209">
        <f t="shared" si="2"/>
        <v>9.1582457039429492</v>
      </c>
    </row>
    <row r="116" spans="1:24">
      <c r="A116" s="199">
        <v>11</v>
      </c>
      <c r="B116" s="200" t="s">
        <v>33</v>
      </c>
      <c r="C116" s="200" t="s">
        <v>32</v>
      </c>
      <c r="D116" s="201">
        <v>2014</v>
      </c>
      <c r="E116" s="202">
        <v>48.973998999999999</v>
      </c>
      <c r="F116" s="203">
        <v>0.91269999999999996</v>
      </c>
      <c r="G116" s="202">
        <v>473</v>
      </c>
      <c r="H116" s="187">
        <v>32.5</v>
      </c>
      <c r="I116" s="204">
        <v>87.8</v>
      </c>
      <c r="J116" s="203">
        <v>5.5</v>
      </c>
      <c r="K116" s="205">
        <v>221.5</v>
      </c>
      <c r="L116" s="206">
        <v>0.40000001000000002</v>
      </c>
      <c r="M116" s="191">
        <v>1.5</v>
      </c>
      <c r="N116" s="192">
        <v>42277</v>
      </c>
      <c r="O116" s="193">
        <v>0.92</v>
      </c>
      <c r="P116" s="202">
        <v>10024.521000000001</v>
      </c>
      <c r="Q116" s="207">
        <v>21.3</v>
      </c>
      <c r="R116" s="208">
        <v>48.973999999999997</v>
      </c>
      <c r="S116" s="209">
        <f t="shared" si="0"/>
        <v>3.8912895450412335</v>
      </c>
      <c r="T116" s="210">
        <v>473</v>
      </c>
      <c r="U116" s="209">
        <f t="shared" si="1"/>
        <v>6.1590953884919326</v>
      </c>
      <c r="V116" s="198">
        <v>32.5</v>
      </c>
      <c r="W116" s="208">
        <v>10024.5</v>
      </c>
      <c r="X116" s="209">
        <f t="shared" si="2"/>
        <v>9.212787375619234</v>
      </c>
    </row>
    <row r="117" spans="1:24">
      <c r="A117" s="199">
        <v>11</v>
      </c>
      <c r="B117" s="200" t="s">
        <v>33</v>
      </c>
      <c r="C117" s="200" t="s">
        <v>32</v>
      </c>
      <c r="D117" s="201">
        <v>2015</v>
      </c>
      <c r="E117" s="202">
        <v>44.334000000000003</v>
      </c>
      <c r="F117" s="203">
        <v>0.94159999999999999</v>
      </c>
      <c r="G117" s="202">
        <v>475</v>
      </c>
      <c r="H117" s="187">
        <v>40.599997999999999</v>
      </c>
      <c r="I117" s="204">
        <v>92.5</v>
      </c>
      <c r="J117" s="203">
        <v>4.9000000000000004</v>
      </c>
      <c r="K117" s="205">
        <v>401.8</v>
      </c>
      <c r="L117" s="206">
        <v>0.40000001000000002</v>
      </c>
      <c r="M117" s="191">
        <v>1.5</v>
      </c>
      <c r="N117" s="192">
        <v>41962</v>
      </c>
      <c r="O117" s="193">
        <v>0.94</v>
      </c>
      <c r="P117" s="202">
        <v>9470.6416000000008</v>
      </c>
      <c r="Q117" s="207">
        <v>20.6</v>
      </c>
      <c r="R117" s="208">
        <v>44.334000000000003</v>
      </c>
      <c r="S117" s="209">
        <f t="shared" si="0"/>
        <v>3.7917518770345655</v>
      </c>
      <c r="T117" s="210">
        <v>475</v>
      </c>
      <c r="U117" s="209">
        <f t="shared" si="1"/>
        <v>6.1633148040346413</v>
      </c>
      <c r="V117" s="198">
        <v>40.6</v>
      </c>
      <c r="W117" s="208">
        <v>9470.64</v>
      </c>
      <c r="X117" s="209">
        <f t="shared" si="2"/>
        <v>9.1559517657339562</v>
      </c>
    </row>
    <row r="118" spans="1:24">
      <c r="A118" s="199">
        <v>11</v>
      </c>
      <c r="B118" s="200" t="s">
        <v>33</v>
      </c>
      <c r="C118" s="200" t="s">
        <v>32</v>
      </c>
      <c r="D118" s="201">
        <v>2016</v>
      </c>
      <c r="E118" s="202">
        <v>47.283000999999999</v>
      </c>
      <c r="F118" s="203">
        <v>0.89670000000000005</v>
      </c>
      <c r="G118" s="202">
        <v>472</v>
      </c>
      <c r="H118" s="187">
        <v>42.099997999999999</v>
      </c>
      <c r="I118" s="204">
        <v>88.9</v>
      </c>
      <c r="J118" s="203">
        <v>3.8</v>
      </c>
      <c r="K118" s="205">
        <v>330.2</v>
      </c>
      <c r="L118" s="206">
        <v>0.40000001000000002</v>
      </c>
      <c r="M118" s="191">
        <v>1.4</v>
      </c>
      <c r="N118" s="192">
        <v>41816</v>
      </c>
      <c r="O118" s="193">
        <v>0.97</v>
      </c>
      <c r="P118" s="202">
        <v>9681.5419999999995</v>
      </c>
      <c r="Q118" s="207">
        <v>20.2</v>
      </c>
      <c r="R118" s="208">
        <v>47.283000000000001</v>
      </c>
      <c r="S118" s="209">
        <f t="shared" si="0"/>
        <v>3.8561508228615136</v>
      </c>
      <c r="T118" s="210">
        <v>472</v>
      </c>
      <c r="U118" s="209">
        <f t="shared" si="1"/>
        <v>6.156978985585555</v>
      </c>
      <c r="V118" s="198">
        <v>42.1</v>
      </c>
      <c r="W118" s="208">
        <v>9681.5400000000009</v>
      </c>
      <c r="X118" s="209">
        <f t="shared" si="2"/>
        <v>9.1779762585260976</v>
      </c>
    </row>
    <row r="119" spans="1:24">
      <c r="A119" s="199">
        <v>11</v>
      </c>
      <c r="B119" s="200" t="s">
        <v>33</v>
      </c>
      <c r="C119" s="200" t="s">
        <v>32</v>
      </c>
      <c r="D119" s="201">
        <v>2017</v>
      </c>
      <c r="E119" s="202">
        <v>45.014000000000003</v>
      </c>
      <c r="F119" s="203">
        <v>0.95760000000000001</v>
      </c>
      <c r="G119" s="202">
        <v>449</v>
      </c>
      <c r="H119" s="187">
        <v>40.5</v>
      </c>
      <c r="I119" s="204">
        <v>90</v>
      </c>
      <c r="J119" s="203">
        <v>4.4000000000000004</v>
      </c>
      <c r="K119" s="205">
        <v>255.8</v>
      </c>
      <c r="L119" s="206">
        <v>0.30000000999999998</v>
      </c>
      <c r="M119" s="191">
        <v>1.5</v>
      </c>
      <c r="N119" s="192">
        <v>51148</v>
      </c>
      <c r="O119" s="193">
        <v>0.97</v>
      </c>
      <c r="P119" s="202">
        <v>9177.7587999999996</v>
      </c>
      <c r="Q119" s="207">
        <v>20.7</v>
      </c>
      <c r="R119" s="208">
        <v>45.014000000000003</v>
      </c>
      <c r="S119" s="209">
        <f t="shared" si="0"/>
        <v>3.8069735524964043</v>
      </c>
      <c r="T119" s="210">
        <v>449</v>
      </c>
      <c r="U119" s="209">
        <f t="shared" si="1"/>
        <v>6.1070228877422545</v>
      </c>
      <c r="V119" s="198">
        <v>40.5</v>
      </c>
      <c r="W119" s="208">
        <v>9177.76</v>
      </c>
      <c r="X119" s="209">
        <f t="shared" si="2"/>
        <v>9.1245384451249691</v>
      </c>
    </row>
    <row r="120" spans="1:24">
      <c r="A120" s="199">
        <v>11</v>
      </c>
      <c r="B120" s="200" t="s">
        <v>33</v>
      </c>
      <c r="C120" s="200" t="s">
        <v>32</v>
      </c>
      <c r="D120" s="201">
        <v>2018</v>
      </c>
      <c r="E120" s="202">
        <v>49.93</v>
      </c>
      <c r="F120" s="203">
        <v>0.87250000000000005</v>
      </c>
      <c r="G120" s="202">
        <v>467</v>
      </c>
      <c r="H120" s="187">
        <v>42.299999</v>
      </c>
      <c r="I120" s="204">
        <v>89.7</v>
      </c>
      <c r="J120" s="203">
        <v>4.4000000000000004</v>
      </c>
      <c r="K120" s="205">
        <v>418.5</v>
      </c>
      <c r="L120" s="206">
        <v>0.30000000999999998</v>
      </c>
      <c r="M120" s="191">
        <v>1.8</v>
      </c>
      <c r="N120" s="192">
        <v>60513</v>
      </c>
      <c r="O120" s="193">
        <v>1.01</v>
      </c>
      <c r="P120" s="202">
        <v>7878.7007000000003</v>
      </c>
      <c r="Q120" s="207">
        <v>19.8</v>
      </c>
      <c r="R120" s="208">
        <v>49.93</v>
      </c>
      <c r="S120" s="209">
        <f t="shared" si="0"/>
        <v>3.9106220245125178</v>
      </c>
      <c r="T120" s="210">
        <v>467</v>
      </c>
      <c r="U120" s="209">
        <f t="shared" si="1"/>
        <v>6.1463292576688975</v>
      </c>
      <c r="V120" s="198">
        <v>42.3</v>
      </c>
      <c r="W120" s="208">
        <v>7878.7</v>
      </c>
      <c r="X120" s="209">
        <f t="shared" si="2"/>
        <v>8.9719181946228268</v>
      </c>
    </row>
    <row r="121" spans="1:24">
      <c r="A121" s="199">
        <v>11</v>
      </c>
      <c r="B121" s="200" t="s">
        <v>33</v>
      </c>
      <c r="C121" s="200" t="s">
        <v>32</v>
      </c>
      <c r="D121" s="201">
        <v>2019</v>
      </c>
      <c r="E121" s="202">
        <v>47.685001</v>
      </c>
      <c r="F121" s="203">
        <v>0.92779999999999996</v>
      </c>
      <c r="G121" s="202">
        <v>466</v>
      </c>
      <c r="H121" s="187">
        <v>43.5</v>
      </c>
      <c r="I121" s="204">
        <v>87.8</v>
      </c>
      <c r="J121" s="203">
        <v>4.5</v>
      </c>
      <c r="K121" s="205">
        <v>1010.4</v>
      </c>
      <c r="L121" s="206">
        <v>0.30000000999999998</v>
      </c>
      <c r="M121" s="191">
        <v>1.6</v>
      </c>
      <c r="N121" s="192">
        <v>47235</v>
      </c>
      <c r="O121" s="193">
        <v>1</v>
      </c>
      <c r="P121" s="202">
        <v>6579.6426000000001</v>
      </c>
      <c r="Q121" s="207">
        <v>19.5</v>
      </c>
      <c r="R121" s="208">
        <v>47.685000000000002</v>
      </c>
      <c r="S121" s="209">
        <f t="shared" si="0"/>
        <v>3.8646168830308758</v>
      </c>
      <c r="T121" s="210">
        <v>466</v>
      </c>
      <c r="U121" s="209">
        <f t="shared" si="1"/>
        <v>6.1441856341256456</v>
      </c>
      <c r="V121" s="198">
        <v>43.5</v>
      </c>
      <c r="W121" s="208"/>
      <c r="X121" s="209" t="e">
        <f t="shared" si="2"/>
        <v>#NUM!</v>
      </c>
    </row>
    <row r="122" spans="1:24">
      <c r="A122" s="199">
        <v>11</v>
      </c>
      <c r="B122" s="200" t="s">
        <v>33</v>
      </c>
      <c r="C122" s="200" t="s">
        <v>32</v>
      </c>
      <c r="D122" s="201">
        <v>2020</v>
      </c>
      <c r="E122" s="202">
        <v>48.800998999999997</v>
      </c>
      <c r="F122" s="203">
        <v>0.90129999999999999</v>
      </c>
      <c r="G122" s="202">
        <v>502</v>
      </c>
      <c r="H122" s="187">
        <v>42.099997999999999</v>
      </c>
      <c r="I122" s="204">
        <v>90.8</v>
      </c>
      <c r="J122" s="203">
        <v>4.4000000000000004</v>
      </c>
      <c r="K122" s="205">
        <v>521.5</v>
      </c>
      <c r="L122" s="206">
        <v>0.30000000999999998</v>
      </c>
      <c r="M122" s="191">
        <v>1.5</v>
      </c>
      <c r="N122" s="192">
        <v>41951</v>
      </c>
      <c r="O122" s="193">
        <v>0.91</v>
      </c>
      <c r="P122" s="202">
        <v>5280.5844999999999</v>
      </c>
      <c r="Q122" s="207">
        <v>18.8</v>
      </c>
      <c r="R122" s="208">
        <v>48.801000000000002</v>
      </c>
      <c r="S122" s="209">
        <f t="shared" si="0"/>
        <v>3.887750804452426</v>
      </c>
      <c r="T122" s="210">
        <v>502</v>
      </c>
      <c r="U122" s="209">
        <f t="shared" si="1"/>
        <v>6.2186001196917289</v>
      </c>
      <c r="V122" s="198">
        <v>42.1</v>
      </c>
      <c r="W122" s="208"/>
      <c r="X122" s="209" t="e">
        <f t="shared" si="2"/>
        <v>#NUM!</v>
      </c>
    </row>
    <row r="123" spans="1:24">
      <c r="A123" s="199">
        <v>12</v>
      </c>
      <c r="B123" s="200" t="s">
        <v>31</v>
      </c>
      <c r="C123" s="200" t="s">
        <v>30</v>
      </c>
      <c r="D123" s="201">
        <v>2010</v>
      </c>
      <c r="E123" s="202">
        <v>14.840999999999999</v>
      </c>
      <c r="F123" s="203">
        <v>2.6598999999999999</v>
      </c>
      <c r="G123" s="202">
        <v>505</v>
      </c>
      <c r="H123" s="187">
        <v>36</v>
      </c>
      <c r="I123" s="204">
        <v>77.400000000000006</v>
      </c>
      <c r="J123" s="203">
        <v>17.5</v>
      </c>
      <c r="K123" s="205">
        <v>9241.1</v>
      </c>
      <c r="L123" s="206">
        <v>1.2</v>
      </c>
      <c r="M123" s="191">
        <v>1.8</v>
      </c>
      <c r="N123" s="192">
        <v>472910</v>
      </c>
      <c r="O123" s="193">
        <v>1.1599999999999999</v>
      </c>
      <c r="P123" s="202">
        <v>5882.3456999999999</v>
      </c>
      <c r="Q123" s="207">
        <v>34.6</v>
      </c>
      <c r="R123" s="208">
        <v>14.840999999999999</v>
      </c>
      <c r="S123" s="209">
        <f t="shared" si="0"/>
        <v>2.6973936209136813</v>
      </c>
      <c r="T123" s="210">
        <v>505</v>
      </c>
      <c r="U123" s="209">
        <f t="shared" si="1"/>
        <v>6.2245584292753602</v>
      </c>
      <c r="V123" s="198">
        <v>36</v>
      </c>
      <c r="W123" s="208">
        <v>5882.35</v>
      </c>
      <c r="X123" s="209">
        <f t="shared" si="2"/>
        <v>8.6797116209138867</v>
      </c>
    </row>
    <row r="124" spans="1:24">
      <c r="A124" s="199">
        <v>12</v>
      </c>
      <c r="B124" s="200" t="s">
        <v>31</v>
      </c>
      <c r="C124" s="200" t="s">
        <v>30</v>
      </c>
      <c r="D124" s="201">
        <v>2011</v>
      </c>
      <c r="E124" s="202">
        <v>15.612</v>
      </c>
      <c r="F124" s="203">
        <v>2.6530999999999998</v>
      </c>
      <c r="G124" s="202">
        <v>506</v>
      </c>
      <c r="H124" s="187">
        <v>36.799999</v>
      </c>
      <c r="I124" s="204">
        <v>77.900000000000006</v>
      </c>
      <c r="J124" s="203">
        <v>16.899999999999999</v>
      </c>
      <c r="K124" s="205">
        <v>8699.4</v>
      </c>
      <c r="L124" s="206">
        <v>1.1000000000000001</v>
      </c>
      <c r="M124" s="191">
        <v>1.8</v>
      </c>
      <c r="N124" s="192">
        <v>465081</v>
      </c>
      <c r="O124" s="193">
        <v>1.1399999999999999</v>
      </c>
      <c r="P124" s="202">
        <v>5781.2529000000004</v>
      </c>
      <c r="Q124" s="207">
        <v>37.299999999999997</v>
      </c>
      <c r="R124" s="208">
        <v>15.612</v>
      </c>
      <c r="S124" s="209">
        <f t="shared" si="0"/>
        <v>2.7480398493183684</v>
      </c>
      <c r="T124" s="210">
        <v>506</v>
      </c>
      <c r="U124" s="209">
        <f t="shared" si="1"/>
        <v>6.2265366692874657</v>
      </c>
      <c r="V124" s="198">
        <v>36.799999999999997</v>
      </c>
      <c r="W124" s="208">
        <v>5781.25</v>
      </c>
      <c r="X124" s="209">
        <f t="shared" si="2"/>
        <v>8.6623752012607351</v>
      </c>
    </row>
    <row r="125" spans="1:24">
      <c r="A125" s="199">
        <v>12</v>
      </c>
      <c r="B125" s="200" t="s">
        <v>31</v>
      </c>
      <c r="C125" s="200" t="s">
        <v>30</v>
      </c>
      <c r="D125" s="201">
        <v>2012</v>
      </c>
      <c r="E125" s="202">
        <v>14.821999999999999</v>
      </c>
      <c r="F125" s="203">
        <v>2.7191000000000001</v>
      </c>
      <c r="G125" s="202">
        <v>493</v>
      </c>
      <c r="H125" s="187">
        <v>37.700001</v>
      </c>
      <c r="I125" s="204">
        <v>76.7</v>
      </c>
      <c r="J125" s="203">
        <v>16.8</v>
      </c>
      <c r="K125" s="205">
        <v>8494.2999999999993</v>
      </c>
      <c r="L125" s="206">
        <v>1</v>
      </c>
      <c r="M125" s="191">
        <v>1.8</v>
      </c>
      <c r="N125" s="192">
        <v>487496</v>
      </c>
      <c r="O125" s="193">
        <v>1.17</v>
      </c>
      <c r="P125" s="202">
        <v>5403.9058000000005</v>
      </c>
      <c r="Q125" s="207">
        <v>37.5</v>
      </c>
      <c r="R125" s="208">
        <v>14.821999999999999</v>
      </c>
      <c r="S125" s="209">
        <f t="shared" si="0"/>
        <v>2.6961125635291672</v>
      </c>
      <c r="T125" s="210">
        <v>493</v>
      </c>
      <c r="U125" s="209">
        <f t="shared" si="1"/>
        <v>6.2005091740426899</v>
      </c>
      <c r="V125" s="198">
        <v>37.700000000000003</v>
      </c>
      <c r="W125" s="208">
        <v>5403.91</v>
      </c>
      <c r="X125" s="209">
        <f t="shared" si="2"/>
        <v>8.5948780446112796</v>
      </c>
    </row>
    <row r="126" spans="1:24">
      <c r="A126" s="199">
        <v>12</v>
      </c>
      <c r="B126" s="200" t="s">
        <v>31</v>
      </c>
      <c r="C126" s="200" t="s">
        <v>30</v>
      </c>
      <c r="D126" s="201">
        <v>2013</v>
      </c>
      <c r="E126" s="202">
        <v>14.484999999999999</v>
      </c>
      <c r="F126" s="203">
        <v>2.7343999999999999</v>
      </c>
      <c r="G126" s="202">
        <v>482</v>
      </c>
      <c r="H126" s="187">
        <v>38.700001</v>
      </c>
      <c r="I126" s="204">
        <v>78.7</v>
      </c>
      <c r="J126" s="203">
        <v>17.2</v>
      </c>
      <c r="K126" s="205">
        <v>7832</v>
      </c>
      <c r="L126" s="206">
        <v>0.89999998000000003</v>
      </c>
      <c r="M126" s="191">
        <v>1.8</v>
      </c>
      <c r="N126" s="192">
        <v>487874</v>
      </c>
      <c r="O126" s="193">
        <v>1.17</v>
      </c>
      <c r="P126" s="202">
        <v>5380.1171999999997</v>
      </c>
      <c r="Q126" s="207">
        <v>37.4</v>
      </c>
      <c r="R126" s="208">
        <v>14.484999999999999</v>
      </c>
      <c r="S126" s="209">
        <f t="shared" si="0"/>
        <v>2.6731136312213137</v>
      </c>
      <c r="T126" s="210">
        <v>482</v>
      </c>
      <c r="U126" s="209">
        <f t="shared" si="1"/>
        <v>6.1779441140506002</v>
      </c>
      <c r="V126" s="198">
        <v>38.700000000000003</v>
      </c>
      <c r="W126" s="208">
        <v>5380.12</v>
      </c>
      <c r="X126" s="209">
        <f t="shared" si="2"/>
        <v>8.590465957739795</v>
      </c>
    </row>
    <row r="127" spans="1:24">
      <c r="A127" s="199">
        <v>12</v>
      </c>
      <c r="B127" s="200" t="s">
        <v>31</v>
      </c>
      <c r="C127" s="200" t="s">
        <v>30</v>
      </c>
      <c r="D127" s="201">
        <v>2014</v>
      </c>
      <c r="E127" s="202">
        <v>14.532999999999999</v>
      </c>
      <c r="F127" s="203">
        <v>2.7926000000000002</v>
      </c>
      <c r="G127" s="202">
        <v>500</v>
      </c>
      <c r="H127" s="187">
        <v>39.700001</v>
      </c>
      <c r="I127" s="204">
        <v>80.8</v>
      </c>
      <c r="J127" s="203">
        <v>17.8</v>
      </c>
      <c r="K127" s="205">
        <v>11130.9</v>
      </c>
      <c r="L127" s="206">
        <v>0.80000000999999998</v>
      </c>
      <c r="M127" s="191">
        <v>1.8</v>
      </c>
      <c r="N127" s="192">
        <v>488181</v>
      </c>
      <c r="O127" s="193">
        <v>1.1599999999999999</v>
      </c>
      <c r="P127" s="202">
        <v>5351.8433000000005</v>
      </c>
      <c r="Q127" s="207">
        <v>36.799999999999997</v>
      </c>
      <c r="R127" s="208">
        <v>14.532999999999999</v>
      </c>
      <c r="S127" s="209">
        <f t="shared" si="0"/>
        <v>2.6764219256440334</v>
      </c>
      <c r="T127" s="210">
        <v>500</v>
      </c>
      <c r="U127" s="209">
        <f t="shared" si="1"/>
        <v>6.2146080984221914</v>
      </c>
      <c r="V127" s="198">
        <v>39.700000000000003</v>
      </c>
      <c r="W127" s="208">
        <v>5351.84</v>
      </c>
      <c r="X127" s="209">
        <f t="shared" si="2"/>
        <v>8.5851957059949715</v>
      </c>
    </row>
    <row r="128" spans="1:24">
      <c r="A128" s="199">
        <v>12</v>
      </c>
      <c r="B128" s="200" t="s">
        <v>31</v>
      </c>
      <c r="C128" s="200" t="s">
        <v>30</v>
      </c>
      <c r="D128" s="201">
        <v>2015</v>
      </c>
      <c r="E128" s="202">
        <v>13.553000000000001</v>
      </c>
      <c r="F128" s="203">
        <v>2.9815</v>
      </c>
      <c r="G128" s="202">
        <v>504</v>
      </c>
      <c r="H128" s="187">
        <v>40.700001</v>
      </c>
      <c r="I128" s="204">
        <v>81.900000000000006</v>
      </c>
      <c r="J128" s="203">
        <v>18.8</v>
      </c>
      <c r="K128" s="205">
        <v>13625.4</v>
      </c>
      <c r="L128" s="206">
        <v>0.89999998000000003</v>
      </c>
      <c r="M128" s="191">
        <v>1.8</v>
      </c>
      <c r="N128" s="192">
        <v>453890</v>
      </c>
      <c r="O128" s="193">
        <v>1.1399999999999999</v>
      </c>
      <c r="P128" s="202">
        <v>5484.6854999999996</v>
      </c>
      <c r="Q128" s="207">
        <v>38.799999999999997</v>
      </c>
      <c r="R128" s="208">
        <v>13.553000000000001</v>
      </c>
      <c r="S128" s="209">
        <f t="shared" si="0"/>
        <v>2.6066079250338792</v>
      </c>
      <c r="T128" s="210">
        <v>504</v>
      </c>
      <c r="U128" s="209">
        <f t="shared" si="1"/>
        <v>6.2225762680713688</v>
      </c>
      <c r="V128" s="198">
        <v>40.700000000000003</v>
      </c>
      <c r="W128" s="208">
        <v>5484.69</v>
      </c>
      <c r="X128" s="209">
        <f t="shared" si="2"/>
        <v>8.6097158533363896</v>
      </c>
    </row>
    <row r="129" spans="1:24">
      <c r="A129" s="199">
        <v>12</v>
      </c>
      <c r="B129" s="200" t="s">
        <v>31</v>
      </c>
      <c r="C129" s="200" t="s">
        <v>30</v>
      </c>
      <c r="D129" s="201">
        <v>2016</v>
      </c>
      <c r="E129" s="202">
        <v>13.778</v>
      </c>
      <c r="F129" s="203">
        <v>3.0510000000000002</v>
      </c>
      <c r="G129" s="202">
        <v>510</v>
      </c>
      <c r="H129" s="187">
        <v>39.700001</v>
      </c>
      <c r="I129" s="204">
        <v>81.900000000000006</v>
      </c>
      <c r="J129" s="203">
        <v>19.3</v>
      </c>
      <c r="K129" s="205">
        <v>19405.3</v>
      </c>
      <c r="L129" s="206">
        <v>0.89999998000000003</v>
      </c>
      <c r="M129" s="191">
        <v>1.6</v>
      </c>
      <c r="N129" s="192">
        <v>470463</v>
      </c>
      <c r="O129" s="193">
        <v>1.1499999999999999</v>
      </c>
      <c r="P129" s="202">
        <v>5303.9364999999998</v>
      </c>
      <c r="Q129" s="207">
        <v>39.4</v>
      </c>
      <c r="R129" s="208">
        <v>13.778</v>
      </c>
      <c r="S129" s="209">
        <f t="shared" si="0"/>
        <v>2.6230731171710042</v>
      </c>
      <c r="T129" s="210">
        <v>510</v>
      </c>
      <c r="U129" s="209">
        <f t="shared" si="1"/>
        <v>6.2344107257183712</v>
      </c>
      <c r="V129" s="198">
        <v>39.700000000000003</v>
      </c>
      <c r="W129" s="208">
        <v>5303.94</v>
      </c>
      <c r="X129" s="209">
        <f t="shared" si="2"/>
        <v>8.5762052195845193</v>
      </c>
    </row>
    <row r="130" spans="1:24">
      <c r="A130" s="199">
        <v>12</v>
      </c>
      <c r="B130" s="200" t="s">
        <v>31</v>
      </c>
      <c r="C130" s="200" t="s">
        <v>30</v>
      </c>
      <c r="D130" s="201">
        <v>2017</v>
      </c>
      <c r="E130" s="202">
        <v>14.528</v>
      </c>
      <c r="F130" s="203">
        <v>2.8744000000000001</v>
      </c>
      <c r="G130" s="202">
        <v>551</v>
      </c>
      <c r="H130" s="187">
        <v>40.200001</v>
      </c>
      <c r="I130" s="204">
        <v>81.900000000000006</v>
      </c>
      <c r="J130" s="203">
        <v>18.7</v>
      </c>
      <c r="K130" s="205">
        <v>13003.8</v>
      </c>
      <c r="L130" s="206">
        <v>0.89999998000000003</v>
      </c>
      <c r="M130" s="191">
        <v>1.8</v>
      </c>
      <c r="N130" s="192">
        <v>515908</v>
      </c>
      <c r="O130" s="193">
        <v>1.1299999999999999</v>
      </c>
      <c r="P130" s="202">
        <v>5159.8446999999996</v>
      </c>
      <c r="Q130" s="207">
        <v>38.200000000000003</v>
      </c>
      <c r="R130" s="208">
        <v>14.528</v>
      </c>
      <c r="S130" s="209">
        <f t="shared" si="0"/>
        <v>2.6760778218589376</v>
      </c>
      <c r="T130" s="210">
        <v>551</v>
      </c>
      <c r="U130" s="209">
        <f t="shared" si="1"/>
        <v>6.3117348091529148</v>
      </c>
      <c r="V130" s="198">
        <v>40.200000000000003</v>
      </c>
      <c r="W130" s="208">
        <v>5159.84</v>
      </c>
      <c r="X130" s="209">
        <f t="shared" si="2"/>
        <v>8.5486608502429196</v>
      </c>
    </row>
    <row r="131" spans="1:24">
      <c r="A131" s="199">
        <v>12</v>
      </c>
      <c r="B131" s="200" t="s">
        <v>31</v>
      </c>
      <c r="C131" s="200" t="s">
        <v>30</v>
      </c>
      <c r="D131" s="201">
        <v>2018</v>
      </c>
      <c r="E131" s="202">
        <v>14.301</v>
      </c>
      <c r="F131" s="203">
        <v>2.9617</v>
      </c>
      <c r="G131" s="202">
        <v>566</v>
      </c>
      <c r="H131" s="187">
        <v>40.700001</v>
      </c>
      <c r="I131" s="204">
        <v>74.2</v>
      </c>
      <c r="J131" s="203">
        <v>19.5</v>
      </c>
      <c r="K131" s="205">
        <v>14802.1</v>
      </c>
      <c r="L131" s="206">
        <v>0.80000000999999998</v>
      </c>
      <c r="M131" s="191">
        <v>1.7</v>
      </c>
      <c r="N131" s="192">
        <v>518745</v>
      </c>
      <c r="O131" s="193">
        <v>1.1399999999999999</v>
      </c>
      <c r="P131" s="202">
        <v>4622.2641999999996</v>
      </c>
      <c r="Q131" s="207">
        <v>38.6</v>
      </c>
      <c r="R131" s="208">
        <v>14.301</v>
      </c>
      <c r="S131" s="209">
        <f t="shared" si="0"/>
        <v>2.6603294648907982</v>
      </c>
      <c r="T131" s="210">
        <v>566</v>
      </c>
      <c r="U131" s="209">
        <f t="shared" si="1"/>
        <v>6.3385940782031831</v>
      </c>
      <c r="V131" s="198">
        <v>40.700000000000003</v>
      </c>
      <c r="W131" s="208">
        <v>4622.26</v>
      </c>
      <c r="X131" s="209">
        <f t="shared" si="2"/>
        <v>8.4386390419566588</v>
      </c>
    </row>
    <row r="132" spans="1:24">
      <c r="A132" s="199">
        <v>12</v>
      </c>
      <c r="B132" s="200" t="s">
        <v>31</v>
      </c>
      <c r="C132" s="200" t="s">
        <v>30</v>
      </c>
      <c r="D132" s="201">
        <v>2019</v>
      </c>
      <c r="E132" s="202">
        <v>14.329000000000001</v>
      </c>
      <c r="F132" s="203">
        <v>2.9371999999999998</v>
      </c>
      <c r="G132" s="202">
        <v>609</v>
      </c>
      <c r="H132" s="187">
        <v>41</v>
      </c>
      <c r="I132" s="204">
        <v>76.5</v>
      </c>
      <c r="J132" s="203">
        <v>17.100000000000001</v>
      </c>
      <c r="K132" s="205">
        <v>9718.5</v>
      </c>
      <c r="L132" s="206">
        <v>0.80000000999999998</v>
      </c>
      <c r="M132" s="191">
        <v>1.6</v>
      </c>
      <c r="N132" s="192">
        <v>524507</v>
      </c>
      <c r="O132" s="193">
        <v>1.1200000000000001</v>
      </c>
      <c r="P132" s="202">
        <v>4084.6835999999998</v>
      </c>
      <c r="Q132" s="207">
        <v>37.5</v>
      </c>
      <c r="R132" s="208">
        <v>14.329000000000001</v>
      </c>
      <c r="S132" s="209">
        <f t="shared" si="0"/>
        <v>2.662285455734466</v>
      </c>
      <c r="T132" s="210">
        <v>609</v>
      </c>
      <c r="U132" s="209">
        <f t="shared" si="1"/>
        <v>6.4118182677098972</v>
      </c>
      <c r="V132" s="198">
        <v>41</v>
      </c>
      <c r="W132" s="208"/>
      <c r="X132" s="209" t="e">
        <f t="shared" si="2"/>
        <v>#NUM!</v>
      </c>
    </row>
    <row r="133" spans="1:24">
      <c r="A133" s="199">
        <v>12</v>
      </c>
      <c r="B133" s="200" t="s">
        <v>31</v>
      </c>
      <c r="C133" s="200" t="s">
        <v>30</v>
      </c>
      <c r="D133" s="201">
        <v>2020</v>
      </c>
      <c r="E133" s="202">
        <v>45.669998</v>
      </c>
      <c r="F133" s="203">
        <v>2.988</v>
      </c>
      <c r="G133" s="202">
        <v>630</v>
      </c>
      <c r="H133" s="187">
        <v>41.700001</v>
      </c>
      <c r="I133" s="204">
        <v>79.8</v>
      </c>
      <c r="J133" s="203">
        <v>16.2</v>
      </c>
      <c r="K133" s="205">
        <v>7103.1</v>
      </c>
      <c r="L133" s="206">
        <v>0.89999998000000003</v>
      </c>
      <c r="M133" s="191">
        <v>1.7</v>
      </c>
      <c r="N133" s="192">
        <v>521357</v>
      </c>
      <c r="O133" s="193">
        <v>1.07</v>
      </c>
      <c r="P133" s="202">
        <v>3547.1030000000001</v>
      </c>
      <c r="Q133" s="207">
        <v>36.700000000000003</v>
      </c>
      <c r="R133" s="208">
        <v>45.67</v>
      </c>
      <c r="S133" s="209">
        <f t="shared" si="0"/>
        <v>3.8214416271969078</v>
      </c>
      <c r="T133" s="210">
        <v>630</v>
      </c>
      <c r="U133" s="209">
        <f t="shared" si="1"/>
        <v>6.4457198193855785</v>
      </c>
      <c r="V133" s="198">
        <v>41.7</v>
      </c>
      <c r="W133" s="208"/>
      <c r="X133" s="209" t="e">
        <f t="shared" si="2"/>
        <v>#NUM!</v>
      </c>
    </row>
    <row r="134" spans="1:24">
      <c r="A134" s="199">
        <v>13</v>
      </c>
      <c r="B134" s="200" t="s">
        <v>29</v>
      </c>
      <c r="C134" s="200" t="s">
        <v>28</v>
      </c>
      <c r="D134" s="201">
        <v>2010</v>
      </c>
      <c r="E134" s="202">
        <v>13.129</v>
      </c>
      <c r="F134" s="203">
        <v>1.0183</v>
      </c>
      <c r="G134" s="202">
        <v>534</v>
      </c>
      <c r="H134" s="187">
        <v>4.0999999000000003</v>
      </c>
      <c r="I134" s="204">
        <v>77.3</v>
      </c>
      <c r="J134" s="203">
        <v>1.6</v>
      </c>
      <c r="K134" s="205">
        <v>143.69999999999999</v>
      </c>
      <c r="L134" s="206">
        <v>0.20000002</v>
      </c>
      <c r="M134" s="191">
        <v>1.3</v>
      </c>
      <c r="N134" s="192">
        <v>43225</v>
      </c>
      <c r="O134" s="193">
        <v>0.96</v>
      </c>
      <c r="P134" s="202">
        <v>4813.0078000000003</v>
      </c>
      <c r="Q134" s="207">
        <v>26.8</v>
      </c>
      <c r="R134" s="208">
        <v>13.129</v>
      </c>
      <c r="S134" s="209">
        <f t="shared" si="0"/>
        <v>2.5748235239519732</v>
      </c>
      <c r="T134" s="210">
        <v>534</v>
      </c>
      <c r="U134" s="209">
        <f t="shared" si="1"/>
        <v>6.280395838960195</v>
      </c>
      <c r="V134" s="198">
        <v>4.0999999999999996</v>
      </c>
      <c r="W134" s="208">
        <v>4813.01</v>
      </c>
      <c r="X134" s="209">
        <f t="shared" si="2"/>
        <v>8.4790779470071627</v>
      </c>
    </row>
    <row r="135" spans="1:24">
      <c r="A135" s="199">
        <v>13</v>
      </c>
      <c r="B135" s="200" t="s">
        <v>29</v>
      </c>
      <c r="C135" s="200" t="s">
        <v>28</v>
      </c>
      <c r="D135" s="201">
        <v>2011</v>
      </c>
      <c r="E135" s="202">
        <v>14.028</v>
      </c>
      <c r="F135" s="203">
        <v>1.0214000000000001</v>
      </c>
      <c r="G135" s="202">
        <v>534</v>
      </c>
      <c r="H135" s="187">
        <v>8.3000001999999995</v>
      </c>
      <c r="I135" s="204">
        <v>84.5</v>
      </c>
      <c r="J135" s="203">
        <v>2.4</v>
      </c>
      <c r="K135" s="205">
        <v>1261.3</v>
      </c>
      <c r="L135" s="206">
        <v>0.30000000999999998</v>
      </c>
      <c r="M135" s="191">
        <v>1.4</v>
      </c>
      <c r="N135" s="192">
        <v>42060</v>
      </c>
      <c r="O135" s="193">
        <v>0.95</v>
      </c>
      <c r="P135" s="202">
        <v>4633.2191999999995</v>
      </c>
      <c r="Q135" s="207">
        <v>27.3</v>
      </c>
      <c r="R135" s="208">
        <v>14.028</v>
      </c>
      <c r="S135" s="209">
        <f t="shared" si="0"/>
        <v>2.6410553322779315</v>
      </c>
      <c r="T135" s="210">
        <v>534</v>
      </c>
      <c r="U135" s="209">
        <f t="shared" si="1"/>
        <v>6.280395838960195</v>
      </c>
      <c r="V135" s="198">
        <v>8.3000000000000007</v>
      </c>
      <c r="W135" s="208">
        <v>4633.22</v>
      </c>
      <c r="X135" s="209">
        <f t="shared" si="2"/>
        <v>8.4410073697198573</v>
      </c>
    </row>
    <row r="136" spans="1:24">
      <c r="A136" s="199">
        <v>13</v>
      </c>
      <c r="B136" s="200" t="s">
        <v>29</v>
      </c>
      <c r="C136" s="200" t="s">
        <v>28</v>
      </c>
      <c r="D136" s="201">
        <v>2012</v>
      </c>
      <c r="E136" s="202">
        <v>12.949</v>
      </c>
      <c r="F136" s="203">
        <v>1.0851999999999999</v>
      </c>
      <c r="G136" s="202">
        <v>534</v>
      </c>
      <c r="H136" s="187">
        <v>14.7</v>
      </c>
      <c r="I136" s="204">
        <v>92.3</v>
      </c>
      <c r="J136" s="203">
        <v>3.5</v>
      </c>
      <c r="K136" s="205">
        <v>1237.2</v>
      </c>
      <c r="L136" s="206">
        <v>0.40000001000000002</v>
      </c>
      <c r="M136" s="191">
        <v>1.5</v>
      </c>
      <c r="N136" s="192">
        <v>42218</v>
      </c>
      <c r="O136" s="193">
        <v>0.96</v>
      </c>
      <c r="P136" s="202">
        <v>4524.5366000000004</v>
      </c>
      <c r="Q136" s="207">
        <v>28.4</v>
      </c>
      <c r="R136" s="208">
        <v>12.949</v>
      </c>
      <c r="S136" s="209">
        <f t="shared" si="0"/>
        <v>2.561018565086703</v>
      </c>
      <c r="T136" s="210">
        <v>534</v>
      </c>
      <c r="U136" s="209">
        <f t="shared" si="1"/>
        <v>6.280395838960195</v>
      </c>
      <c r="V136" s="198">
        <v>14.7</v>
      </c>
      <c r="W136" s="208">
        <v>4524.54</v>
      </c>
      <c r="X136" s="209">
        <f t="shared" si="2"/>
        <v>8.4172711935079931</v>
      </c>
    </row>
    <row r="137" spans="1:24">
      <c r="A137" s="199">
        <v>13</v>
      </c>
      <c r="B137" s="200" t="s">
        <v>29</v>
      </c>
      <c r="C137" s="200" t="s">
        <v>28</v>
      </c>
      <c r="D137" s="201">
        <v>2013</v>
      </c>
      <c r="E137" s="202">
        <v>13.071</v>
      </c>
      <c r="F137" s="203">
        <v>1.0516000000000001</v>
      </c>
      <c r="G137" s="202">
        <v>527</v>
      </c>
      <c r="H137" s="187">
        <v>14.9</v>
      </c>
      <c r="I137" s="204">
        <v>97.4</v>
      </c>
      <c r="J137" s="203">
        <v>3.9</v>
      </c>
      <c r="K137" s="205">
        <v>1855.1</v>
      </c>
      <c r="L137" s="206">
        <v>0.5</v>
      </c>
      <c r="M137" s="191">
        <v>1.6</v>
      </c>
      <c r="N137" s="192">
        <v>42218</v>
      </c>
      <c r="O137" s="193">
        <v>0.97</v>
      </c>
      <c r="P137" s="202">
        <v>4589.1782000000003</v>
      </c>
      <c r="Q137" s="207">
        <v>27.6</v>
      </c>
      <c r="R137" s="208">
        <v>13.071</v>
      </c>
      <c r="S137" s="209">
        <f t="shared" si="0"/>
        <v>2.5703960358034146</v>
      </c>
      <c r="T137" s="210">
        <v>527</v>
      </c>
      <c r="U137" s="209">
        <f t="shared" si="1"/>
        <v>6.2672005485413624</v>
      </c>
      <c r="V137" s="198">
        <v>14.9</v>
      </c>
      <c r="W137" s="208">
        <v>4589.18</v>
      </c>
      <c r="X137" s="209">
        <f t="shared" si="2"/>
        <v>8.4314566378574423</v>
      </c>
    </row>
    <row r="138" spans="1:24">
      <c r="A138" s="199">
        <v>13</v>
      </c>
      <c r="B138" s="200" t="s">
        <v>29</v>
      </c>
      <c r="C138" s="200" t="s">
        <v>28</v>
      </c>
      <c r="D138" s="201">
        <v>2014</v>
      </c>
      <c r="E138" s="202">
        <v>11.771000000000001</v>
      </c>
      <c r="F138" s="203">
        <v>1.1405000000000001</v>
      </c>
      <c r="G138" s="202">
        <v>520</v>
      </c>
      <c r="H138" s="187">
        <v>16.399999999999999</v>
      </c>
      <c r="I138" s="204">
        <v>95.7</v>
      </c>
      <c r="J138" s="203">
        <v>4.8</v>
      </c>
      <c r="K138" s="205">
        <v>2129.1999999999998</v>
      </c>
      <c r="L138" s="206">
        <v>0.60000001999999997</v>
      </c>
      <c r="M138" s="191">
        <v>1.8</v>
      </c>
      <c r="N138" s="192">
        <v>45261</v>
      </c>
      <c r="O138" s="193">
        <v>0.98</v>
      </c>
      <c r="P138" s="202">
        <v>4624.0727999999999</v>
      </c>
      <c r="Q138" s="207">
        <v>28.3</v>
      </c>
      <c r="R138" s="208">
        <v>11.771000000000001</v>
      </c>
      <c r="S138" s="209">
        <f t="shared" si="0"/>
        <v>2.4656388794303434</v>
      </c>
      <c r="T138" s="210">
        <v>520</v>
      </c>
      <c r="U138" s="209">
        <f t="shared" si="1"/>
        <v>6.253828811575473</v>
      </c>
      <c r="V138" s="198">
        <v>16.399999999999999</v>
      </c>
      <c r="W138" s="208">
        <v>4624.07</v>
      </c>
      <c r="X138" s="209">
        <f t="shared" si="2"/>
        <v>8.4390305486459329</v>
      </c>
    </row>
    <row r="139" spans="1:24">
      <c r="A139" s="199">
        <v>13</v>
      </c>
      <c r="B139" s="200" t="s">
        <v>29</v>
      </c>
      <c r="C139" s="200" t="s">
        <v>28</v>
      </c>
      <c r="D139" s="201">
        <v>2015</v>
      </c>
      <c r="E139" s="202">
        <v>13.605</v>
      </c>
      <c r="F139" s="203">
        <v>1.1072</v>
      </c>
      <c r="G139" s="202">
        <v>517</v>
      </c>
      <c r="H139" s="187">
        <v>18</v>
      </c>
      <c r="I139" s="204">
        <v>92.5</v>
      </c>
      <c r="J139" s="203">
        <v>4.5999999999999996</v>
      </c>
      <c r="K139" s="205">
        <v>2509.6999999999998</v>
      </c>
      <c r="L139" s="206">
        <v>0.60000001999999997</v>
      </c>
      <c r="M139" s="191">
        <v>1.8</v>
      </c>
      <c r="N139" s="192">
        <v>44872</v>
      </c>
      <c r="O139" s="193">
        <v>0.98</v>
      </c>
      <c r="P139" s="202">
        <v>4885.9018999999998</v>
      </c>
      <c r="Q139" s="207">
        <v>29.5</v>
      </c>
      <c r="R139" s="208">
        <v>13.605</v>
      </c>
      <c r="S139" s="209">
        <f t="shared" si="0"/>
        <v>2.6104373722352094</v>
      </c>
      <c r="T139" s="210">
        <v>517</v>
      </c>
      <c r="U139" s="209">
        <f t="shared" si="1"/>
        <v>6.2480428745084291</v>
      </c>
      <c r="V139" s="198">
        <v>18</v>
      </c>
      <c r="W139" s="208">
        <v>4885.8999999999996</v>
      </c>
      <c r="X139" s="209">
        <f t="shared" si="2"/>
        <v>8.4941087849688639</v>
      </c>
    </row>
    <row r="140" spans="1:24">
      <c r="A140" s="199">
        <v>13</v>
      </c>
      <c r="B140" s="200" t="s">
        <v>29</v>
      </c>
      <c r="C140" s="200" t="s">
        <v>28</v>
      </c>
      <c r="D140" s="201">
        <v>2016</v>
      </c>
      <c r="E140" s="202">
        <v>13.266</v>
      </c>
      <c r="F140" s="203">
        <v>1.1203000000000001</v>
      </c>
      <c r="G140" s="202">
        <v>516</v>
      </c>
      <c r="H140" s="187">
        <v>21</v>
      </c>
      <c r="I140" s="204">
        <v>96.3</v>
      </c>
      <c r="J140" s="203">
        <v>4.5999999999999996</v>
      </c>
      <c r="K140" s="205">
        <v>2638.9</v>
      </c>
      <c r="L140" s="206">
        <v>0.60000001999999997</v>
      </c>
      <c r="M140" s="191">
        <v>1.9</v>
      </c>
      <c r="N140" s="192">
        <v>44088</v>
      </c>
      <c r="O140" s="193">
        <v>0.98</v>
      </c>
      <c r="P140" s="202">
        <v>4679.7280000000001</v>
      </c>
      <c r="Q140" s="207">
        <v>31</v>
      </c>
      <c r="R140" s="208">
        <v>13.266</v>
      </c>
      <c r="S140" s="209">
        <f t="shared" si="0"/>
        <v>2.5852043711033641</v>
      </c>
      <c r="T140" s="210">
        <v>516</v>
      </c>
      <c r="U140" s="209">
        <f t="shared" si="1"/>
        <v>6.2461067654815627</v>
      </c>
      <c r="V140" s="198">
        <v>21</v>
      </c>
      <c r="W140" s="208">
        <v>4679.7299999999996</v>
      </c>
      <c r="X140" s="209">
        <f t="shared" si="2"/>
        <v>8.4509956949397349</v>
      </c>
    </row>
    <row r="141" spans="1:24">
      <c r="A141" s="199">
        <v>13</v>
      </c>
      <c r="B141" s="200" t="s">
        <v>29</v>
      </c>
      <c r="C141" s="200" t="s">
        <v>28</v>
      </c>
      <c r="D141" s="201">
        <v>2017</v>
      </c>
      <c r="E141" s="202">
        <v>13.731999999999999</v>
      </c>
      <c r="F141" s="203">
        <v>1.1726000000000001</v>
      </c>
      <c r="G141" s="202">
        <v>553</v>
      </c>
      <c r="H141" s="187">
        <v>23.6</v>
      </c>
      <c r="I141" s="204">
        <v>95.2</v>
      </c>
      <c r="J141" s="203">
        <v>5.0999999999999996</v>
      </c>
      <c r="K141" s="205">
        <v>3144</v>
      </c>
      <c r="L141" s="206">
        <v>0.69999999000000002</v>
      </c>
      <c r="M141" s="191">
        <v>1.9</v>
      </c>
      <c r="N141" s="192">
        <v>46104</v>
      </c>
      <c r="O141" s="193">
        <v>0.99</v>
      </c>
      <c r="P141" s="202">
        <v>4775.0897999999997</v>
      </c>
      <c r="Q141" s="207">
        <v>31.8</v>
      </c>
      <c r="R141" s="208">
        <v>13.731999999999999</v>
      </c>
      <c r="S141" s="209">
        <f t="shared" si="0"/>
        <v>2.6197288755954458</v>
      </c>
      <c r="T141" s="210">
        <v>553</v>
      </c>
      <c r="U141" s="209">
        <f t="shared" si="1"/>
        <v>6.315358001522335</v>
      </c>
      <c r="V141" s="198">
        <v>23.6</v>
      </c>
      <c r="W141" s="208">
        <v>4775.09</v>
      </c>
      <c r="X141" s="209">
        <f t="shared" si="2"/>
        <v>8.4711681009047446</v>
      </c>
    </row>
    <row r="142" spans="1:24">
      <c r="A142" s="199">
        <v>13</v>
      </c>
      <c r="B142" s="200" t="s">
        <v>29</v>
      </c>
      <c r="C142" s="200" t="s">
        <v>28</v>
      </c>
      <c r="D142" s="201">
        <v>2018</v>
      </c>
      <c r="E142" s="202">
        <v>13.914999999999999</v>
      </c>
      <c r="F142" s="203">
        <v>1.1776</v>
      </c>
      <c r="G142" s="202">
        <v>558</v>
      </c>
      <c r="H142" s="187">
        <v>25.299999</v>
      </c>
      <c r="I142" s="204">
        <v>91.2</v>
      </c>
      <c r="J142" s="203">
        <v>5</v>
      </c>
      <c r="K142" s="205">
        <v>3314.5</v>
      </c>
      <c r="L142" s="206">
        <v>0.80000000999999998</v>
      </c>
      <c r="M142" s="191">
        <v>2.4000001000000002</v>
      </c>
      <c r="N142" s="192">
        <v>51368</v>
      </c>
      <c r="O142" s="193">
        <v>0.99</v>
      </c>
      <c r="P142" s="202">
        <v>4637.5825000000004</v>
      </c>
      <c r="Q142" s="207">
        <v>31.4</v>
      </c>
      <c r="R142" s="208">
        <v>13.914999999999999</v>
      </c>
      <c r="S142" s="209">
        <f t="shared" si="0"/>
        <v>2.6329673949778543</v>
      </c>
      <c r="T142" s="210">
        <v>558</v>
      </c>
      <c r="U142" s="209">
        <f t="shared" si="1"/>
        <v>6.3243589623813108</v>
      </c>
      <c r="V142" s="198">
        <v>25.3</v>
      </c>
      <c r="W142" s="208">
        <v>4637.58</v>
      </c>
      <c r="X142" s="209">
        <f t="shared" si="2"/>
        <v>8.4419479574407532</v>
      </c>
    </row>
    <row r="143" spans="1:24">
      <c r="A143" s="199">
        <v>13</v>
      </c>
      <c r="B143" s="200" t="s">
        <v>29</v>
      </c>
      <c r="C143" s="200" t="s">
        <v>28</v>
      </c>
      <c r="D143" s="201">
        <v>2019</v>
      </c>
      <c r="E143" s="202">
        <v>14.221</v>
      </c>
      <c r="F143" s="203">
        <v>1.1801999999999999</v>
      </c>
      <c r="G143" s="202">
        <v>557</v>
      </c>
      <c r="H143" s="187">
        <v>30.200001</v>
      </c>
      <c r="I143" s="204">
        <v>92.3</v>
      </c>
      <c r="J143" s="203">
        <v>5.4</v>
      </c>
      <c r="K143" s="205">
        <v>2818.8</v>
      </c>
      <c r="L143" s="206">
        <v>0.60000001999999997</v>
      </c>
      <c r="M143" s="191">
        <v>2.5</v>
      </c>
      <c r="N143" s="192">
        <v>58574</v>
      </c>
      <c r="O143" s="193">
        <v>0.97</v>
      </c>
      <c r="P143" s="202">
        <v>6274.7025999999996</v>
      </c>
      <c r="Q143" s="207">
        <v>32.700000000000003</v>
      </c>
      <c r="R143" s="208">
        <v>14.221</v>
      </c>
      <c r="S143" s="209">
        <f t="shared" si="0"/>
        <v>2.6547197453905591</v>
      </c>
      <c r="T143" s="210">
        <v>557</v>
      </c>
      <c r="U143" s="209">
        <f t="shared" si="1"/>
        <v>6.3225652399272843</v>
      </c>
      <c r="V143" s="198">
        <v>30.2</v>
      </c>
      <c r="W143" s="208">
        <v>6274.7</v>
      </c>
      <c r="X143" s="209">
        <f t="shared" si="2"/>
        <v>8.7442809540921687</v>
      </c>
    </row>
    <row r="144" spans="1:24">
      <c r="A144" s="199">
        <v>13</v>
      </c>
      <c r="B144" s="200" t="s">
        <v>29</v>
      </c>
      <c r="C144" s="200" t="s">
        <v>28</v>
      </c>
      <c r="D144" s="201">
        <v>2020</v>
      </c>
      <c r="E144" s="202">
        <v>13.231999999999999</v>
      </c>
      <c r="F144" s="203">
        <v>1.0625</v>
      </c>
      <c r="G144" s="202">
        <v>555</v>
      </c>
      <c r="H144" s="187">
        <v>29.5</v>
      </c>
      <c r="I144" s="204">
        <v>94.9</v>
      </c>
      <c r="J144" s="203">
        <v>5.5</v>
      </c>
      <c r="K144" s="205">
        <v>2889.1</v>
      </c>
      <c r="L144" s="206">
        <v>0.80000000999999998</v>
      </c>
      <c r="M144" s="191">
        <v>2.4000001000000002</v>
      </c>
      <c r="N144" s="192">
        <v>50818</v>
      </c>
      <c r="O144" s="193">
        <v>0.92</v>
      </c>
      <c r="P144" s="202">
        <v>6376.3872000000001</v>
      </c>
      <c r="Q144" s="207">
        <v>33.799999999999997</v>
      </c>
      <c r="R144" s="208">
        <v>13.231999999999999</v>
      </c>
      <c r="S144" s="209">
        <f t="shared" si="0"/>
        <v>2.5826381382813355</v>
      </c>
      <c r="T144" s="210">
        <v>555</v>
      </c>
      <c r="U144" s="209">
        <f t="shared" si="1"/>
        <v>6.3189681137464344</v>
      </c>
      <c r="V144" s="198">
        <v>29.5</v>
      </c>
      <c r="W144" s="208">
        <v>6376.39</v>
      </c>
      <c r="X144" s="209">
        <f t="shared" si="2"/>
        <v>8.7603573854752188</v>
      </c>
    </row>
    <row r="145" spans="1:24">
      <c r="A145" s="199">
        <v>14</v>
      </c>
      <c r="B145" s="200" t="s">
        <v>27</v>
      </c>
      <c r="C145" s="200" t="s">
        <v>26</v>
      </c>
      <c r="D145" s="201">
        <v>2010</v>
      </c>
      <c r="E145" s="202">
        <v>9.2609996999999993</v>
      </c>
      <c r="F145" s="203">
        <v>1.0295000000000001</v>
      </c>
      <c r="G145" s="202">
        <v>399</v>
      </c>
      <c r="H145" s="187">
        <v>19.600000000000001</v>
      </c>
      <c r="I145" s="204">
        <v>82.3</v>
      </c>
      <c r="J145" s="203">
        <v>5.2</v>
      </c>
      <c r="K145" s="205">
        <v>306.10000000000002</v>
      </c>
      <c r="L145" s="206">
        <v>0.69999999000000002</v>
      </c>
      <c r="M145" s="191">
        <v>3.0000005000000001</v>
      </c>
      <c r="N145" s="192">
        <v>140978</v>
      </c>
      <c r="O145" s="193">
        <v>0.68</v>
      </c>
      <c r="P145" s="202">
        <v>5116.5703000000003</v>
      </c>
      <c r="Q145" s="207">
        <v>28.9</v>
      </c>
      <c r="R145" s="208">
        <v>9.2609999999999992</v>
      </c>
      <c r="S145" s="209">
        <f t="shared" si="0"/>
        <v>2.2258120341881318</v>
      </c>
      <c r="T145" s="210">
        <v>399</v>
      </c>
      <c r="U145" s="209">
        <f t="shared" si="1"/>
        <v>5.9889614168898637</v>
      </c>
      <c r="V145" s="198">
        <v>19.600000000000001</v>
      </c>
      <c r="W145" s="208">
        <v>5116.57</v>
      </c>
      <c r="X145" s="209">
        <f t="shared" si="2"/>
        <v>8.5402395716606243</v>
      </c>
    </row>
    <row r="146" spans="1:24">
      <c r="A146" s="199">
        <v>14</v>
      </c>
      <c r="B146" s="200" t="s">
        <v>27</v>
      </c>
      <c r="C146" s="200" t="s">
        <v>26</v>
      </c>
      <c r="D146" s="201">
        <v>2011</v>
      </c>
      <c r="E146" s="202">
        <v>9.0299996999999994</v>
      </c>
      <c r="F146" s="203">
        <v>1.0444</v>
      </c>
      <c r="G146" s="202">
        <v>415</v>
      </c>
      <c r="H146" s="187">
        <v>22</v>
      </c>
      <c r="I146" s="204">
        <v>87.7</v>
      </c>
      <c r="J146" s="203">
        <v>5.4</v>
      </c>
      <c r="K146" s="205">
        <v>663.5</v>
      </c>
      <c r="L146" s="206">
        <v>0.59999999000000004</v>
      </c>
      <c r="M146" s="191">
        <v>2.7000003000000001</v>
      </c>
      <c r="N146" s="192">
        <v>121637</v>
      </c>
      <c r="O146" s="193">
        <v>0.69</v>
      </c>
      <c r="P146" s="202">
        <v>4982.5775999999996</v>
      </c>
      <c r="Q146" s="207">
        <v>29.5</v>
      </c>
      <c r="R146" s="208">
        <v>9.0299999999999994</v>
      </c>
      <c r="S146" s="209">
        <f t="shared" si="0"/>
        <v>2.200552367428894</v>
      </c>
      <c r="T146" s="210">
        <v>415</v>
      </c>
      <c r="U146" s="209">
        <f t="shared" si="1"/>
        <v>6.0282785202306979</v>
      </c>
      <c r="V146" s="198">
        <v>22</v>
      </c>
      <c r="W146" s="208">
        <v>4982.58</v>
      </c>
      <c r="X146" s="209">
        <f t="shared" si="2"/>
        <v>8.5137031081547381</v>
      </c>
    </row>
    <row r="147" spans="1:24">
      <c r="A147" s="199">
        <v>14</v>
      </c>
      <c r="B147" s="200" t="s">
        <v>27</v>
      </c>
      <c r="C147" s="200" t="s">
        <v>26</v>
      </c>
      <c r="D147" s="201">
        <v>2012</v>
      </c>
      <c r="E147" s="202">
        <v>8.1809998000000004</v>
      </c>
      <c r="F147" s="203">
        <v>1.1774</v>
      </c>
      <c r="G147" s="202">
        <v>405</v>
      </c>
      <c r="H147" s="187">
        <v>25.5</v>
      </c>
      <c r="I147" s="204">
        <v>81.5</v>
      </c>
      <c r="J147" s="203">
        <v>6</v>
      </c>
      <c r="K147" s="205">
        <v>397.6</v>
      </c>
      <c r="L147" s="206">
        <v>0.5</v>
      </c>
      <c r="M147" s="191">
        <v>2.4000001000000002</v>
      </c>
      <c r="N147" s="192">
        <v>112989</v>
      </c>
      <c r="O147" s="193">
        <v>0.7</v>
      </c>
      <c r="P147" s="202">
        <v>5101.1772000000001</v>
      </c>
      <c r="Q147" s="207">
        <v>31.4</v>
      </c>
      <c r="R147" s="208">
        <v>8.1809999999999992</v>
      </c>
      <c r="S147" s="209">
        <f t="shared" si="0"/>
        <v>2.1018143925315611</v>
      </c>
      <c r="T147" s="210">
        <v>405</v>
      </c>
      <c r="U147" s="209">
        <f t="shared" si="1"/>
        <v>6.0038870671065387</v>
      </c>
      <c r="V147" s="198">
        <v>25.5</v>
      </c>
      <c r="W147" s="208">
        <v>5101.18</v>
      </c>
      <c r="X147" s="209">
        <f t="shared" si="2"/>
        <v>8.5372271644989368</v>
      </c>
    </row>
    <row r="148" spans="1:24">
      <c r="A148" s="199">
        <v>14</v>
      </c>
      <c r="B148" s="200" t="s">
        <v>27</v>
      </c>
      <c r="C148" s="200" t="s">
        <v>26</v>
      </c>
      <c r="D148" s="201">
        <v>2013</v>
      </c>
      <c r="E148" s="202">
        <v>9.6619997000000009</v>
      </c>
      <c r="F148" s="203">
        <v>1.0465</v>
      </c>
      <c r="G148" s="202">
        <v>379</v>
      </c>
      <c r="H148" s="187">
        <v>26.4</v>
      </c>
      <c r="I148" s="204">
        <v>87.7</v>
      </c>
      <c r="J148" s="203">
        <v>6.1</v>
      </c>
      <c r="K148" s="205">
        <v>809.7</v>
      </c>
      <c r="L148" s="206">
        <v>0.40000001000000002</v>
      </c>
      <c r="M148" s="191">
        <v>2.0999998999999998</v>
      </c>
      <c r="N148" s="192">
        <v>99999</v>
      </c>
      <c r="O148" s="193">
        <v>0.7</v>
      </c>
      <c r="P148" s="202">
        <v>5338.21</v>
      </c>
      <c r="Q148" s="207">
        <v>30.2</v>
      </c>
      <c r="R148" s="208">
        <v>9.6620000000000008</v>
      </c>
      <c r="S148" s="209">
        <f t="shared" si="0"/>
        <v>2.2682006661322149</v>
      </c>
      <c r="T148" s="210">
        <v>379</v>
      </c>
      <c r="U148" s="209">
        <f t="shared" si="1"/>
        <v>5.9375362050824263</v>
      </c>
      <c r="V148" s="198">
        <v>26.4</v>
      </c>
      <c r="W148" s="208">
        <v>5338.21</v>
      </c>
      <c r="X148" s="209">
        <f t="shared" si="2"/>
        <v>8.5826456697676452</v>
      </c>
    </row>
    <row r="149" spans="1:24">
      <c r="A149" s="199">
        <v>14</v>
      </c>
      <c r="B149" s="200" t="s">
        <v>27</v>
      </c>
      <c r="C149" s="200" t="s">
        <v>26</v>
      </c>
      <c r="D149" s="201">
        <v>2014</v>
      </c>
      <c r="E149" s="202">
        <v>12.811</v>
      </c>
      <c r="F149" s="203">
        <v>0.84870000000000001</v>
      </c>
      <c r="G149" s="202">
        <v>384</v>
      </c>
      <c r="H149" s="187">
        <v>30.5</v>
      </c>
      <c r="I149" s="204">
        <v>87</v>
      </c>
      <c r="J149" s="203">
        <v>5.3</v>
      </c>
      <c r="K149" s="205">
        <v>819.4</v>
      </c>
      <c r="L149" s="206">
        <v>0.69999999000000002</v>
      </c>
      <c r="M149" s="191">
        <v>1.9</v>
      </c>
      <c r="N149" s="192">
        <v>94592</v>
      </c>
      <c r="O149" s="193">
        <v>0.71</v>
      </c>
      <c r="P149" s="202">
        <v>5328.9277000000002</v>
      </c>
      <c r="Q149" s="207">
        <v>27.5</v>
      </c>
      <c r="R149" s="208">
        <v>12.811</v>
      </c>
      <c r="S149" s="209">
        <f t="shared" si="0"/>
        <v>2.5503041768742967</v>
      </c>
      <c r="T149" s="210">
        <v>384</v>
      </c>
      <c r="U149" s="209">
        <f t="shared" si="1"/>
        <v>5.9506425525877269</v>
      </c>
      <c r="V149" s="198">
        <v>30.5</v>
      </c>
      <c r="W149" s="208">
        <v>5328.93</v>
      </c>
      <c r="X149" s="209">
        <f t="shared" si="2"/>
        <v>8.5809057465377752</v>
      </c>
    </row>
    <row r="150" spans="1:24">
      <c r="A150" s="199">
        <v>14</v>
      </c>
      <c r="B150" s="200" t="s">
        <v>27</v>
      </c>
      <c r="C150" s="200" t="s">
        <v>26</v>
      </c>
      <c r="D150" s="201">
        <v>2015</v>
      </c>
      <c r="E150" s="202">
        <v>12.672000000000001</v>
      </c>
      <c r="F150" s="203">
        <v>0.89539999999999997</v>
      </c>
      <c r="G150" s="202">
        <v>391</v>
      </c>
      <c r="H150" s="187">
        <v>32.200001</v>
      </c>
      <c r="I150" s="204">
        <v>83.3</v>
      </c>
      <c r="J150" s="203">
        <v>5.7</v>
      </c>
      <c r="K150" s="205">
        <v>758</v>
      </c>
      <c r="L150" s="206">
        <v>0.69999999000000002</v>
      </c>
      <c r="M150" s="191">
        <v>1.8</v>
      </c>
      <c r="N150" s="192">
        <v>102645</v>
      </c>
      <c r="O150" s="193">
        <v>0.73</v>
      </c>
      <c r="P150" s="202">
        <v>5554.6635999999999</v>
      </c>
      <c r="Q150" s="207">
        <v>26.7</v>
      </c>
      <c r="R150" s="208">
        <v>12.672000000000001</v>
      </c>
      <c r="S150" s="209">
        <f t="shared" si="0"/>
        <v>2.5393948350720699</v>
      </c>
      <c r="T150" s="210">
        <v>391</v>
      </c>
      <c r="U150" s="209">
        <f t="shared" si="1"/>
        <v>5.9687075599853658</v>
      </c>
      <c r="V150" s="198">
        <v>32.200000000000003</v>
      </c>
      <c r="W150" s="208">
        <v>5554.66</v>
      </c>
      <c r="X150" s="209">
        <f t="shared" si="2"/>
        <v>8.6223924940799481</v>
      </c>
    </row>
    <row r="151" spans="1:24">
      <c r="A151" s="199">
        <v>14</v>
      </c>
      <c r="B151" s="200" t="s">
        <v>27</v>
      </c>
      <c r="C151" s="200" t="s">
        <v>26</v>
      </c>
      <c r="D151" s="201">
        <v>2016</v>
      </c>
      <c r="E151" s="202">
        <v>12.068</v>
      </c>
      <c r="F151" s="203">
        <v>0.95579999999999998</v>
      </c>
      <c r="G151" s="202">
        <v>407</v>
      </c>
      <c r="H151" s="187">
        <v>34.700001</v>
      </c>
      <c r="I151" s="204">
        <v>84</v>
      </c>
      <c r="J151" s="203">
        <v>6.3</v>
      </c>
      <c r="K151" s="205">
        <v>112.9</v>
      </c>
      <c r="L151" s="206">
        <v>0.80000000999999998</v>
      </c>
      <c r="M151" s="191">
        <v>2</v>
      </c>
      <c r="N151" s="192">
        <v>110391</v>
      </c>
      <c r="O151" s="193">
        <v>0.77</v>
      </c>
      <c r="P151" s="202">
        <v>5612.0268999999998</v>
      </c>
      <c r="Q151" s="207">
        <v>28.1</v>
      </c>
      <c r="R151" s="208">
        <v>12.068</v>
      </c>
      <c r="S151" s="209">
        <f t="shared" si="0"/>
        <v>2.4905573212968148</v>
      </c>
      <c r="T151" s="210">
        <v>407</v>
      </c>
      <c r="U151" s="209">
        <f t="shared" si="1"/>
        <v>6.0088131854425946</v>
      </c>
      <c r="V151" s="198">
        <v>34.700000000000003</v>
      </c>
      <c r="W151" s="208">
        <v>5612.03</v>
      </c>
      <c r="X151" s="209">
        <f t="shared" si="2"/>
        <v>8.6326677868958743</v>
      </c>
    </row>
    <row r="152" spans="1:24">
      <c r="A152" s="199">
        <v>14</v>
      </c>
      <c r="B152" s="200" t="s">
        <v>27</v>
      </c>
      <c r="C152" s="200" t="s">
        <v>26</v>
      </c>
      <c r="D152" s="201">
        <v>2017</v>
      </c>
      <c r="E152" s="202">
        <v>13.926</v>
      </c>
      <c r="F152" s="203">
        <v>0.88939999999999997</v>
      </c>
      <c r="G152" s="202">
        <v>390</v>
      </c>
      <c r="H152" s="187">
        <v>35</v>
      </c>
      <c r="I152" s="204">
        <v>84.2</v>
      </c>
      <c r="J152" s="203">
        <v>6.7</v>
      </c>
      <c r="K152" s="205">
        <v>61.9</v>
      </c>
      <c r="L152" s="206">
        <v>0.80000000999999998</v>
      </c>
      <c r="M152" s="191">
        <v>2.2000000000000002</v>
      </c>
      <c r="N152" s="192">
        <v>114922</v>
      </c>
      <c r="O152" s="193">
        <v>0.8</v>
      </c>
      <c r="P152" s="202">
        <v>5472.4209000000001</v>
      </c>
      <c r="Q152" s="207">
        <v>29.6</v>
      </c>
      <c r="R152" s="208">
        <v>13.926</v>
      </c>
      <c r="S152" s="209">
        <f t="shared" si="0"/>
        <v>2.633757596520355</v>
      </c>
      <c r="T152" s="210">
        <v>390</v>
      </c>
      <c r="U152" s="209">
        <f t="shared" si="1"/>
        <v>5.9661467391236922</v>
      </c>
      <c r="V152" s="198">
        <v>35</v>
      </c>
      <c r="W152" s="208">
        <v>5472.42</v>
      </c>
      <c r="X152" s="209">
        <f t="shared" si="2"/>
        <v>8.6074762107428846</v>
      </c>
    </row>
    <row r="153" spans="1:24">
      <c r="A153" s="199">
        <v>14</v>
      </c>
      <c r="B153" s="200" t="s">
        <v>27</v>
      </c>
      <c r="C153" s="200" t="s">
        <v>26</v>
      </c>
      <c r="D153" s="201">
        <v>2018</v>
      </c>
      <c r="E153" s="202">
        <v>15.906000000000001</v>
      </c>
      <c r="F153" s="203">
        <v>0.81920000000000004</v>
      </c>
      <c r="G153" s="202">
        <v>398</v>
      </c>
      <c r="H153" s="187">
        <v>37.400002000000001</v>
      </c>
      <c r="I153" s="204">
        <v>83.5</v>
      </c>
      <c r="J153" s="203">
        <v>6.9</v>
      </c>
      <c r="K153" s="205">
        <v>18</v>
      </c>
      <c r="L153" s="206">
        <v>0.80000000999999998</v>
      </c>
      <c r="M153" s="191">
        <v>2.5</v>
      </c>
      <c r="N153" s="192">
        <v>119781</v>
      </c>
      <c r="O153" s="193">
        <v>0.83</v>
      </c>
      <c r="P153" s="202">
        <v>5177.5141999999996</v>
      </c>
      <c r="Q153" s="207">
        <v>29.5</v>
      </c>
      <c r="R153" s="208">
        <v>15.906000000000001</v>
      </c>
      <c r="S153" s="209">
        <f t="shared" si="0"/>
        <v>2.7666963965349436</v>
      </c>
      <c r="T153" s="210">
        <v>398</v>
      </c>
      <c r="U153" s="209">
        <f t="shared" si="1"/>
        <v>5.9864520052844377</v>
      </c>
      <c r="V153" s="198">
        <v>37.4</v>
      </c>
      <c r="W153" s="208">
        <v>5177.51</v>
      </c>
      <c r="X153" s="209">
        <f t="shared" si="2"/>
        <v>8.5520795247019645</v>
      </c>
    </row>
    <row r="154" spans="1:24">
      <c r="A154" s="199">
        <v>14</v>
      </c>
      <c r="B154" s="200" t="s">
        <v>27</v>
      </c>
      <c r="C154" s="200" t="s">
        <v>26</v>
      </c>
      <c r="D154" s="201">
        <v>2019</v>
      </c>
      <c r="E154" s="202">
        <v>16.698</v>
      </c>
      <c r="F154" s="203">
        <v>0.82740000000000002</v>
      </c>
      <c r="G154" s="202">
        <v>409</v>
      </c>
      <c r="H154" s="187">
        <v>35.900002000000001</v>
      </c>
      <c r="I154" s="204">
        <v>83.7</v>
      </c>
      <c r="J154" s="203">
        <v>5.5</v>
      </c>
      <c r="K154" s="205">
        <v>7.2</v>
      </c>
      <c r="L154" s="206">
        <v>0.80000000999999998</v>
      </c>
      <c r="M154" s="191">
        <v>1.8</v>
      </c>
      <c r="N154" s="192">
        <v>109768</v>
      </c>
      <c r="O154" s="193">
        <v>0.83</v>
      </c>
      <c r="P154" s="202">
        <v>4882.6073999999999</v>
      </c>
      <c r="Q154" s="207">
        <v>27.1</v>
      </c>
      <c r="R154" s="208">
        <v>16.698</v>
      </c>
      <c r="S154" s="209">
        <f t="shared" si="0"/>
        <v>2.8152889517718087</v>
      </c>
      <c r="T154" s="210">
        <v>409</v>
      </c>
      <c r="U154" s="209">
        <f t="shared" si="1"/>
        <v>6.0137151560428022</v>
      </c>
      <c r="V154" s="198">
        <v>35.9</v>
      </c>
      <c r="W154" s="208"/>
      <c r="X154" s="209" t="e">
        <f t="shared" si="2"/>
        <v>#NUM!</v>
      </c>
    </row>
    <row r="155" spans="1:24">
      <c r="A155" s="199">
        <v>14</v>
      </c>
      <c r="B155" s="200" t="s">
        <v>27</v>
      </c>
      <c r="C155" s="200" t="s">
        <v>26</v>
      </c>
      <c r="D155" s="201">
        <v>2020</v>
      </c>
      <c r="E155" s="202">
        <v>14.297000000000001</v>
      </c>
      <c r="F155" s="203">
        <v>0.91420000000000001</v>
      </c>
      <c r="G155" s="202">
        <v>424</v>
      </c>
      <c r="H155" s="187">
        <v>32</v>
      </c>
      <c r="I155" s="204">
        <v>81.900000000000006</v>
      </c>
      <c r="J155" s="203">
        <v>5.0999999999999996</v>
      </c>
      <c r="K155" s="205">
        <v>648.1</v>
      </c>
      <c r="L155" s="206">
        <v>0.69999999000000002</v>
      </c>
      <c r="M155" s="191">
        <v>1.8</v>
      </c>
      <c r="N155" s="192">
        <v>105907</v>
      </c>
      <c r="O155" s="193">
        <v>0.79</v>
      </c>
      <c r="P155" s="202">
        <v>4587.7007000000003</v>
      </c>
      <c r="Q155" s="207">
        <v>26.8</v>
      </c>
      <c r="R155" s="208">
        <v>14.297000000000001</v>
      </c>
      <c r="S155" s="209">
        <f t="shared" si="0"/>
        <v>2.6600497250470272</v>
      </c>
      <c r="T155" s="210">
        <v>424</v>
      </c>
      <c r="U155" s="209">
        <f t="shared" si="1"/>
        <v>6.0497334552319577</v>
      </c>
      <c r="V155" s="198">
        <v>32</v>
      </c>
      <c r="W155" s="208"/>
      <c r="X155" s="209" t="e">
        <f t="shared" si="2"/>
        <v>#NUM!</v>
      </c>
    </row>
    <row r="156" spans="1:24">
      <c r="A156" s="199">
        <v>15</v>
      </c>
      <c r="B156" s="200" t="s">
        <v>25</v>
      </c>
      <c r="C156" s="200" t="s">
        <v>24</v>
      </c>
      <c r="D156" s="201">
        <v>2010</v>
      </c>
      <c r="E156" s="202">
        <v>16.177</v>
      </c>
      <c r="F156" s="203">
        <v>1.7444</v>
      </c>
      <c r="G156" s="202">
        <v>461</v>
      </c>
      <c r="H156" s="187">
        <v>35.700001</v>
      </c>
      <c r="I156" s="204">
        <v>80.3</v>
      </c>
      <c r="J156" s="203">
        <v>1.9</v>
      </c>
      <c r="K156" s="205">
        <v>185.4</v>
      </c>
      <c r="L156" s="206">
        <v>0.30000000999999998</v>
      </c>
      <c r="M156" s="191">
        <v>6.2999996999999999</v>
      </c>
      <c r="N156" s="192">
        <v>22354</v>
      </c>
      <c r="O156" s="193">
        <v>0.64</v>
      </c>
      <c r="P156" s="202">
        <v>11844.579</v>
      </c>
      <c r="Q156" s="207">
        <v>28.5</v>
      </c>
      <c r="R156" s="208">
        <v>16.177</v>
      </c>
      <c r="S156" s="209">
        <f t="shared" si="0"/>
        <v>2.7835904803475571</v>
      </c>
      <c r="T156" s="210">
        <v>461</v>
      </c>
      <c r="U156" s="209">
        <f t="shared" si="1"/>
        <v>6.1333980429966486</v>
      </c>
      <c r="V156" s="198">
        <v>35.700000000000003</v>
      </c>
      <c r="W156" s="208">
        <v>11844.6</v>
      </c>
      <c r="X156" s="209">
        <f t="shared" si="2"/>
        <v>9.379627346499678</v>
      </c>
    </row>
    <row r="157" spans="1:24">
      <c r="A157" s="199">
        <v>15</v>
      </c>
      <c r="B157" s="200" t="s">
        <v>25</v>
      </c>
      <c r="C157" s="200" t="s">
        <v>24</v>
      </c>
      <c r="D157" s="201">
        <v>2011</v>
      </c>
      <c r="E157" s="202">
        <v>15.039</v>
      </c>
      <c r="F157" s="203">
        <v>2.0495000000000001</v>
      </c>
      <c r="G157" s="202">
        <v>468</v>
      </c>
      <c r="H157" s="187">
        <v>36.099997999999999</v>
      </c>
      <c r="I157" s="204">
        <v>82.1</v>
      </c>
      <c r="J157" s="203">
        <v>2.2000000000000002</v>
      </c>
      <c r="K157" s="205">
        <v>14.2</v>
      </c>
      <c r="L157" s="206">
        <v>0.30000000999999998</v>
      </c>
      <c r="M157" s="191">
        <v>6.1999997999999996</v>
      </c>
      <c r="N157" s="192">
        <v>22818</v>
      </c>
      <c r="O157" s="193">
        <v>0.64</v>
      </c>
      <c r="P157" s="202">
        <v>11850.786</v>
      </c>
      <c r="Q157" s="207">
        <v>31.3</v>
      </c>
      <c r="R157" s="208">
        <v>15.039</v>
      </c>
      <c r="S157" s="209">
        <f t="shared" si="0"/>
        <v>2.7106468269494761</v>
      </c>
      <c r="T157" s="210">
        <v>468</v>
      </c>
      <c r="U157" s="209">
        <f t="shared" si="1"/>
        <v>6.1484682959176471</v>
      </c>
      <c r="V157" s="198">
        <v>36.1</v>
      </c>
      <c r="W157" s="208">
        <v>11850.8</v>
      </c>
      <c r="X157" s="209">
        <f t="shared" si="2"/>
        <v>9.3801506548330664</v>
      </c>
    </row>
    <row r="158" spans="1:24">
      <c r="A158" s="199">
        <v>15</v>
      </c>
      <c r="B158" s="200" t="s">
        <v>25</v>
      </c>
      <c r="C158" s="200" t="s">
        <v>24</v>
      </c>
      <c r="D158" s="201">
        <v>2012</v>
      </c>
      <c r="E158" s="202">
        <v>15.635</v>
      </c>
      <c r="F158" s="203">
        <v>2.0381</v>
      </c>
      <c r="G158" s="202">
        <v>457</v>
      </c>
      <c r="H158" s="187">
        <v>36.599997999999999</v>
      </c>
      <c r="I158" s="204">
        <v>83.4</v>
      </c>
      <c r="J158" s="203">
        <v>1.9</v>
      </c>
      <c r="K158" s="205">
        <v>2.2999999999999998</v>
      </c>
      <c r="L158" s="206">
        <v>0.30000000999999998</v>
      </c>
      <c r="M158" s="191">
        <v>6.0999999000000003</v>
      </c>
      <c r="N158" s="192">
        <v>23458</v>
      </c>
      <c r="O158" s="193">
        <v>0.62</v>
      </c>
      <c r="P158" s="202">
        <v>11901.032999999999</v>
      </c>
      <c r="Q158" s="207">
        <v>30.9</v>
      </c>
      <c r="R158" s="208">
        <v>15.635</v>
      </c>
      <c r="S158" s="209">
        <f t="shared" si="0"/>
        <v>2.7495119909098045</v>
      </c>
      <c r="T158" s="210">
        <v>457</v>
      </c>
      <c r="U158" s="209">
        <f t="shared" si="1"/>
        <v>6.1246833908942051</v>
      </c>
      <c r="V158" s="198">
        <v>36.6</v>
      </c>
      <c r="W158" s="208">
        <v>11901</v>
      </c>
      <c r="X158" s="209">
        <f t="shared" si="2"/>
        <v>9.3843777091824396</v>
      </c>
    </row>
    <row r="159" spans="1:24">
      <c r="A159" s="199">
        <v>15</v>
      </c>
      <c r="B159" s="200" t="s">
        <v>25</v>
      </c>
      <c r="C159" s="200" t="s">
        <v>24</v>
      </c>
      <c r="D159" s="201">
        <v>2013</v>
      </c>
      <c r="E159" s="202">
        <v>17.295000000000002</v>
      </c>
      <c r="F159" s="203">
        <v>1.9456</v>
      </c>
      <c r="G159" s="202">
        <v>454</v>
      </c>
      <c r="H159" s="187">
        <v>38.199998999999998</v>
      </c>
      <c r="I159" s="204">
        <v>83.3</v>
      </c>
      <c r="J159" s="203">
        <v>1.9</v>
      </c>
      <c r="K159" s="205">
        <v>19.100000000000001</v>
      </c>
      <c r="L159" s="206">
        <v>0.30000000999999998</v>
      </c>
      <c r="M159" s="191">
        <v>6</v>
      </c>
      <c r="N159" s="192">
        <v>24219</v>
      </c>
      <c r="O159" s="193">
        <v>0.62</v>
      </c>
      <c r="P159" s="202">
        <v>12312.768</v>
      </c>
      <c r="Q159" s="207">
        <v>30.9</v>
      </c>
      <c r="R159" s="208">
        <v>17.295000000000002</v>
      </c>
      <c r="S159" s="209">
        <f t="shared" si="0"/>
        <v>2.8504174423891322</v>
      </c>
      <c r="T159" s="210">
        <v>454</v>
      </c>
      <c r="U159" s="209">
        <f t="shared" si="1"/>
        <v>6.1180971980413483</v>
      </c>
      <c r="V159" s="198"/>
      <c r="W159" s="208">
        <v>12312.8</v>
      </c>
      <c r="X159" s="209">
        <f t="shared" si="2"/>
        <v>9.4183946506657445</v>
      </c>
    </row>
    <row r="160" spans="1:24">
      <c r="A160" s="199">
        <v>15</v>
      </c>
      <c r="B160" s="200" t="s">
        <v>25</v>
      </c>
      <c r="C160" s="200" t="s">
        <v>24</v>
      </c>
      <c r="D160" s="201">
        <v>2014</v>
      </c>
      <c r="E160" s="202">
        <v>16.541</v>
      </c>
      <c r="F160" s="203">
        <v>2.1812999999999998</v>
      </c>
      <c r="G160" s="202">
        <v>430</v>
      </c>
      <c r="H160" s="187">
        <v>39.799999</v>
      </c>
      <c r="I160" s="204">
        <v>83.7</v>
      </c>
      <c r="J160" s="203">
        <v>2.2000000000000002</v>
      </c>
      <c r="K160" s="205">
        <v>128.80000000000001</v>
      </c>
      <c r="L160" s="206">
        <v>0.2</v>
      </c>
      <c r="M160" s="191">
        <v>5.5</v>
      </c>
      <c r="N160" s="192">
        <v>26019</v>
      </c>
      <c r="O160" s="193">
        <v>0.63</v>
      </c>
      <c r="P160" s="202">
        <v>13099.977999999999</v>
      </c>
      <c r="Q160" s="207">
        <v>31.1</v>
      </c>
      <c r="R160" s="208">
        <v>16.541</v>
      </c>
      <c r="S160" s="209">
        <f t="shared" si="0"/>
        <v>2.8058421472600843</v>
      </c>
      <c r="T160" s="210">
        <v>430</v>
      </c>
      <c r="U160" s="209">
        <f t="shared" si="1"/>
        <v>6.0637852086876078</v>
      </c>
      <c r="V160" s="198">
        <v>39.799999999999997</v>
      </c>
      <c r="W160" s="208">
        <v>13100</v>
      </c>
      <c r="X160" s="209">
        <f t="shared" si="2"/>
        <v>9.480367509189243</v>
      </c>
    </row>
    <row r="161" spans="1:24">
      <c r="A161" s="199">
        <v>15</v>
      </c>
      <c r="B161" s="200" t="s">
        <v>25</v>
      </c>
      <c r="C161" s="200" t="s">
        <v>24</v>
      </c>
      <c r="D161" s="201">
        <v>2015</v>
      </c>
      <c r="E161" s="202">
        <v>13.846</v>
      </c>
      <c r="F161" s="203">
        <v>2.6347</v>
      </c>
      <c r="G161" s="202">
        <v>403</v>
      </c>
      <c r="H161" s="187">
        <v>40.25</v>
      </c>
      <c r="I161" s="204">
        <v>83.2</v>
      </c>
      <c r="J161" s="203">
        <v>2.1</v>
      </c>
      <c r="K161" s="205">
        <v>127</v>
      </c>
      <c r="L161" s="206">
        <v>0.2</v>
      </c>
      <c r="M161" s="191">
        <v>4.1999997999999996</v>
      </c>
      <c r="N161" s="192">
        <v>27163</v>
      </c>
      <c r="O161" s="193">
        <v>0.65</v>
      </c>
      <c r="P161" s="202">
        <v>13499.369000000001</v>
      </c>
      <c r="Q161" s="207">
        <v>32.1</v>
      </c>
      <c r="R161" s="208">
        <v>13.846</v>
      </c>
      <c r="S161" s="209">
        <f t="shared" si="0"/>
        <v>2.6279963822558337</v>
      </c>
      <c r="T161" s="210">
        <v>403</v>
      </c>
      <c r="U161" s="209">
        <f t="shared" si="1"/>
        <v>5.9989365619466826</v>
      </c>
      <c r="V161" s="198"/>
      <c r="W161" s="208">
        <v>13499.4</v>
      </c>
      <c r="X161" s="209">
        <f t="shared" si="2"/>
        <v>9.510400518994393</v>
      </c>
    </row>
    <row r="162" spans="1:24">
      <c r="A162" s="199">
        <v>15</v>
      </c>
      <c r="B162" s="200" t="s">
        <v>25</v>
      </c>
      <c r="C162" s="200" t="s">
        <v>24</v>
      </c>
      <c r="D162" s="201">
        <v>2016</v>
      </c>
      <c r="E162" s="202">
        <v>16.716000000000001</v>
      </c>
      <c r="F162" s="203">
        <v>2.4965999999999999</v>
      </c>
      <c r="G162" s="202">
        <v>382</v>
      </c>
      <c r="H162" s="187">
        <v>40.700001</v>
      </c>
      <c r="I162" s="204">
        <v>85.1</v>
      </c>
      <c r="J162" s="203">
        <v>2</v>
      </c>
      <c r="K162" s="205">
        <v>88.3</v>
      </c>
      <c r="L162" s="206">
        <v>0.1</v>
      </c>
      <c r="M162" s="191">
        <v>4.0999999000000003</v>
      </c>
      <c r="N162" s="192">
        <v>28227</v>
      </c>
      <c r="O162" s="193">
        <v>0.66</v>
      </c>
      <c r="P162" s="202">
        <v>13548.052</v>
      </c>
      <c r="Q162" s="207">
        <v>29.9</v>
      </c>
      <c r="R162" s="208">
        <v>16.716000000000001</v>
      </c>
      <c r="S162" s="209">
        <f t="shared" si="0"/>
        <v>2.8163663445856688</v>
      </c>
      <c r="T162" s="210">
        <v>382</v>
      </c>
      <c r="U162" s="209">
        <f t="shared" si="1"/>
        <v>5.9454206086065753</v>
      </c>
      <c r="V162" s="198">
        <v>40.700000000000003</v>
      </c>
      <c r="W162" s="208">
        <v>13548.1</v>
      </c>
      <c r="X162" s="209">
        <f t="shared" si="2"/>
        <v>9.5140015950736938</v>
      </c>
    </row>
    <row r="163" spans="1:24">
      <c r="A163" s="199">
        <v>15</v>
      </c>
      <c r="B163" s="200" t="s">
        <v>25</v>
      </c>
      <c r="C163" s="200" t="s">
        <v>24</v>
      </c>
      <c r="D163" s="201">
        <v>2017</v>
      </c>
      <c r="E163" s="202">
        <v>17.326000000000001</v>
      </c>
      <c r="F163" s="203">
        <v>2.593</v>
      </c>
      <c r="G163" s="202">
        <v>402</v>
      </c>
      <c r="H163" s="187">
        <v>40.400002000000001</v>
      </c>
      <c r="I163" s="204">
        <v>83.8</v>
      </c>
      <c r="J163" s="203">
        <v>1.9</v>
      </c>
      <c r="K163" s="205">
        <v>21.3</v>
      </c>
      <c r="L163" s="206">
        <v>0.2</v>
      </c>
      <c r="M163" s="191">
        <v>3.8</v>
      </c>
      <c r="N163" s="192">
        <v>30489</v>
      </c>
      <c r="O163" s="193">
        <v>0.68</v>
      </c>
      <c r="P163" s="202">
        <v>12963.296</v>
      </c>
      <c r="Q163" s="207">
        <v>29.8</v>
      </c>
      <c r="R163" s="208">
        <v>17.326000000000001</v>
      </c>
      <c r="S163" s="209">
        <f t="shared" si="0"/>
        <v>2.8522082634679484</v>
      </c>
      <c r="T163" s="210">
        <v>402</v>
      </c>
      <c r="U163" s="209">
        <f t="shared" si="1"/>
        <v>5.9964520886190211</v>
      </c>
      <c r="V163" s="198">
        <v>40.4</v>
      </c>
      <c r="W163" s="208">
        <v>12963.3</v>
      </c>
      <c r="X163" s="209">
        <f t="shared" si="2"/>
        <v>9.4698775671232731</v>
      </c>
    </row>
    <row r="164" spans="1:24">
      <c r="A164" s="199">
        <v>15</v>
      </c>
      <c r="B164" s="200" t="s">
        <v>25</v>
      </c>
      <c r="C164" s="200" t="s">
        <v>24</v>
      </c>
      <c r="D164" s="201">
        <v>2018</v>
      </c>
      <c r="E164" s="202">
        <v>17.277000000000001</v>
      </c>
      <c r="F164" s="203">
        <v>2.6223999999999998</v>
      </c>
      <c r="G164" s="202">
        <v>379</v>
      </c>
      <c r="H164" s="187">
        <v>37.700001</v>
      </c>
      <c r="I164" s="204">
        <v>82.9</v>
      </c>
      <c r="J164" s="203">
        <v>1.9</v>
      </c>
      <c r="K164" s="205">
        <v>8.9</v>
      </c>
      <c r="L164" s="206">
        <v>0.2</v>
      </c>
      <c r="M164" s="191">
        <v>3.5</v>
      </c>
      <c r="N164" s="192">
        <v>30721</v>
      </c>
      <c r="O164" s="193">
        <v>0.7</v>
      </c>
      <c r="P164" s="202">
        <v>10273.424000000001</v>
      </c>
      <c r="Q164" s="207">
        <v>30.7</v>
      </c>
      <c r="R164" s="208">
        <v>17.277000000000001</v>
      </c>
      <c r="S164" s="209">
        <f t="shared" si="0"/>
        <v>2.8493761371926452</v>
      </c>
      <c r="T164" s="210">
        <v>379</v>
      </c>
      <c r="U164" s="209">
        <f t="shared" si="1"/>
        <v>5.9375362050824263</v>
      </c>
      <c r="V164" s="198">
        <v>37.700000000000003</v>
      </c>
      <c r="W164" s="208">
        <v>10273.4</v>
      </c>
      <c r="X164" s="209">
        <f t="shared" si="2"/>
        <v>9.2373133094776083</v>
      </c>
    </row>
    <row r="165" spans="1:24">
      <c r="A165" s="199">
        <v>15</v>
      </c>
      <c r="B165" s="200" t="s">
        <v>25</v>
      </c>
      <c r="C165" s="200" t="s">
        <v>24</v>
      </c>
      <c r="D165" s="201">
        <v>2019</v>
      </c>
      <c r="E165" s="202">
        <v>21.285</v>
      </c>
      <c r="F165" s="203">
        <v>2.6993</v>
      </c>
      <c r="G165" s="202">
        <v>386</v>
      </c>
      <c r="H165" s="187">
        <v>37.400002000000001</v>
      </c>
      <c r="I165" s="204">
        <v>84.9</v>
      </c>
      <c r="J165" s="203">
        <v>1.8</v>
      </c>
      <c r="K165" s="205">
        <v>4.4000000000000004</v>
      </c>
      <c r="L165" s="206">
        <v>0.5</v>
      </c>
      <c r="M165" s="191">
        <v>3.3</v>
      </c>
      <c r="N165" s="192">
        <v>32165</v>
      </c>
      <c r="O165" s="193">
        <v>0.7</v>
      </c>
      <c r="P165" s="202">
        <v>7583.5518000000002</v>
      </c>
      <c r="Q165" s="207">
        <v>28.6</v>
      </c>
      <c r="R165" s="208">
        <v>21.285</v>
      </c>
      <c r="S165" s="209">
        <f t="shared" si="0"/>
        <v>3.0580025992801159</v>
      </c>
      <c r="T165" s="210">
        <v>386</v>
      </c>
      <c r="U165" s="209">
        <f t="shared" si="1"/>
        <v>5.955837369464831</v>
      </c>
      <c r="V165" s="198">
        <v>37.4</v>
      </c>
      <c r="W165" s="208"/>
      <c r="X165" s="209" t="e">
        <f t="shared" si="2"/>
        <v>#NUM!</v>
      </c>
    </row>
    <row r="166" spans="1:24">
      <c r="A166" s="199">
        <v>15</v>
      </c>
      <c r="B166" s="200" t="s">
        <v>25</v>
      </c>
      <c r="C166" s="200" t="s">
        <v>24</v>
      </c>
      <c r="D166" s="201">
        <v>2020</v>
      </c>
      <c r="E166" s="202">
        <v>18.585999999999999</v>
      </c>
      <c r="F166" s="203">
        <v>3.0655999999999999</v>
      </c>
      <c r="G166" s="202">
        <v>379</v>
      </c>
      <c r="H166" s="187">
        <v>40.799999</v>
      </c>
      <c r="I166" s="204">
        <v>84.8</v>
      </c>
      <c r="J166" s="203">
        <v>1.8</v>
      </c>
      <c r="K166" s="205">
        <v>442.7</v>
      </c>
      <c r="L166" s="206">
        <v>0.60000001999999997</v>
      </c>
      <c r="M166" s="191">
        <v>3.2</v>
      </c>
      <c r="N166" s="192">
        <v>33250</v>
      </c>
      <c r="O166" s="193">
        <v>0.69</v>
      </c>
      <c r="P166" s="202">
        <v>4893.6796999999997</v>
      </c>
      <c r="Q166" s="207">
        <v>29.3</v>
      </c>
      <c r="R166" s="208">
        <v>18.585999999999999</v>
      </c>
      <c r="S166" s="209">
        <f t="shared" si="0"/>
        <v>2.9224086091351476</v>
      </c>
      <c r="T166" s="210">
        <v>379</v>
      </c>
      <c r="U166" s="209">
        <f t="shared" si="1"/>
        <v>5.9375362050824263</v>
      </c>
      <c r="V166" s="198">
        <v>40.799999999999997</v>
      </c>
      <c r="W166" s="208"/>
      <c r="X166" s="209" t="e">
        <f t="shared" si="2"/>
        <v>#NUM!</v>
      </c>
    </row>
    <row r="167" spans="1:24">
      <c r="A167" s="199">
        <v>16</v>
      </c>
      <c r="B167" s="200" t="s">
        <v>23</v>
      </c>
      <c r="C167" s="200" t="s">
        <v>22</v>
      </c>
      <c r="D167" s="201">
        <v>2010</v>
      </c>
      <c r="E167" s="202">
        <v>15.068</v>
      </c>
      <c r="F167" s="203">
        <v>2.4975000000000001</v>
      </c>
      <c r="G167" s="202">
        <v>730</v>
      </c>
      <c r="H167" s="187">
        <v>31</v>
      </c>
      <c r="I167" s="204">
        <v>86.2</v>
      </c>
      <c r="J167" s="203">
        <v>11.6</v>
      </c>
      <c r="K167" s="205">
        <v>11746.9</v>
      </c>
      <c r="L167" s="206">
        <v>0.40000001000000002</v>
      </c>
      <c r="M167" s="191">
        <v>1.6999998999999999</v>
      </c>
      <c r="N167" s="192">
        <v>576050</v>
      </c>
      <c r="O167" s="193">
        <v>1.39</v>
      </c>
      <c r="P167" s="202">
        <v>6411.5766999999996</v>
      </c>
      <c r="Q167" s="207">
        <v>41.7</v>
      </c>
      <c r="R167" s="208">
        <v>15.068</v>
      </c>
      <c r="S167" s="209">
        <f t="shared" si="0"/>
        <v>2.7125732898297947</v>
      </c>
      <c r="T167" s="210">
        <v>730</v>
      </c>
      <c r="U167" s="209">
        <f t="shared" si="1"/>
        <v>6.5930445341424369</v>
      </c>
      <c r="V167" s="198">
        <v>31</v>
      </c>
      <c r="W167" s="208">
        <v>6411.58</v>
      </c>
      <c r="X167" s="209">
        <f t="shared" si="2"/>
        <v>8.765861009400675</v>
      </c>
    </row>
    <row r="168" spans="1:24">
      <c r="A168" s="199">
        <v>16</v>
      </c>
      <c r="B168" s="200" t="s">
        <v>23</v>
      </c>
      <c r="C168" s="200" t="s">
        <v>22</v>
      </c>
      <c r="D168" s="201">
        <v>2011</v>
      </c>
      <c r="E168" s="202">
        <v>15.186</v>
      </c>
      <c r="F168" s="203">
        <v>2.4862000000000002</v>
      </c>
      <c r="G168" s="202">
        <v>737</v>
      </c>
      <c r="H168" s="187">
        <v>35.5</v>
      </c>
      <c r="I168" s="204">
        <v>93.1</v>
      </c>
      <c r="J168" s="203">
        <v>11.6</v>
      </c>
      <c r="K168" s="205">
        <v>17080.5</v>
      </c>
      <c r="L168" s="206">
        <v>0.40000001000000002</v>
      </c>
      <c r="M168" s="191">
        <v>1.8</v>
      </c>
      <c r="N168" s="192">
        <v>560435</v>
      </c>
      <c r="O168" s="193">
        <v>1.39</v>
      </c>
      <c r="P168" s="202">
        <v>5861.2676000000001</v>
      </c>
      <c r="Q168" s="207">
        <v>40.5</v>
      </c>
      <c r="R168" s="208">
        <v>15.186</v>
      </c>
      <c r="S168" s="209">
        <f t="shared" si="0"/>
        <v>2.7203739507910418</v>
      </c>
      <c r="T168" s="210">
        <v>737</v>
      </c>
      <c r="U168" s="209">
        <f t="shared" si="1"/>
        <v>6.6025878921893364</v>
      </c>
      <c r="V168" s="198">
        <v>35.5</v>
      </c>
      <c r="W168" s="208">
        <v>5861.27</v>
      </c>
      <c r="X168" s="209">
        <f t="shared" si="2"/>
        <v>8.6761215826393911</v>
      </c>
    </row>
    <row r="169" spans="1:24">
      <c r="A169" s="199">
        <v>16</v>
      </c>
      <c r="B169" s="200" t="s">
        <v>23</v>
      </c>
      <c r="C169" s="200" t="s">
        <v>22</v>
      </c>
      <c r="D169" s="201">
        <v>2012</v>
      </c>
      <c r="E169" s="202">
        <v>12.48</v>
      </c>
      <c r="F169" s="203">
        <v>2.827</v>
      </c>
      <c r="G169" s="202">
        <v>731</v>
      </c>
      <c r="H169" s="187">
        <v>38.400002000000001</v>
      </c>
      <c r="I169" s="204">
        <v>80</v>
      </c>
      <c r="J169" s="203">
        <v>13.9</v>
      </c>
      <c r="K169" s="205">
        <v>12917.7</v>
      </c>
      <c r="L169" s="206">
        <v>0.40000001000000002</v>
      </c>
      <c r="M169" s="191">
        <v>1.9</v>
      </c>
      <c r="N169" s="192">
        <v>573325</v>
      </c>
      <c r="O169" s="193">
        <v>1.39</v>
      </c>
      <c r="P169" s="202">
        <v>5547.0946999999996</v>
      </c>
      <c r="Q169" s="207">
        <v>42.8</v>
      </c>
      <c r="R169" s="208">
        <v>12.48</v>
      </c>
      <c r="S169" s="209">
        <f t="shared" si="0"/>
        <v>2.5241273629412815</v>
      </c>
      <c r="T169" s="210">
        <v>731</v>
      </c>
      <c r="U169" s="209">
        <f t="shared" si="1"/>
        <v>6.5944134597497781</v>
      </c>
      <c r="V169" s="198">
        <v>38.4</v>
      </c>
      <c r="W169" s="208">
        <v>5547.09</v>
      </c>
      <c r="X169" s="209">
        <f t="shared" si="2"/>
        <v>8.62102874491009</v>
      </c>
    </row>
    <row r="170" spans="1:24">
      <c r="A170" s="199">
        <v>16</v>
      </c>
      <c r="B170" s="200" t="s">
        <v>23</v>
      </c>
      <c r="C170" s="200" t="s">
        <v>22</v>
      </c>
      <c r="D170" s="201">
        <v>2013</v>
      </c>
      <c r="E170" s="202">
        <v>11.032999999999999</v>
      </c>
      <c r="F170" s="203">
        <v>3.2759</v>
      </c>
      <c r="G170" s="202">
        <v>792</v>
      </c>
      <c r="H170" s="187">
        <v>39.400002000000001</v>
      </c>
      <c r="I170" s="204">
        <v>88</v>
      </c>
      <c r="J170" s="203">
        <v>16</v>
      </c>
      <c r="K170" s="205">
        <v>8994.7000000000007</v>
      </c>
      <c r="L170" s="206">
        <v>0.40000001000000002</v>
      </c>
      <c r="M170" s="191">
        <v>2</v>
      </c>
      <c r="N170" s="192">
        <v>579522</v>
      </c>
      <c r="O170" s="193">
        <v>1.38</v>
      </c>
      <c r="P170" s="202">
        <v>5611.8940000000002</v>
      </c>
      <c r="Q170" s="207">
        <v>46.5</v>
      </c>
      <c r="R170" s="208">
        <v>11.032999999999999</v>
      </c>
      <c r="S170" s="209">
        <f t="shared" si="0"/>
        <v>2.4008907817781688</v>
      </c>
      <c r="T170" s="210">
        <v>792</v>
      </c>
      <c r="U170" s="209">
        <f t="shared" si="1"/>
        <v>6.674561391814426</v>
      </c>
      <c r="V170" s="198">
        <v>39.4</v>
      </c>
      <c r="W170" s="208">
        <v>5611.89</v>
      </c>
      <c r="X170" s="209">
        <f t="shared" si="2"/>
        <v>8.6326428401749418</v>
      </c>
    </row>
    <row r="171" spans="1:24">
      <c r="A171" s="199">
        <v>16</v>
      </c>
      <c r="B171" s="200" t="s">
        <v>23</v>
      </c>
      <c r="C171" s="200" t="s">
        <v>22</v>
      </c>
      <c r="D171" s="201">
        <v>2014</v>
      </c>
      <c r="E171" s="202">
        <v>10.63</v>
      </c>
      <c r="F171" s="203">
        <v>3.2945000000000002</v>
      </c>
      <c r="G171" s="202">
        <v>772</v>
      </c>
      <c r="H171" s="187">
        <v>41.599997999999999</v>
      </c>
      <c r="I171" s="204">
        <v>82.3</v>
      </c>
      <c r="J171" s="203">
        <v>16.100000000000001</v>
      </c>
      <c r="K171" s="205">
        <v>8011.5</v>
      </c>
      <c r="L171" s="206">
        <v>0.40000001000000002</v>
      </c>
      <c r="M171" s="191">
        <v>2.2000000000000002</v>
      </c>
      <c r="N171" s="192">
        <v>596574</v>
      </c>
      <c r="O171" s="193">
        <v>1.41</v>
      </c>
      <c r="P171" s="202">
        <v>5580.9321</v>
      </c>
      <c r="Q171" s="207">
        <v>46.5</v>
      </c>
      <c r="R171" s="208">
        <v>10.63</v>
      </c>
      <c r="S171" s="209">
        <f t="shared" si="0"/>
        <v>2.3636801923538568</v>
      </c>
      <c r="T171" s="210">
        <v>772</v>
      </c>
      <c r="U171" s="209">
        <f t="shared" si="1"/>
        <v>6.6489845500247764</v>
      </c>
      <c r="V171" s="198">
        <v>41.6</v>
      </c>
      <c r="W171" s="208">
        <v>5580.93</v>
      </c>
      <c r="X171" s="209">
        <f t="shared" si="2"/>
        <v>8.6271107081546781</v>
      </c>
    </row>
    <row r="172" spans="1:24">
      <c r="A172" s="199">
        <v>16</v>
      </c>
      <c r="B172" s="200" t="s">
        <v>23</v>
      </c>
      <c r="C172" s="200" t="s">
        <v>22</v>
      </c>
      <c r="D172" s="201">
        <v>2015</v>
      </c>
      <c r="E172" s="202">
        <v>10.603999999999999</v>
      </c>
      <c r="F172" s="203">
        <v>3.4283999999999999</v>
      </c>
      <c r="G172" s="202">
        <v>718</v>
      </c>
      <c r="H172" s="187">
        <v>44.299999</v>
      </c>
      <c r="I172" s="204">
        <v>85.7</v>
      </c>
      <c r="J172" s="203">
        <v>17.2</v>
      </c>
      <c r="K172" s="205">
        <v>10095.6</v>
      </c>
      <c r="L172" s="206">
        <v>0.40000001000000002</v>
      </c>
      <c r="M172" s="191">
        <v>2.2999999999999998</v>
      </c>
      <c r="N172" s="192">
        <v>603247</v>
      </c>
      <c r="O172" s="193">
        <v>1.39</v>
      </c>
      <c r="P172" s="202">
        <v>5581.1864999999998</v>
      </c>
      <c r="Q172" s="207">
        <v>48.6</v>
      </c>
      <c r="R172" s="208">
        <v>10.603999999999999</v>
      </c>
      <c r="S172" s="209">
        <f t="shared" si="0"/>
        <v>2.361231288426779</v>
      </c>
      <c r="T172" s="210">
        <v>718</v>
      </c>
      <c r="U172" s="209">
        <f t="shared" si="1"/>
        <v>6.576469569048224</v>
      </c>
      <c r="V172" s="198">
        <v>44.3</v>
      </c>
      <c r="W172" s="208">
        <v>5581.19</v>
      </c>
      <c r="X172" s="209">
        <f t="shared" si="2"/>
        <v>8.6271572942870698</v>
      </c>
    </row>
    <row r="173" spans="1:24">
      <c r="A173" s="199">
        <v>16</v>
      </c>
      <c r="B173" s="200" t="s">
        <v>23</v>
      </c>
      <c r="C173" s="200" t="s">
        <v>22</v>
      </c>
      <c r="D173" s="201">
        <v>2016</v>
      </c>
      <c r="E173" s="202">
        <v>10.526999999999999</v>
      </c>
      <c r="F173" s="203">
        <v>3.4605999999999999</v>
      </c>
      <c r="G173" s="202">
        <v>651</v>
      </c>
      <c r="H173" s="187">
        <v>45.900002000000001</v>
      </c>
      <c r="I173" s="204">
        <v>86</v>
      </c>
      <c r="J173" s="203">
        <v>17.8</v>
      </c>
      <c r="K173" s="205">
        <v>8945.6</v>
      </c>
      <c r="L173" s="206">
        <v>0.5</v>
      </c>
      <c r="M173" s="191">
        <v>2.2999999999999998</v>
      </c>
      <c r="N173" s="192">
        <v>612645</v>
      </c>
      <c r="O173" s="193">
        <v>1.35</v>
      </c>
      <c r="P173" s="202">
        <v>5476.9458000000004</v>
      </c>
      <c r="Q173" s="207">
        <v>48.9</v>
      </c>
      <c r="R173" s="208">
        <v>10.526999999999999</v>
      </c>
      <c r="S173" s="209">
        <f t="shared" si="0"/>
        <v>2.3539433852691878</v>
      </c>
      <c r="T173" s="210">
        <v>651</v>
      </c>
      <c r="U173" s="209">
        <f t="shared" si="1"/>
        <v>6.4785096422085688</v>
      </c>
      <c r="V173" s="198">
        <v>45.9</v>
      </c>
      <c r="W173" s="208">
        <v>5476.95</v>
      </c>
      <c r="X173" s="209">
        <f t="shared" si="2"/>
        <v>8.6083036556567851</v>
      </c>
    </row>
    <row r="174" spans="1:24">
      <c r="A174" s="199">
        <v>16</v>
      </c>
      <c r="B174" s="200" t="s">
        <v>23</v>
      </c>
      <c r="C174" s="200" t="s">
        <v>22</v>
      </c>
      <c r="D174" s="201">
        <v>2017</v>
      </c>
      <c r="E174" s="202">
        <v>10.391999999999999</v>
      </c>
      <c r="F174" s="203">
        <v>3.5396999999999998</v>
      </c>
      <c r="G174" s="202">
        <v>624</v>
      </c>
      <c r="H174" s="187">
        <v>47.799999</v>
      </c>
      <c r="I174" s="204">
        <v>88.9</v>
      </c>
      <c r="J174" s="203">
        <v>18.399999999999999</v>
      </c>
      <c r="K174" s="205">
        <v>8232.5</v>
      </c>
      <c r="L174" s="206">
        <v>0.60000001999999997</v>
      </c>
      <c r="M174" s="191">
        <v>2.0999998999999998</v>
      </c>
      <c r="N174" s="192">
        <v>591196</v>
      </c>
      <c r="O174" s="193">
        <v>1.42</v>
      </c>
      <c r="P174" s="202">
        <v>5370.5537000000004</v>
      </c>
      <c r="Q174" s="207">
        <v>50.8</v>
      </c>
      <c r="R174" s="208">
        <v>10.391999999999999</v>
      </c>
      <c r="S174" s="209">
        <f t="shared" si="0"/>
        <v>2.3410362793682982</v>
      </c>
      <c r="T174" s="210">
        <v>624</v>
      </c>
      <c r="U174" s="209">
        <f t="shared" si="1"/>
        <v>6.4361503683694279</v>
      </c>
      <c r="V174" s="198">
        <v>47.8</v>
      </c>
      <c r="W174" s="208">
        <v>5370.55</v>
      </c>
      <c r="X174" s="209">
        <f t="shared" si="2"/>
        <v>8.5886856031148628</v>
      </c>
    </row>
    <row r="175" spans="1:24">
      <c r="A175" s="199">
        <v>16</v>
      </c>
      <c r="B175" s="200" t="s">
        <v>23</v>
      </c>
      <c r="C175" s="200" t="s">
        <v>22</v>
      </c>
      <c r="D175" s="201">
        <v>2018</v>
      </c>
      <c r="E175" s="202">
        <v>10.772</v>
      </c>
      <c r="F175" s="203">
        <v>3.5268999999999999</v>
      </c>
      <c r="G175" s="202">
        <v>616</v>
      </c>
      <c r="H175" s="187">
        <v>49.799999</v>
      </c>
      <c r="I175" s="204">
        <v>84.3</v>
      </c>
      <c r="J175" s="203">
        <v>18.8</v>
      </c>
      <c r="K175" s="205">
        <v>5439.6</v>
      </c>
      <c r="L175" s="206">
        <v>0.69999999000000002</v>
      </c>
      <c r="M175" s="191">
        <v>2.0999998999999998</v>
      </c>
      <c r="N175" s="192">
        <v>585644</v>
      </c>
      <c r="O175" s="193">
        <v>1.38</v>
      </c>
      <c r="P175" s="202">
        <v>4917.8227999999999</v>
      </c>
      <c r="Q175" s="207">
        <v>50.6</v>
      </c>
      <c r="R175" s="208">
        <v>10.772</v>
      </c>
      <c r="S175" s="209">
        <f t="shared" si="0"/>
        <v>2.3769501749493527</v>
      </c>
      <c r="T175" s="210">
        <v>616</v>
      </c>
      <c r="U175" s="209">
        <f t="shared" si="1"/>
        <v>6.4232469635335194</v>
      </c>
      <c r="V175" s="198">
        <v>49.8</v>
      </c>
      <c r="W175" s="208">
        <v>4917.82</v>
      </c>
      <c r="X175" s="209">
        <f t="shared" si="2"/>
        <v>8.5006206218623301</v>
      </c>
    </row>
    <row r="176" spans="1:24">
      <c r="A176" s="199">
        <v>16</v>
      </c>
      <c r="B176" s="200" t="s">
        <v>23</v>
      </c>
      <c r="C176" s="200" t="s">
        <v>22</v>
      </c>
      <c r="D176" s="201">
        <v>2019</v>
      </c>
      <c r="E176" s="202">
        <v>10.547000000000001</v>
      </c>
      <c r="F176" s="203">
        <v>3.4611999999999998</v>
      </c>
      <c r="G176" s="202">
        <v>585</v>
      </c>
      <c r="H176" s="187">
        <v>51.400002000000001</v>
      </c>
      <c r="I176" s="204">
        <v>82.2</v>
      </c>
      <c r="J176" s="203">
        <v>18.8</v>
      </c>
      <c r="K176" s="205">
        <v>5429</v>
      </c>
      <c r="L176" s="206">
        <v>0.89999998000000003</v>
      </c>
      <c r="M176" s="191">
        <v>2.4000001000000002</v>
      </c>
      <c r="N176" s="192">
        <v>644581</v>
      </c>
      <c r="O176" s="193">
        <v>1.33</v>
      </c>
      <c r="P176" s="202">
        <v>4465.0918000000001</v>
      </c>
      <c r="Q176" s="207">
        <v>48.9</v>
      </c>
      <c r="R176" s="208">
        <v>10.547000000000001</v>
      </c>
      <c r="S176" s="209">
        <f t="shared" si="0"/>
        <v>2.3558414592944774</v>
      </c>
      <c r="T176" s="210">
        <v>585</v>
      </c>
      <c r="U176" s="209">
        <f t="shared" si="1"/>
        <v>6.3716118472318568</v>
      </c>
      <c r="V176" s="198">
        <v>51.4</v>
      </c>
      <c r="W176" s="208"/>
      <c r="X176" s="209" t="e">
        <f t="shared" si="2"/>
        <v>#NUM!</v>
      </c>
    </row>
    <row r="177" spans="1:24">
      <c r="A177" s="199">
        <v>16</v>
      </c>
      <c r="B177" s="200" t="s">
        <v>23</v>
      </c>
      <c r="C177" s="200" t="s">
        <v>22</v>
      </c>
      <c r="D177" s="201">
        <v>2020</v>
      </c>
      <c r="E177" s="202">
        <v>9.6020002000000009</v>
      </c>
      <c r="F177" s="203">
        <v>3.4285999999999999</v>
      </c>
      <c r="G177" s="202">
        <v>554</v>
      </c>
      <c r="H177" s="187">
        <v>51.400002000000001</v>
      </c>
      <c r="I177" s="204">
        <v>86.4</v>
      </c>
      <c r="J177" s="203">
        <v>2.6</v>
      </c>
      <c r="K177" s="205">
        <v>6243.2</v>
      </c>
      <c r="L177" s="206">
        <v>0.69999999000000002</v>
      </c>
      <c r="M177" s="191">
        <v>2.5999998999999998</v>
      </c>
      <c r="N177" s="192">
        <v>617149</v>
      </c>
      <c r="O177" s="193">
        <v>1.2</v>
      </c>
      <c r="P177" s="202">
        <v>4012.3607999999999</v>
      </c>
      <c r="Q177" s="207">
        <v>46.5</v>
      </c>
      <c r="R177" s="208">
        <v>9.6020000000000003</v>
      </c>
      <c r="S177" s="209">
        <f t="shared" si="0"/>
        <v>2.2619714101087487</v>
      </c>
      <c r="T177" s="210"/>
      <c r="U177" s="209" t="e">
        <f t="shared" si="1"/>
        <v>#NUM!</v>
      </c>
      <c r="V177" s="198">
        <v>51.4</v>
      </c>
      <c r="W177" s="208"/>
      <c r="X177" s="209" t="e">
        <f t="shared" si="2"/>
        <v>#NUM!</v>
      </c>
    </row>
    <row r="178" spans="1:24">
      <c r="A178" s="199">
        <v>17</v>
      </c>
      <c r="B178" s="200" t="s">
        <v>21</v>
      </c>
      <c r="C178" s="200" t="s">
        <v>20</v>
      </c>
      <c r="D178" s="201">
        <v>2010</v>
      </c>
      <c r="E178" s="202">
        <v>13.795</v>
      </c>
      <c r="F178" s="203">
        <v>0.80610000000000004</v>
      </c>
      <c r="G178" s="202">
        <v>516</v>
      </c>
      <c r="H178" s="187">
        <v>4.9000000999999997</v>
      </c>
      <c r="I178" s="204">
        <v>72.400000000000006</v>
      </c>
      <c r="J178" s="203">
        <v>3.9</v>
      </c>
      <c r="K178" s="205">
        <v>123.3</v>
      </c>
      <c r="L178" s="206">
        <v>0.20000002</v>
      </c>
      <c r="M178" s="191">
        <v>1.4</v>
      </c>
      <c r="N178" s="192">
        <v>27198</v>
      </c>
      <c r="O178" s="193">
        <v>1.05</v>
      </c>
      <c r="P178" s="202">
        <v>6380.5742</v>
      </c>
      <c r="Q178" s="207">
        <v>41</v>
      </c>
      <c r="R178" s="208">
        <v>13.795</v>
      </c>
      <c r="S178" s="209">
        <f t="shared" si="0"/>
        <v>2.6243062076692496</v>
      </c>
      <c r="T178" s="210">
        <v>516</v>
      </c>
      <c r="U178" s="209">
        <f t="shared" si="1"/>
        <v>6.2461067654815627</v>
      </c>
      <c r="V178" s="198">
        <v>4.9000000000000004</v>
      </c>
      <c r="W178" s="208">
        <v>6380.57</v>
      </c>
      <c r="X178" s="209">
        <f t="shared" si="2"/>
        <v>8.7610127140408949</v>
      </c>
    </row>
    <row r="179" spans="1:24">
      <c r="A179" s="199">
        <v>17</v>
      </c>
      <c r="B179" s="200" t="s">
        <v>21</v>
      </c>
      <c r="C179" s="200" t="s">
        <v>20</v>
      </c>
      <c r="D179" s="201">
        <v>2011</v>
      </c>
      <c r="E179" s="202">
        <v>15.941000000000001</v>
      </c>
      <c r="F179" s="203">
        <v>0.78800000000000003</v>
      </c>
      <c r="G179" s="202">
        <v>523</v>
      </c>
      <c r="H179" s="187">
        <v>20</v>
      </c>
      <c r="I179" s="204">
        <v>70.3</v>
      </c>
      <c r="J179" s="203">
        <v>3.6</v>
      </c>
      <c r="K179" s="205">
        <v>347.2</v>
      </c>
      <c r="L179" s="206">
        <v>0.30000000999999998</v>
      </c>
      <c r="M179" s="191">
        <v>1.4</v>
      </c>
      <c r="N179" s="192">
        <v>29071</v>
      </c>
      <c r="O179" s="193">
        <v>1.03</v>
      </c>
      <c r="P179" s="202">
        <v>6053.3266999999996</v>
      </c>
      <c r="Q179" s="207">
        <v>40.299999999999997</v>
      </c>
      <c r="R179" s="208">
        <v>15.941000000000001</v>
      </c>
      <c r="S179" s="209">
        <f t="shared" si="0"/>
        <v>2.7688944066515098</v>
      </c>
      <c r="T179" s="210">
        <v>523</v>
      </c>
      <c r="U179" s="209">
        <f t="shared" si="1"/>
        <v>6.2595814640649232</v>
      </c>
      <c r="V179" s="198">
        <v>20</v>
      </c>
      <c r="W179" s="208">
        <v>6053.33</v>
      </c>
      <c r="X179" s="209">
        <f t="shared" si="2"/>
        <v>8.7083638128262297</v>
      </c>
    </row>
    <row r="180" spans="1:24">
      <c r="A180" s="199">
        <v>17</v>
      </c>
      <c r="B180" s="200" t="s">
        <v>21</v>
      </c>
      <c r="C180" s="200" t="s">
        <v>20</v>
      </c>
      <c r="D180" s="201">
        <v>2012</v>
      </c>
      <c r="E180" s="202">
        <v>14.603999999999999</v>
      </c>
      <c r="F180" s="203">
        <v>0.89180000000000004</v>
      </c>
      <c r="G180" s="202">
        <v>523</v>
      </c>
      <c r="H180" s="187">
        <v>23.5</v>
      </c>
      <c r="I180" s="204">
        <v>68.7</v>
      </c>
      <c r="J180" s="203">
        <v>3.8</v>
      </c>
      <c r="K180" s="205">
        <v>358.9</v>
      </c>
      <c r="L180" s="206">
        <v>0.40000001000000002</v>
      </c>
      <c r="M180" s="191">
        <v>1.4</v>
      </c>
      <c r="N180" s="192">
        <v>30335</v>
      </c>
      <c r="O180" s="193">
        <v>0.99</v>
      </c>
      <c r="P180" s="202">
        <v>6359.7129000000004</v>
      </c>
      <c r="Q180" s="207">
        <v>41.8</v>
      </c>
      <c r="R180" s="208">
        <v>14.603999999999999</v>
      </c>
      <c r="S180" s="209">
        <f t="shared" si="0"/>
        <v>2.6812954637933903</v>
      </c>
      <c r="T180" s="210">
        <v>523</v>
      </c>
      <c r="U180" s="209">
        <f t="shared" si="1"/>
        <v>6.2595814640649232</v>
      </c>
      <c r="V180" s="198">
        <v>23.5</v>
      </c>
      <c r="W180" s="208">
        <v>6359.71</v>
      </c>
      <c r="X180" s="209">
        <f t="shared" si="2"/>
        <v>8.757738057810295</v>
      </c>
    </row>
    <row r="181" spans="1:24">
      <c r="A181" s="199">
        <v>17</v>
      </c>
      <c r="B181" s="200" t="s">
        <v>21</v>
      </c>
      <c r="C181" s="200" t="s">
        <v>20</v>
      </c>
      <c r="D181" s="201">
        <v>2013</v>
      </c>
      <c r="E181" s="202">
        <v>17.415001</v>
      </c>
      <c r="F181" s="203">
        <v>0.76290000000000002</v>
      </c>
      <c r="G181" s="202">
        <v>539</v>
      </c>
      <c r="H181" s="187">
        <v>27.799999</v>
      </c>
      <c r="I181" s="204">
        <v>69.5</v>
      </c>
      <c r="J181" s="203">
        <v>3.1</v>
      </c>
      <c r="K181" s="205">
        <v>363.2</v>
      </c>
      <c r="L181" s="206">
        <v>0.5</v>
      </c>
      <c r="M181" s="191">
        <v>1.4</v>
      </c>
      <c r="N181" s="192">
        <v>33120</v>
      </c>
      <c r="O181" s="193">
        <v>0.97</v>
      </c>
      <c r="P181" s="202">
        <v>6645.5801000000001</v>
      </c>
      <c r="Q181" s="207">
        <v>38.6</v>
      </c>
      <c r="R181" s="208">
        <v>17.414999999999999</v>
      </c>
      <c r="S181" s="209">
        <f t="shared" si="0"/>
        <v>2.8573319038179643</v>
      </c>
      <c r="T181" s="210">
        <v>539</v>
      </c>
      <c r="U181" s="209">
        <f t="shared" si="1"/>
        <v>6.2897155709089976</v>
      </c>
      <c r="V181" s="198">
        <v>27.8</v>
      </c>
      <c r="W181" s="208">
        <v>6645.58</v>
      </c>
      <c r="X181" s="209">
        <f t="shared" si="2"/>
        <v>8.8017072510102814</v>
      </c>
    </row>
    <row r="182" spans="1:24">
      <c r="A182" s="199">
        <v>17</v>
      </c>
      <c r="B182" s="200" t="s">
        <v>21</v>
      </c>
      <c r="C182" s="200" t="s">
        <v>20</v>
      </c>
      <c r="D182" s="201">
        <v>2014</v>
      </c>
      <c r="E182" s="202">
        <v>17.320999</v>
      </c>
      <c r="F182" s="203">
        <v>0.84140000000000004</v>
      </c>
      <c r="G182" s="202">
        <v>544</v>
      </c>
      <c r="H182" s="187">
        <v>30.5</v>
      </c>
      <c r="I182" s="204">
        <v>75.7</v>
      </c>
      <c r="J182" s="203">
        <v>3.7</v>
      </c>
      <c r="K182" s="205">
        <v>475.7</v>
      </c>
      <c r="L182" s="206">
        <v>0.60000001999999997</v>
      </c>
      <c r="M182" s="191">
        <v>1.5</v>
      </c>
      <c r="N182" s="192">
        <v>34685</v>
      </c>
      <c r="O182" s="193">
        <v>1</v>
      </c>
      <c r="P182" s="202">
        <v>6605.3950000000004</v>
      </c>
      <c r="Q182" s="207">
        <v>39.9</v>
      </c>
      <c r="R182" s="208">
        <v>17.321000000000002</v>
      </c>
      <c r="S182" s="209">
        <f t="shared" si="0"/>
        <v>2.8519196381881433</v>
      </c>
      <c r="T182" s="210">
        <v>544</v>
      </c>
      <c r="U182" s="209">
        <f t="shared" si="1"/>
        <v>6.2989492468559423</v>
      </c>
      <c r="V182" s="198">
        <v>30.5</v>
      </c>
      <c r="W182" s="208">
        <v>6605.4</v>
      </c>
      <c r="X182" s="209">
        <f t="shared" si="2"/>
        <v>8.7956427753044117</v>
      </c>
    </row>
    <row r="183" spans="1:24">
      <c r="A183" s="199">
        <v>17</v>
      </c>
      <c r="B183" s="200" t="s">
        <v>21</v>
      </c>
      <c r="C183" s="200" t="s">
        <v>20</v>
      </c>
      <c r="D183" s="201">
        <v>2015</v>
      </c>
      <c r="E183" s="202">
        <v>16.568000999999999</v>
      </c>
      <c r="F183" s="203">
        <v>0.85860000000000003</v>
      </c>
      <c r="G183" s="202">
        <v>557</v>
      </c>
      <c r="H183" s="187">
        <v>33.200001</v>
      </c>
      <c r="I183" s="204">
        <v>80.7</v>
      </c>
      <c r="J183" s="203">
        <v>4.0999999999999996</v>
      </c>
      <c r="K183" s="205">
        <v>213.5</v>
      </c>
      <c r="L183" s="206">
        <v>0.60000001999999997</v>
      </c>
      <c r="M183" s="191">
        <v>1.6</v>
      </c>
      <c r="N183" s="192">
        <v>34866</v>
      </c>
      <c r="O183" s="193">
        <v>1.02</v>
      </c>
      <c r="P183" s="202">
        <v>6935.4277000000002</v>
      </c>
      <c r="Q183" s="207">
        <v>40.700000000000003</v>
      </c>
      <c r="R183" s="208">
        <v>16.568000000000001</v>
      </c>
      <c r="S183" s="209">
        <f t="shared" si="0"/>
        <v>2.8074731240932831</v>
      </c>
      <c r="T183" s="210">
        <v>557</v>
      </c>
      <c r="U183" s="209">
        <f t="shared" si="1"/>
        <v>6.3225652399272843</v>
      </c>
      <c r="V183" s="198">
        <v>33.200000000000003</v>
      </c>
      <c r="W183" s="208">
        <v>6935.43</v>
      </c>
      <c r="X183" s="209">
        <f t="shared" si="2"/>
        <v>8.8443983351526256</v>
      </c>
    </row>
    <row r="184" spans="1:24">
      <c r="A184" s="199">
        <v>17</v>
      </c>
      <c r="B184" s="200" t="s">
        <v>21</v>
      </c>
      <c r="C184" s="200" t="s">
        <v>20</v>
      </c>
      <c r="D184" s="201">
        <v>2016</v>
      </c>
      <c r="E184" s="202">
        <v>17.969000000000001</v>
      </c>
      <c r="F184" s="203">
        <v>0.85009999999999997</v>
      </c>
      <c r="G184" s="202">
        <v>554</v>
      </c>
      <c r="H184" s="187">
        <v>48</v>
      </c>
      <c r="I184" s="204">
        <v>82.3</v>
      </c>
      <c r="J184" s="203">
        <v>4.5999999999999996</v>
      </c>
      <c r="K184" s="205">
        <v>158.1</v>
      </c>
      <c r="L184" s="206">
        <v>0.89999998000000003</v>
      </c>
      <c r="M184" s="191">
        <v>1.8</v>
      </c>
      <c r="N184" s="192">
        <v>35211</v>
      </c>
      <c r="O184" s="193">
        <v>1.02</v>
      </c>
      <c r="P184" s="202">
        <v>7232.6000999999997</v>
      </c>
      <c r="Q184" s="207">
        <v>40.4</v>
      </c>
      <c r="R184" s="208">
        <v>17.969000000000001</v>
      </c>
      <c r="S184" s="209">
        <f t="shared" si="0"/>
        <v>2.8886480509443166</v>
      </c>
      <c r="T184" s="210">
        <v>554</v>
      </c>
      <c r="U184" s="209">
        <f t="shared" si="1"/>
        <v>6.3171646867472839</v>
      </c>
      <c r="V184" s="198">
        <v>48</v>
      </c>
      <c r="W184" s="208">
        <v>7232.6</v>
      </c>
      <c r="X184" s="209">
        <f t="shared" si="2"/>
        <v>8.8863538632324097</v>
      </c>
    </row>
    <row r="185" spans="1:24">
      <c r="A185" s="199">
        <v>17</v>
      </c>
      <c r="B185" s="200" t="s">
        <v>21</v>
      </c>
      <c r="C185" s="200" t="s">
        <v>20</v>
      </c>
      <c r="D185" s="201">
        <v>2017</v>
      </c>
      <c r="E185" s="202">
        <v>20.277999999999999</v>
      </c>
      <c r="F185" s="203">
        <v>0.79190000000000005</v>
      </c>
      <c r="G185" s="202">
        <v>548</v>
      </c>
      <c r="H185" s="187">
        <v>48.099997999999999</v>
      </c>
      <c r="I185" s="204">
        <v>82.2</v>
      </c>
      <c r="J185" s="203">
        <v>4.4000000000000004</v>
      </c>
      <c r="K185" s="205">
        <v>145.4</v>
      </c>
      <c r="L185" s="206">
        <v>1.1000000000000001</v>
      </c>
      <c r="M185" s="191">
        <v>1.9</v>
      </c>
      <c r="N185" s="192">
        <v>35822</v>
      </c>
      <c r="O185" s="193">
        <v>1.08</v>
      </c>
      <c r="P185" s="202">
        <v>7385.2573000000002</v>
      </c>
      <c r="Q185" s="207">
        <v>39.200000000000003</v>
      </c>
      <c r="R185" s="208">
        <v>20.277999999999999</v>
      </c>
      <c r="S185" s="209">
        <f t="shared" si="0"/>
        <v>3.009536554530388</v>
      </c>
      <c r="T185" s="210">
        <v>548</v>
      </c>
      <c r="U185" s="209">
        <f t="shared" si="1"/>
        <v>6.3062752869480159</v>
      </c>
      <c r="V185" s="198">
        <v>48.1</v>
      </c>
      <c r="W185" s="208">
        <v>7385.26</v>
      </c>
      <c r="X185" s="209">
        <f t="shared" si="2"/>
        <v>8.9072414008454075</v>
      </c>
    </row>
    <row r="186" spans="1:24">
      <c r="A186" s="199">
        <v>17</v>
      </c>
      <c r="B186" s="200" t="s">
        <v>21</v>
      </c>
      <c r="C186" s="200" t="s">
        <v>20</v>
      </c>
      <c r="D186" s="201">
        <v>2018</v>
      </c>
      <c r="E186" s="202">
        <v>20.193999999999999</v>
      </c>
      <c r="F186" s="203">
        <v>0.83740000000000003</v>
      </c>
      <c r="G186" s="202">
        <v>539</v>
      </c>
      <c r="H186" s="187">
        <v>52.599997999999999</v>
      </c>
      <c r="I186" s="204">
        <v>81.8</v>
      </c>
      <c r="J186" s="203">
        <v>4.3</v>
      </c>
      <c r="K186" s="205">
        <v>135</v>
      </c>
      <c r="L186" s="206">
        <v>0.69999999000000002</v>
      </c>
      <c r="M186" s="191">
        <v>1.9</v>
      </c>
      <c r="N186" s="192">
        <v>35808</v>
      </c>
      <c r="O186" s="193">
        <v>1.05</v>
      </c>
      <c r="P186" s="202">
        <v>8017.2529000000004</v>
      </c>
      <c r="Q186" s="207">
        <v>41.4</v>
      </c>
      <c r="R186" s="208">
        <v>20.193999999999999</v>
      </c>
      <c r="S186" s="209">
        <f t="shared" si="0"/>
        <v>3.0053855305821293</v>
      </c>
      <c r="T186" s="210">
        <v>539</v>
      </c>
      <c r="U186" s="209">
        <f t="shared" si="1"/>
        <v>6.2897155709089976</v>
      </c>
      <c r="V186" s="198">
        <v>52.6</v>
      </c>
      <c r="W186" s="208">
        <v>8017.25</v>
      </c>
      <c r="X186" s="209">
        <f t="shared" si="2"/>
        <v>8.9893507492913134</v>
      </c>
    </row>
    <row r="187" spans="1:24">
      <c r="A187" s="199">
        <v>17</v>
      </c>
      <c r="B187" s="200" t="s">
        <v>21</v>
      </c>
      <c r="C187" s="200" t="s">
        <v>20</v>
      </c>
      <c r="D187" s="201">
        <v>2019</v>
      </c>
      <c r="E187" s="202">
        <v>20.562000000000001</v>
      </c>
      <c r="F187" s="203">
        <v>0.82050000000000001</v>
      </c>
      <c r="G187" s="202">
        <v>542</v>
      </c>
      <c r="H187" s="187">
        <v>49.700001</v>
      </c>
      <c r="I187" s="204">
        <v>82.7</v>
      </c>
      <c r="J187" s="203">
        <v>3.9</v>
      </c>
      <c r="K187" s="205">
        <v>353.4</v>
      </c>
      <c r="L187" s="206">
        <v>0.69999999000000002</v>
      </c>
      <c r="M187" s="191">
        <v>2</v>
      </c>
      <c r="N187" s="192">
        <v>37606</v>
      </c>
      <c r="O187" s="193">
        <v>1.08</v>
      </c>
      <c r="P187" s="202">
        <v>8649.2484999999997</v>
      </c>
      <c r="Q187" s="207">
        <v>40.5</v>
      </c>
      <c r="R187" s="208">
        <v>20.562000000000001</v>
      </c>
      <c r="S187" s="209">
        <f t="shared" si="0"/>
        <v>3.023444712120527</v>
      </c>
      <c r="T187" s="210">
        <v>542</v>
      </c>
      <c r="U187" s="209">
        <f t="shared" si="1"/>
        <v>6.2952660014396464</v>
      </c>
      <c r="V187" s="198">
        <v>49.7</v>
      </c>
      <c r="W187" s="208"/>
      <c r="X187" s="209" t="e">
        <f t="shared" si="2"/>
        <v>#NUM!</v>
      </c>
    </row>
    <row r="188" spans="1:24">
      <c r="A188" s="199">
        <v>17</v>
      </c>
      <c r="B188" s="200" t="s">
        <v>21</v>
      </c>
      <c r="C188" s="200" t="s">
        <v>20</v>
      </c>
      <c r="D188" s="201">
        <v>2020</v>
      </c>
      <c r="E188" s="202">
        <v>21.863001000000001</v>
      </c>
      <c r="F188" s="203">
        <v>0.77559999999999996</v>
      </c>
      <c r="G188" s="202">
        <v>523</v>
      </c>
      <c r="H188" s="187">
        <v>45.299999</v>
      </c>
      <c r="I188" s="204">
        <v>82</v>
      </c>
      <c r="J188" s="203">
        <v>4</v>
      </c>
      <c r="K188" s="205">
        <v>406.2</v>
      </c>
      <c r="L188" s="206">
        <v>0.80000000999999998</v>
      </c>
      <c r="M188" s="191">
        <v>1.9</v>
      </c>
      <c r="N188" s="192">
        <v>38335</v>
      </c>
      <c r="O188" s="193">
        <v>1</v>
      </c>
      <c r="P188" s="202">
        <v>9281.2440999999999</v>
      </c>
      <c r="Q188" s="207">
        <v>36.700000000000003</v>
      </c>
      <c r="R188" s="208">
        <v>21.863</v>
      </c>
      <c r="S188" s="209">
        <f t="shared" si="0"/>
        <v>3.0847957102947507</v>
      </c>
      <c r="T188" s="210">
        <v>523</v>
      </c>
      <c r="U188" s="209">
        <f t="shared" si="1"/>
        <v>6.2595814640649232</v>
      </c>
      <c r="V188" s="198">
        <v>45.3</v>
      </c>
      <c r="W188" s="208"/>
      <c r="X188" s="209" t="e">
        <f t="shared" si="2"/>
        <v>#NUM!</v>
      </c>
    </row>
    <row r="189" spans="1:24">
      <c r="A189" s="199">
        <v>18</v>
      </c>
      <c r="B189" s="200" t="s">
        <v>19</v>
      </c>
      <c r="C189" s="200" t="s">
        <v>18</v>
      </c>
      <c r="D189" s="201">
        <v>2010</v>
      </c>
      <c r="E189" s="202">
        <v>32.488998000000002</v>
      </c>
      <c r="F189" s="203">
        <v>4.2713000000000001</v>
      </c>
      <c r="G189" s="202">
        <v>486</v>
      </c>
      <c r="H189" s="187">
        <v>46.5</v>
      </c>
      <c r="I189" s="204">
        <v>85.7</v>
      </c>
      <c r="J189" s="203">
        <v>23.4</v>
      </c>
      <c r="K189" s="205">
        <v>2510.4</v>
      </c>
      <c r="L189" s="206">
        <v>0.69999999000000002</v>
      </c>
      <c r="M189" s="191">
        <v>0.89999998000000003</v>
      </c>
      <c r="N189" s="192">
        <v>1643</v>
      </c>
      <c r="O189" s="193">
        <v>0.79</v>
      </c>
      <c r="P189" s="202">
        <v>14304.16</v>
      </c>
      <c r="Q189" s="207">
        <v>90.2</v>
      </c>
      <c r="R189" s="208">
        <v>32.488999999999997</v>
      </c>
      <c r="S189" s="209">
        <f t="shared" si="0"/>
        <v>3.4809015705061963</v>
      </c>
      <c r="T189" s="210">
        <v>486</v>
      </c>
      <c r="U189" s="209">
        <f t="shared" si="1"/>
        <v>6.1862086239004936</v>
      </c>
      <c r="V189" s="198">
        <v>46.5</v>
      </c>
      <c r="W189" s="208">
        <v>14304.2</v>
      </c>
      <c r="X189" s="209">
        <f t="shared" si="2"/>
        <v>9.5683084794184552</v>
      </c>
    </row>
    <row r="190" spans="1:24">
      <c r="A190" s="199">
        <v>18</v>
      </c>
      <c r="B190" s="200" t="s">
        <v>19</v>
      </c>
      <c r="C190" s="200" t="s">
        <v>18</v>
      </c>
      <c r="D190" s="201">
        <v>2011</v>
      </c>
      <c r="E190" s="202">
        <v>32.759998000000003</v>
      </c>
      <c r="F190" s="203">
        <v>4.2560000000000002</v>
      </c>
      <c r="G190" s="202">
        <v>365</v>
      </c>
      <c r="H190" s="187">
        <v>46.400002000000001</v>
      </c>
      <c r="I190" s="204">
        <v>86</v>
      </c>
      <c r="J190" s="203">
        <v>19.8</v>
      </c>
      <c r="K190" s="205">
        <v>2139.3000000000002</v>
      </c>
      <c r="L190" s="206">
        <v>0.69999999000000002</v>
      </c>
      <c r="M190" s="191">
        <v>0.89999998000000003</v>
      </c>
      <c r="N190" s="192">
        <v>1700</v>
      </c>
      <c r="O190" s="193">
        <v>0.8</v>
      </c>
      <c r="P190" s="202">
        <v>13678.361000000001</v>
      </c>
      <c r="Q190" s="207">
        <v>91.9</v>
      </c>
      <c r="R190" s="208">
        <v>32.76</v>
      </c>
      <c r="S190" s="209">
        <f t="shared" si="0"/>
        <v>3.4892082589848687</v>
      </c>
      <c r="T190" s="210">
        <v>365</v>
      </c>
      <c r="U190" s="209">
        <f t="shared" si="1"/>
        <v>5.8998973535824915</v>
      </c>
      <c r="V190" s="198">
        <v>46.4</v>
      </c>
      <c r="W190" s="208">
        <v>13678.4</v>
      </c>
      <c r="X190" s="209">
        <f t="shared" si="2"/>
        <v>9.5235732252719689</v>
      </c>
    </row>
    <row r="191" spans="1:24">
      <c r="A191" s="199">
        <v>18</v>
      </c>
      <c r="B191" s="200" t="s">
        <v>19</v>
      </c>
      <c r="C191" s="200" t="s">
        <v>18</v>
      </c>
      <c r="D191" s="201">
        <v>2012</v>
      </c>
      <c r="E191" s="202">
        <v>29.759001000000001</v>
      </c>
      <c r="F191" s="203">
        <v>4.3634000000000004</v>
      </c>
      <c r="G191" s="202">
        <v>378</v>
      </c>
      <c r="H191" s="187">
        <v>47.400002000000001</v>
      </c>
      <c r="I191" s="204">
        <v>86.8</v>
      </c>
      <c r="J191" s="203">
        <v>17.7</v>
      </c>
      <c r="K191" s="205">
        <v>2640.2</v>
      </c>
      <c r="L191" s="206">
        <v>0.69999999000000002</v>
      </c>
      <c r="M191" s="191">
        <v>0.89999998000000003</v>
      </c>
      <c r="N191" s="192">
        <v>1722</v>
      </c>
      <c r="O191" s="193">
        <v>0.84</v>
      </c>
      <c r="P191" s="202">
        <v>13784.6</v>
      </c>
      <c r="Q191" s="207">
        <v>87.6</v>
      </c>
      <c r="R191" s="208">
        <v>29.759</v>
      </c>
      <c r="S191" s="209">
        <f t="shared" si="0"/>
        <v>3.3931316072497886</v>
      </c>
      <c r="T191" s="210">
        <v>378</v>
      </c>
      <c r="U191" s="209">
        <f t="shared" si="1"/>
        <v>5.934894195619588</v>
      </c>
      <c r="V191" s="198">
        <v>47.4</v>
      </c>
      <c r="W191" s="208">
        <v>13784.6</v>
      </c>
      <c r="X191" s="209">
        <f t="shared" si="2"/>
        <v>9.5313073059893796</v>
      </c>
    </row>
    <row r="192" spans="1:24">
      <c r="A192" s="199">
        <v>18</v>
      </c>
      <c r="B192" s="200" t="s">
        <v>19</v>
      </c>
      <c r="C192" s="200" t="s">
        <v>18</v>
      </c>
      <c r="D192" s="201">
        <v>2013</v>
      </c>
      <c r="E192" s="202">
        <v>30.676000999999999</v>
      </c>
      <c r="F192" s="203">
        <v>4.4683999999999999</v>
      </c>
      <c r="G192" s="202">
        <v>405</v>
      </c>
      <c r="H192" s="187">
        <v>46.299999</v>
      </c>
      <c r="I192" s="204">
        <v>87.6</v>
      </c>
      <c r="J192" s="203">
        <v>15.2</v>
      </c>
      <c r="K192" s="205">
        <v>1588.1</v>
      </c>
      <c r="L192" s="206">
        <v>0.69999999000000002</v>
      </c>
      <c r="M192" s="191">
        <v>0.89999998000000003</v>
      </c>
      <c r="N192" s="192">
        <v>1799</v>
      </c>
      <c r="O192" s="193">
        <v>0.83</v>
      </c>
      <c r="P192" s="202">
        <v>14971.602999999999</v>
      </c>
      <c r="Q192" s="207">
        <v>87.2</v>
      </c>
      <c r="R192" s="208">
        <v>30.675999999999998</v>
      </c>
      <c r="S192" s="209">
        <f t="shared" si="0"/>
        <v>3.4234805899026126</v>
      </c>
      <c r="T192" s="210">
        <v>405</v>
      </c>
      <c r="U192" s="209">
        <f t="shared" si="1"/>
        <v>6.0038870671065387</v>
      </c>
      <c r="V192" s="198">
        <v>46.3</v>
      </c>
      <c r="W192" s="208">
        <v>14971.6</v>
      </c>
      <c r="X192" s="209">
        <f t="shared" si="2"/>
        <v>9.6139103521298903</v>
      </c>
    </row>
    <row r="193" spans="1:24">
      <c r="A193" s="199">
        <v>18</v>
      </c>
      <c r="B193" s="200" t="s">
        <v>19</v>
      </c>
      <c r="C193" s="200" t="s">
        <v>18</v>
      </c>
      <c r="D193" s="201">
        <v>2014</v>
      </c>
      <c r="E193" s="202">
        <v>29.841999000000001</v>
      </c>
      <c r="F193" s="203">
        <v>4.3621999999999996</v>
      </c>
      <c r="G193" s="202">
        <v>389</v>
      </c>
      <c r="H193" s="187">
        <v>47.700001</v>
      </c>
      <c r="I193" s="204">
        <v>88</v>
      </c>
      <c r="J193" s="203">
        <v>11.1</v>
      </c>
      <c r="K193" s="205">
        <v>2134</v>
      </c>
      <c r="L193" s="206">
        <v>0.69999999000000002</v>
      </c>
      <c r="M193" s="191">
        <v>0.89999998000000003</v>
      </c>
      <c r="N193" s="192">
        <v>1800</v>
      </c>
      <c r="O193" s="193">
        <v>0.8</v>
      </c>
      <c r="P193" s="202">
        <v>14414.018</v>
      </c>
      <c r="Q193" s="207">
        <v>89.3</v>
      </c>
      <c r="R193" s="208">
        <v>29.841999999999999</v>
      </c>
      <c r="S193" s="209">
        <f t="shared" si="0"/>
        <v>3.3959167972182298</v>
      </c>
      <c r="T193" s="210">
        <v>389</v>
      </c>
      <c r="U193" s="209">
        <f t="shared" si="1"/>
        <v>5.9635793436184459</v>
      </c>
      <c r="V193" s="198">
        <v>47.7</v>
      </c>
      <c r="W193" s="208">
        <v>14414</v>
      </c>
      <c r="X193" s="209">
        <f t="shared" si="2"/>
        <v>9.5759552354843862</v>
      </c>
    </row>
    <row r="194" spans="1:24">
      <c r="A194" s="199">
        <v>18</v>
      </c>
      <c r="B194" s="200" t="s">
        <v>19</v>
      </c>
      <c r="C194" s="200" t="s">
        <v>18</v>
      </c>
      <c r="D194" s="201">
        <v>2015</v>
      </c>
      <c r="E194" s="202">
        <v>33.637999999999998</v>
      </c>
      <c r="F194" s="203">
        <v>3.8923000000000001</v>
      </c>
      <c r="G194" s="202">
        <v>373</v>
      </c>
      <c r="H194" s="187">
        <v>47.400002000000001</v>
      </c>
      <c r="I194" s="204">
        <v>86.9</v>
      </c>
      <c r="J194" s="203">
        <v>9.6</v>
      </c>
      <c r="K194" s="205">
        <v>1899.5</v>
      </c>
      <c r="L194" s="206">
        <v>1.1000000000000001</v>
      </c>
      <c r="M194" s="191">
        <v>1</v>
      </c>
      <c r="N194" s="192">
        <v>1839</v>
      </c>
      <c r="O194" s="193">
        <v>0.79</v>
      </c>
      <c r="P194" s="202">
        <v>14043.027</v>
      </c>
      <c r="Q194" s="207">
        <v>91.2</v>
      </c>
      <c r="R194" s="208">
        <v>33.637999999999998</v>
      </c>
      <c r="S194" s="209">
        <f t="shared" si="0"/>
        <v>3.515656380305241</v>
      </c>
      <c r="T194" s="210">
        <v>373</v>
      </c>
      <c r="U194" s="209">
        <f t="shared" si="1"/>
        <v>5.9215784196438159</v>
      </c>
      <c r="V194" s="198">
        <v>47.4</v>
      </c>
      <c r="W194" s="208">
        <v>14043</v>
      </c>
      <c r="X194" s="209">
        <f t="shared" si="2"/>
        <v>9.5498793299681797</v>
      </c>
    </row>
    <row r="195" spans="1:24">
      <c r="A195" s="199">
        <v>18</v>
      </c>
      <c r="B195" s="200" t="s">
        <v>19</v>
      </c>
      <c r="C195" s="200" t="s">
        <v>18</v>
      </c>
      <c r="D195" s="201">
        <v>2016</v>
      </c>
      <c r="E195" s="202">
        <v>30.891000999999999</v>
      </c>
      <c r="F195" s="203">
        <v>4.0552000000000001</v>
      </c>
      <c r="G195" s="202">
        <v>387</v>
      </c>
      <c r="H195" s="187">
        <v>49.200001</v>
      </c>
      <c r="I195" s="204">
        <v>87.4</v>
      </c>
      <c r="J195" s="203">
        <v>7.1</v>
      </c>
      <c r="K195" s="205">
        <v>2087.8000000000002</v>
      </c>
      <c r="L195" s="206">
        <v>0.89999998000000003</v>
      </c>
      <c r="M195" s="191">
        <v>1</v>
      </c>
      <c r="N195" s="192">
        <v>1924</v>
      </c>
      <c r="O195" s="193">
        <v>0.82</v>
      </c>
      <c r="P195" s="202">
        <v>13998.786</v>
      </c>
      <c r="Q195" s="207">
        <v>90.9</v>
      </c>
      <c r="R195" s="208">
        <v>30.890999999999998</v>
      </c>
      <c r="S195" s="209">
        <f t="shared" si="0"/>
        <v>3.4304648793427233</v>
      </c>
      <c r="T195" s="210">
        <v>387</v>
      </c>
      <c r="U195" s="209">
        <f t="shared" si="1"/>
        <v>5.9584246930297819</v>
      </c>
      <c r="V195" s="198">
        <v>49.2</v>
      </c>
      <c r="W195" s="208">
        <v>13998.8</v>
      </c>
      <c r="X195" s="209">
        <f t="shared" si="2"/>
        <v>9.5467268906380021</v>
      </c>
    </row>
    <row r="196" spans="1:24">
      <c r="A196" s="199">
        <v>18</v>
      </c>
      <c r="B196" s="200" t="s">
        <v>19</v>
      </c>
      <c r="C196" s="200" t="s">
        <v>18</v>
      </c>
      <c r="D196" s="201">
        <v>2017</v>
      </c>
      <c r="E196" s="202">
        <v>32.426997999999998</v>
      </c>
      <c r="F196" s="203">
        <v>3.8776999999999999</v>
      </c>
      <c r="G196" s="202">
        <v>405</v>
      </c>
      <c r="H196" s="187">
        <v>48.900002000000001</v>
      </c>
      <c r="I196" s="204">
        <v>89.1</v>
      </c>
      <c r="J196" s="203">
        <v>1.6</v>
      </c>
      <c r="K196" s="205">
        <v>1532.2</v>
      </c>
      <c r="L196" s="206">
        <v>1</v>
      </c>
      <c r="M196" s="191">
        <v>1.1000000000000001</v>
      </c>
      <c r="N196" s="192">
        <v>1956</v>
      </c>
      <c r="O196" s="193">
        <v>0.87</v>
      </c>
      <c r="P196" s="202">
        <v>14711.663</v>
      </c>
      <c r="Q196" s="207">
        <v>91.4</v>
      </c>
      <c r="R196" s="208">
        <v>32.427</v>
      </c>
      <c r="S196" s="209">
        <f t="shared" si="0"/>
        <v>3.4789914091021754</v>
      </c>
      <c r="T196" s="210">
        <v>405</v>
      </c>
      <c r="U196" s="209">
        <f t="shared" si="1"/>
        <v>6.0038870671065387</v>
      </c>
      <c r="V196" s="198">
        <v>48.9</v>
      </c>
      <c r="W196" s="208">
        <v>14711.7</v>
      </c>
      <c r="X196" s="209">
        <f t="shared" si="2"/>
        <v>9.5963983745591186</v>
      </c>
    </row>
    <row r="197" spans="1:24">
      <c r="A197" s="199">
        <v>18</v>
      </c>
      <c r="B197" s="200" t="s">
        <v>19</v>
      </c>
      <c r="C197" s="200" t="s">
        <v>18</v>
      </c>
      <c r="D197" s="201">
        <v>2018</v>
      </c>
      <c r="E197" s="202">
        <v>28.334999</v>
      </c>
      <c r="F197" s="203">
        <v>4.1608000000000001</v>
      </c>
      <c r="G197" s="202">
        <v>419</v>
      </c>
      <c r="H197" s="187">
        <v>49</v>
      </c>
      <c r="I197" s="204">
        <v>88</v>
      </c>
      <c r="J197" s="203">
        <v>1.8</v>
      </c>
      <c r="K197" s="205">
        <v>1676.6</v>
      </c>
      <c r="L197" s="206">
        <v>0.69999999000000002</v>
      </c>
      <c r="M197" s="191">
        <v>1.2</v>
      </c>
      <c r="N197" s="192">
        <v>2106</v>
      </c>
      <c r="O197" s="193">
        <v>0.9</v>
      </c>
      <c r="P197" s="202">
        <v>13076.89</v>
      </c>
      <c r="Q197" s="207">
        <v>91.2</v>
      </c>
      <c r="R197" s="208">
        <v>28.335000000000001</v>
      </c>
      <c r="S197" s="209">
        <f t="shared" si="0"/>
        <v>3.3440977896215824</v>
      </c>
      <c r="T197" s="210">
        <v>419</v>
      </c>
      <c r="U197" s="209">
        <f t="shared" si="1"/>
        <v>6.0378709199221374</v>
      </c>
      <c r="V197" s="198">
        <v>49</v>
      </c>
      <c r="W197" s="208">
        <v>13076.9</v>
      </c>
      <c r="X197" s="209">
        <f t="shared" si="2"/>
        <v>9.4786025938634229</v>
      </c>
    </row>
    <row r="198" spans="1:24">
      <c r="A198" s="199">
        <v>18</v>
      </c>
      <c r="B198" s="200" t="s">
        <v>19</v>
      </c>
      <c r="C198" s="200" t="s">
        <v>18</v>
      </c>
      <c r="D198" s="201">
        <v>2019</v>
      </c>
      <c r="E198" s="202">
        <v>27.068000999999999</v>
      </c>
      <c r="F198" s="203">
        <v>4.2287999999999997</v>
      </c>
      <c r="G198" s="202">
        <v>428</v>
      </c>
      <c r="H198" s="187">
        <v>48.900002000000001</v>
      </c>
      <c r="I198" s="204">
        <v>88.5</v>
      </c>
      <c r="J198" s="203">
        <v>9.1</v>
      </c>
      <c r="K198" s="205">
        <v>1483.2</v>
      </c>
      <c r="L198" s="206">
        <v>1.3</v>
      </c>
      <c r="M198" s="191">
        <v>1.3</v>
      </c>
      <c r="N198" s="192">
        <v>2074</v>
      </c>
      <c r="O198" s="193">
        <v>0.92</v>
      </c>
      <c r="P198" s="202">
        <v>11442.116</v>
      </c>
      <c r="Q198" s="207">
        <v>91</v>
      </c>
      <c r="R198" s="208">
        <v>27.068000000000001</v>
      </c>
      <c r="S198" s="209">
        <f t="shared" si="0"/>
        <v>3.2983522183699789</v>
      </c>
      <c r="T198" s="210">
        <v>428</v>
      </c>
      <c r="U198" s="209">
        <f t="shared" si="1"/>
        <v>6.0591231955817966</v>
      </c>
      <c r="V198" s="198">
        <v>48.9</v>
      </c>
      <c r="W198" s="208"/>
      <c r="X198" s="209" t="e">
        <f t="shared" si="2"/>
        <v>#NUM!</v>
      </c>
    </row>
    <row r="199" spans="1:24">
      <c r="A199" s="199">
        <v>18</v>
      </c>
      <c r="B199" s="200" t="s">
        <v>19</v>
      </c>
      <c r="C199" s="200" t="s">
        <v>18</v>
      </c>
      <c r="D199" s="201">
        <v>2020</v>
      </c>
      <c r="E199" s="202">
        <v>27.395</v>
      </c>
      <c r="F199" s="203">
        <v>4.0842999999999998</v>
      </c>
      <c r="G199" s="202">
        <v>381</v>
      </c>
      <c r="H199" s="187">
        <v>52.799999</v>
      </c>
      <c r="I199" s="204">
        <v>87.9</v>
      </c>
      <c r="J199" s="203">
        <v>9.4</v>
      </c>
      <c r="K199" s="205">
        <v>936.1</v>
      </c>
      <c r="L199" s="206">
        <v>1.1000000000000001</v>
      </c>
      <c r="M199" s="191">
        <v>1.2</v>
      </c>
      <c r="N199" s="192">
        <v>2100</v>
      </c>
      <c r="O199" s="193">
        <v>0.91</v>
      </c>
      <c r="P199" s="202">
        <v>9807.3428000000004</v>
      </c>
      <c r="Q199" s="207">
        <v>90.4</v>
      </c>
      <c r="R199" s="208">
        <v>27.395</v>
      </c>
      <c r="S199" s="209">
        <f t="shared" si="0"/>
        <v>3.310360514990379</v>
      </c>
      <c r="T199" s="210">
        <v>381</v>
      </c>
      <c r="U199" s="209">
        <f t="shared" si="1"/>
        <v>5.9427993751267012</v>
      </c>
      <c r="V199" s="198">
        <v>52.8</v>
      </c>
      <c r="W199" s="208"/>
      <c r="X199" s="209" t="e">
        <f t="shared" si="2"/>
        <v>#NUM!</v>
      </c>
    </row>
    <row r="200" spans="1:24">
      <c r="A200" s="199">
        <v>19</v>
      </c>
      <c r="B200" s="200" t="s">
        <v>17</v>
      </c>
      <c r="C200" s="200" t="s">
        <v>16</v>
      </c>
      <c r="D200" s="201">
        <v>2010</v>
      </c>
      <c r="E200" s="202">
        <v>11.654</v>
      </c>
      <c r="F200" s="203">
        <v>1.0379</v>
      </c>
      <c r="G200" s="202">
        <v>480</v>
      </c>
      <c r="H200" s="187">
        <v>9.3999995999999992</v>
      </c>
      <c r="I200" s="204">
        <v>84.6</v>
      </c>
      <c r="J200" s="203">
        <v>1.2</v>
      </c>
      <c r="K200" s="205">
        <v>48.8</v>
      </c>
      <c r="L200" s="206">
        <v>1.0000001000000001</v>
      </c>
      <c r="M200" s="191">
        <v>1.8000001000000001</v>
      </c>
      <c r="N200" s="192">
        <v>18815</v>
      </c>
      <c r="O200" s="193">
        <v>1.29</v>
      </c>
      <c r="P200" s="202">
        <v>5150.2847000000002</v>
      </c>
      <c r="Q200" s="207">
        <v>26.4</v>
      </c>
      <c r="R200" s="208">
        <v>11.654</v>
      </c>
      <c r="S200" s="209">
        <f t="shared" si="0"/>
        <v>2.4556494687208823</v>
      </c>
      <c r="T200" s="210">
        <v>480</v>
      </c>
      <c r="U200" s="209">
        <f t="shared" si="1"/>
        <v>6.1737861039019366</v>
      </c>
      <c r="V200" s="198">
        <v>9.4</v>
      </c>
      <c r="W200" s="208">
        <v>5150.28</v>
      </c>
      <c r="X200" s="209">
        <f t="shared" si="2"/>
        <v>8.5468063611118836</v>
      </c>
    </row>
    <row r="201" spans="1:24">
      <c r="A201" s="199">
        <v>19</v>
      </c>
      <c r="B201" s="200" t="s">
        <v>17</v>
      </c>
      <c r="C201" s="200" t="s">
        <v>16</v>
      </c>
      <c r="D201" s="201">
        <v>2011</v>
      </c>
      <c r="E201" s="202">
        <v>14.446</v>
      </c>
      <c r="F201" s="203">
        <v>0.92090000000000005</v>
      </c>
      <c r="G201" s="202">
        <v>479</v>
      </c>
      <c r="H201" s="187">
        <v>9.6999998000000005</v>
      </c>
      <c r="I201" s="204">
        <v>81.5</v>
      </c>
      <c r="J201" s="203">
        <v>2.9</v>
      </c>
      <c r="K201" s="205">
        <v>59.1</v>
      </c>
      <c r="L201" s="206">
        <v>0.90000004</v>
      </c>
      <c r="M201" s="191">
        <v>1.7</v>
      </c>
      <c r="N201" s="192">
        <v>19182</v>
      </c>
      <c r="O201" s="193">
        <v>1.3</v>
      </c>
      <c r="P201" s="202">
        <v>5081.0219999999999</v>
      </c>
      <c r="Q201" s="207">
        <v>27.4</v>
      </c>
      <c r="R201" s="208">
        <v>14.446</v>
      </c>
      <c r="S201" s="209">
        <f t="shared" si="0"/>
        <v>2.670417559628655</v>
      </c>
      <c r="T201" s="210">
        <v>479</v>
      </c>
      <c r="U201" s="209">
        <f t="shared" si="1"/>
        <v>6.1717005974109149</v>
      </c>
      <c r="V201" s="198">
        <v>9.6999999999999993</v>
      </c>
      <c r="W201" s="208">
        <v>5081.0200000000004</v>
      </c>
      <c r="X201" s="209">
        <f t="shared" si="2"/>
        <v>8.5332673078190098</v>
      </c>
    </row>
    <row r="202" spans="1:24">
      <c r="A202" s="199">
        <v>19</v>
      </c>
      <c r="B202" s="200" t="s">
        <v>17</v>
      </c>
      <c r="C202" s="200" t="s">
        <v>16</v>
      </c>
      <c r="D202" s="201">
        <v>2012</v>
      </c>
      <c r="E202" s="202">
        <v>13.606999999999999</v>
      </c>
      <c r="F202" s="203">
        <v>0.98119999999999996</v>
      </c>
      <c r="G202" s="202">
        <v>465</v>
      </c>
      <c r="H202" s="187">
        <v>14.6</v>
      </c>
      <c r="I202" s="204">
        <v>83.6</v>
      </c>
      <c r="J202" s="203">
        <v>1.3</v>
      </c>
      <c r="K202" s="205">
        <v>36.1</v>
      </c>
      <c r="L202" s="206">
        <v>0.80000000999999998</v>
      </c>
      <c r="M202" s="191">
        <v>1.6</v>
      </c>
      <c r="N202" s="192">
        <v>20476</v>
      </c>
      <c r="O202" s="193">
        <v>1.31</v>
      </c>
      <c r="P202" s="202">
        <v>5084.9486999999999</v>
      </c>
      <c r="Q202" s="207">
        <v>30.3</v>
      </c>
      <c r="R202" s="208">
        <v>13.606999999999999</v>
      </c>
      <c r="S202" s="209">
        <f t="shared" si="0"/>
        <v>2.6105843662087214</v>
      </c>
      <c r="T202" s="210">
        <v>465</v>
      </c>
      <c r="U202" s="209">
        <f t="shared" si="1"/>
        <v>6.1420374055873559</v>
      </c>
      <c r="V202" s="198">
        <v>14.6</v>
      </c>
      <c r="W202" s="208">
        <v>5084.95</v>
      </c>
      <c r="X202" s="209">
        <f t="shared" si="2"/>
        <v>8.5340404755926258</v>
      </c>
    </row>
    <row r="203" spans="1:24">
      <c r="A203" s="199">
        <v>19</v>
      </c>
      <c r="B203" s="200" t="s">
        <v>17</v>
      </c>
      <c r="C203" s="200" t="s">
        <v>16</v>
      </c>
      <c r="D203" s="201">
        <v>2013</v>
      </c>
      <c r="E203" s="202">
        <v>14.958</v>
      </c>
      <c r="F203" s="203">
        <v>0.92649999999999999</v>
      </c>
      <c r="G203" s="202">
        <v>654</v>
      </c>
      <c r="H203" s="187">
        <v>25.9</v>
      </c>
      <c r="I203" s="204">
        <v>90.3</v>
      </c>
      <c r="J203" s="203">
        <v>3.9</v>
      </c>
      <c r="K203" s="205">
        <v>44.9</v>
      </c>
      <c r="L203" s="206">
        <v>0.69999999000000002</v>
      </c>
      <c r="M203" s="191">
        <v>1.5</v>
      </c>
      <c r="N203" s="192">
        <v>21567</v>
      </c>
      <c r="O203" s="193">
        <v>1.29</v>
      </c>
      <c r="P203" s="202">
        <v>5270.7056000000002</v>
      </c>
      <c r="Q203" s="207">
        <v>29.7</v>
      </c>
      <c r="R203" s="208">
        <v>14.958</v>
      </c>
      <c r="S203" s="209">
        <f t="shared" si="0"/>
        <v>2.7052462737694758</v>
      </c>
      <c r="T203" s="210">
        <v>654</v>
      </c>
      <c r="U203" s="209">
        <f t="shared" si="1"/>
        <v>6.4831073514571989</v>
      </c>
      <c r="V203" s="198">
        <v>25.9</v>
      </c>
      <c r="W203" s="208">
        <v>5270.71</v>
      </c>
      <c r="X203" s="209">
        <f t="shared" si="2"/>
        <v>8.5699203573185141</v>
      </c>
    </row>
    <row r="204" spans="1:24">
      <c r="A204" s="199">
        <v>19</v>
      </c>
      <c r="B204" s="200" t="s">
        <v>17</v>
      </c>
      <c r="C204" s="200" t="s">
        <v>16</v>
      </c>
      <c r="D204" s="201">
        <v>2014</v>
      </c>
      <c r="E204" s="202">
        <v>14.996</v>
      </c>
      <c r="F204" s="203">
        <v>0.98809999999999998</v>
      </c>
      <c r="G204" s="202">
        <v>646</v>
      </c>
      <c r="H204" s="187">
        <v>27</v>
      </c>
      <c r="I204" s="204">
        <v>90.3</v>
      </c>
      <c r="J204" s="203">
        <v>5.3</v>
      </c>
      <c r="K204" s="205">
        <v>7.7</v>
      </c>
      <c r="L204" s="206">
        <v>0.80000000999999998</v>
      </c>
      <c r="M204" s="191">
        <v>1.5</v>
      </c>
      <c r="N204" s="192">
        <v>22835</v>
      </c>
      <c r="O204" s="193">
        <v>1.3</v>
      </c>
      <c r="P204" s="202">
        <v>5254.8545000000004</v>
      </c>
      <c r="Q204" s="207">
        <v>31.1</v>
      </c>
      <c r="R204" s="208">
        <v>14.996</v>
      </c>
      <c r="S204" s="209">
        <f t="shared" si="0"/>
        <v>2.7077834988736655</v>
      </c>
      <c r="T204" s="210">
        <v>646</v>
      </c>
      <c r="U204" s="209">
        <f t="shared" si="1"/>
        <v>6.4707995037826018</v>
      </c>
      <c r="V204" s="198">
        <v>27</v>
      </c>
      <c r="W204" s="208">
        <v>5254.85</v>
      </c>
      <c r="X204" s="209">
        <f t="shared" si="2"/>
        <v>8.5669067386600801</v>
      </c>
    </row>
    <row r="205" spans="1:24">
      <c r="A205" s="199">
        <v>19</v>
      </c>
      <c r="B205" s="200" t="s">
        <v>17</v>
      </c>
      <c r="C205" s="200" t="s">
        <v>16</v>
      </c>
      <c r="D205" s="201">
        <v>2015</v>
      </c>
      <c r="E205" s="202">
        <v>16.131001000000001</v>
      </c>
      <c r="F205" s="203">
        <v>0.95979999999999999</v>
      </c>
      <c r="G205" s="202">
        <v>653</v>
      </c>
      <c r="H205" s="187">
        <v>28.700001</v>
      </c>
      <c r="I205" s="204">
        <v>82.2</v>
      </c>
      <c r="J205" s="203">
        <v>5.3</v>
      </c>
      <c r="K205" s="205">
        <v>0.7</v>
      </c>
      <c r="L205" s="206">
        <v>0.69999999000000002</v>
      </c>
      <c r="M205" s="191">
        <v>1.5</v>
      </c>
      <c r="N205" s="192">
        <v>23214</v>
      </c>
      <c r="O205" s="193">
        <v>1.33</v>
      </c>
      <c r="P205" s="202">
        <v>5380.8500999999997</v>
      </c>
      <c r="Q205" s="207">
        <v>31.4</v>
      </c>
      <c r="R205" s="208">
        <v>16.131</v>
      </c>
      <c r="S205" s="209">
        <f t="shared" si="0"/>
        <v>2.7807428864956507</v>
      </c>
      <c r="T205" s="210">
        <v>653</v>
      </c>
      <c r="U205" s="209">
        <f t="shared" si="1"/>
        <v>6.481577129276431</v>
      </c>
      <c r="V205" s="198">
        <v>28.7</v>
      </c>
      <c r="W205" s="208">
        <v>5380.85</v>
      </c>
      <c r="X205" s="209">
        <f t="shared" si="2"/>
        <v>8.5906016332413753</v>
      </c>
    </row>
    <row r="206" spans="1:24">
      <c r="A206" s="199">
        <v>19</v>
      </c>
      <c r="B206" s="200" t="s">
        <v>17</v>
      </c>
      <c r="C206" s="200" t="s">
        <v>16</v>
      </c>
      <c r="D206" s="201">
        <v>2016</v>
      </c>
      <c r="E206" s="202">
        <v>14.500999999999999</v>
      </c>
      <c r="F206" s="203">
        <v>1.0949</v>
      </c>
      <c r="G206" s="202">
        <v>678</v>
      </c>
      <c r="H206" s="187">
        <v>25.200001</v>
      </c>
      <c r="I206" s="204">
        <v>88.5</v>
      </c>
      <c r="J206" s="203">
        <v>6.6</v>
      </c>
      <c r="K206" s="205">
        <v>75.3</v>
      </c>
      <c r="L206" s="206">
        <v>0.5</v>
      </c>
      <c r="M206" s="191">
        <v>1.5</v>
      </c>
      <c r="N206" s="192">
        <v>23624</v>
      </c>
      <c r="O206" s="193">
        <v>1.3</v>
      </c>
      <c r="P206" s="202">
        <v>5656.7637000000004</v>
      </c>
      <c r="Q206" s="207">
        <v>32</v>
      </c>
      <c r="R206" s="208">
        <v>14.500999999999999</v>
      </c>
      <c r="S206" s="209">
        <f t="shared" si="0"/>
        <v>2.6742176125657582</v>
      </c>
      <c r="T206" s="210">
        <v>678</v>
      </c>
      <c r="U206" s="209">
        <f t="shared" si="1"/>
        <v>6.5191472879403953</v>
      </c>
      <c r="V206" s="198">
        <v>25.2</v>
      </c>
      <c r="W206" s="208">
        <v>5656.76</v>
      </c>
      <c r="X206" s="209">
        <f t="shared" si="2"/>
        <v>8.6406065691294067</v>
      </c>
    </row>
    <row r="207" spans="1:24">
      <c r="A207" s="199">
        <v>19</v>
      </c>
      <c r="B207" s="200" t="s">
        <v>17</v>
      </c>
      <c r="C207" s="200" t="s">
        <v>16</v>
      </c>
      <c r="D207" s="201">
        <v>2017</v>
      </c>
      <c r="E207" s="202">
        <v>16.427</v>
      </c>
      <c r="F207" s="203">
        <v>1.0106999999999999</v>
      </c>
      <c r="G207" s="202">
        <v>679</v>
      </c>
      <c r="H207" s="187">
        <v>24.799999</v>
      </c>
      <c r="I207" s="204">
        <v>80.8</v>
      </c>
      <c r="J207" s="203">
        <v>5.5</v>
      </c>
      <c r="K207" s="205">
        <v>49</v>
      </c>
      <c r="L207" s="206">
        <v>0.69999999000000002</v>
      </c>
      <c r="M207" s="191">
        <v>1.5</v>
      </c>
      <c r="N207" s="192">
        <v>23397</v>
      </c>
      <c r="O207" s="193">
        <v>1.32</v>
      </c>
      <c r="P207" s="202">
        <v>5777.3813</v>
      </c>
      <c r="Q207" s="207">
        <v>30.5</v>
      </c>
      <c r="R207" s="208">
        <v>16.427</v>
      </c>
      <c r="S207" s="209">
        <f t="shared" si="0"/>
        <v>2.7989263225590628</v>
      </c>
      <c r="T207" s="210">
        <v>679</v>
      </c>
      <c r="U207" s="209">
        <f t="shared" si="1"/>
        <v>6.5206211275586963</v>
      </c>
      <c r="V207" s="198">
        <v>24.8</v>
      </c>
      <c r="W207" s="208">
        <v>5777.38</v>
      </c>
      <c r="X207" s="209">
        <f t="shared" si="2"/>
        <v>8.661705571703493</v>
      </c>
    </row>
    <row r="208" spans="1:24">
      <c r="A208" s="199">
        <v>19</v>
      </c>
      <c r="B208" s="200" t="s">
        <v>17</v>
      </c>
      <c r="C208" s="200" t="s">
        <v>16</v>
      </c>
      <c r="D208" s="201">
        <v>2018</v>
      </c>
      <c r="E208" s="202">
        <v>17.047999999999998</v>
      </c>
      <c r="F208" s="203">
        <v>0.9647</v>
      </c>
      <c r="G208" s="202">
        <v>672</v>
      </c>
      <c r="H208" s="187">
        <v>25.200001</v>
      </c>
      <c r="I208" s="204">
        <v>81.400000000000006</v>
      </c>
      <c r="J208" s="203">
        <v>4.7</v>
      </c>
      <c r="K208" s="205">
        <v>38.6</v>
      </c>
      <c r="L208" s="206">
        <v>0.80000000999999998</v>
      </c>
      <c r="M208" s="191">
        <v>1.8</v>
      </c>
      <c r="N208" s="192">
        <v>22420</v>
      </c>
      <c r="O208" s="193">
        <v>1.31</v>
      </c>
      <c r="P208" s="202">
        <v>4970.0097999999998</v>
      </c>
      <c r="Q208" s="207">
        <v>32.9</v>
      </c>
      <c r="R208" s="208">
        <v>17.047999999999998</v>
      </c>
      <c r="S208" s="209">
        <f t="shared" si="0"/>
        <v>2.836032894796316</v>
      </c>
      <c r="T208" s="210">
        <v>672</v>
      </c>
      <c r="U208" s="209">
        <f t="shared" si="1"/>
        <v>6.5102583405231496</v>
      </c>
      <c r="V208" s="198">
        <v>25.2</v>
      </c>
      <c r="W208" s="208">
        <v>4970.01</v>
      </c>
      <c r="X208" s="209">
        <f t="shared" si="2"/>
        <v>8.5111771311610855</v>
      </c>
    </row>
    <row r="209" spans="1:24">
      <c r="A209" s="199">
        <v>19</v>
      </c>
      <c r="B209" s="200" t="s">
        <v>17</v>
      </c>
      <c r="C209" s="200" t="s">
        <v>16</v>
      </c>
      <c r="D209" s="201">
        <v>2019</v>
      </c>
      <c r="E209" s="202">
        <v>17.306000000000001</v>
      </c>
      <c r="F209" s="203">
        <v>0.96840000000000004</v>
      </c>
      <c r="G209" s="202">
        <v>683</v>
      </c>
      <c r="H209" s="187">
        <v>41</v>
      </c>
      <c r="I209" s="204">
        <v>83</v>
      </c>
      <c r="J209" s="203">
        <v>4.8</v>
      </c>
      <c r="K209" s="205">
        <v>2.7</v>
      </c>
      <c r="L209" s="206">
        <v>1.1000000000000001</v>
      </c>
      <c r="M209" s="191">
        <v>1.8</v>
      </c>
      <c r="N209" s="192">
        <v>21108</v>
      </c>
      <c r="O209" s="193">
        <v>1.31</v>
      </c>
      <c r="P209" s="202">
        <v>6995.9408999999996</v>
      </c>
      <c r="Q209" s="207">
        <v>31.5</v>
      </c>
      <c r="R209" s="208">
        <v>17.306000000000001</v>
      </c>
      <c r="S209" s="209">
        <f t="shared" si="0"/>
        <v>2.8510532621845472</v>
      </c>
      <c r="T209" s="210">
        <v>683</v>
      </c>
      <c r="U209" s="209">
        <f t="shared" si="1"/>
        <v>6.5264948595707901</v>
      </c>
      <c r="V209" s="198">
        <v>41</v>
      </c>
      <c r="W209" s="208">
        <v>6995.94</v>
      </c>
      <c r="X209" s="209">
        <f t="shared" si="2"/>
        <v>8.853085259772385</v>
      </c>
    </row>
    <row r="210" spans="1:24">
      <c r="A210" s="199">
        <v>19</v>
      </c>
      <c r="B210" s="200" t="s">
        <v>17</v>
      </c>
      <c r="C210" s="200" t="s">
        <v>16</v>
      </c>
      <c r="D210" s="201">
        <v>2020</v>
      </c>
      <c r="E210" s="202">
        <v>17.551000999999999</v>
      </c>
      <c r="F210" s="203">
        <v>0.93100000000000005</v>
      </c>
      <c r="G210" s="202">
        <v>695</v>
      </c>
      <c r="H210" s="187">
        <v>39.700001</v>
      </c>
      <c r="I210" s="204">
        <v>83.5</v>
      </c>
      <c r="J210" s="203">
        <v>5.2</v>
      </c>
      <c r="K210" s="205">
        <v>5</v>
      </c>
      <c r="L210" s="206">
        <v>0.80000000999999998</v>
      </c>
      <c r="M210" s="191">
        <v>1.6</v>
      </c>
      <c r="N210" s="192">
        <v>23720</v>
      </c>
      <c r="O210" s="193">
        <v>1.26</v>
      </c>
      <c r="P210" s="202">
        <v>7534.9961000000003</v>
      </c>
      <c r="Q210" s="207">
        <v>32</v>
      </c>
      <c r="R210" s="208">
        <v>17.550999999999998</v>
      </c>
      <c r="S210" s="209">
        <f t="shared" si="0"/>
        <v>2.8651109283455529</v>
      </c>
      <c r="T210" s="210">
        <v>695</v>
      </c>
      <c r="U210" s="209">
        <f t="shared" si="1"/>
        <v>6.543911845564792</v>
      </c>
      <c r="V210" s="198">
        <v>39.700000000000003</v>
      </c>
      <c r="W210" s="208">
        <v>7535</v>
      </c>
      <c r="X210" s="209">
        <f t="shared" si="2"/>
        <v>8.9273141110605962</v>
      </c>
    </row>
    <row r="211" spans="1:24">
      <c r="A211" s="199">
        <v>20</v>
      </c>
      <c r="B211" s="200" t="s">
        <v>15</v>
      </c>
      <c r="C211" s="200" t="s">
        <v>14</v>
      </c>
      <c r="D211" s="201">
        <v>2010</v>
      </c>
      <c r="E211" s="202">
        <v>13.776</v>
      </c>
      <c r="F211" s="203">
        <v>2.5857000000000001</v>
      </c>
      <c r="G211" s="202">
        <v>803</v>
      </c>
      <c r="H211" s="187">
        <v>8.8999995999999992</v>
      </c>
      <c r="I211" s="204">
        <v>56.4</v>
      </c>
      <c r="J211" s="203">
        <v>5.3</v>
      </c>
      <c r="K211" s="205">
        <v>4.9000000000000004</v>
      </c>
      <c r="L211" s="206">
        <v>0.89999998000000003</v>
      </c>
      <c r="M211" s="191">
        <v>2.0999998999999998</v>
      </c>
      <c r="N211" s="192">
        <v>4436</v>
      </c>
      <c r="O211" s="193">
        <v>0.83</v>
      </c>
      <c r="P211" s="202">
        <v>7419.8339999999998</v>
      </c>
      <c r="Q211" s="207">
        <v>57.7</v>
      </c>
      <c r="R211" s="208">
        <v>13.776</v>
      </c>
      <c r="S211" s="209">
        <f t="shared" si="0"/>
        <v>2.6229279476853748</v>
      </c>
      <c r="T211" s="210">
        <v>803</v>
      </c>
      <c r="U211" s="209">
        <f t="shared" si="1"/>
        <v>6.6883547139467616</v>
      </c>
      <c r="V211" s="198">
        <v>8.9</v>
      </c>
      <c r="W211" s="208">
        <v>7419.83</v>
      </c>
      <c r="X211" s="209">
        <f t="shared" si="2"/>
        <v>8.9119114248477516</v>
      </c>
    </row>
    <row r="212" spans="1:24">
      <c r="A212" s="199">
        <v>20</v>
      </c>
      <c r="B212" s="200" t="s">
        <v>15</v>
      </c>
      <c r="C212" s="200" t="s">
        <v>14</v>
      </c>
      <c r="D212" s="201">
        <v>2011</v>
      </c>
      <c r="E212" s="202">
        <v>13.589</v>
      </c>
      <c r="F212" s="203">
        <v>1.9716</v>
      </c>
      <c r="G212" s="202">
        <v>791</v>
      </c>
      <c r="H212" s="187">
        <v>15.4</v>
      </c>
      <c r="I212" s="204">
        <v>122.8</v>
      </c>
      <c r="J212" s="203">
        <v>4.5</v>
      </c>
      <c r="K212" s="205">
        <v>1.6</v>
      </c>
      <c r="L212" s="206">
        <v>0.89999998000000003</v>
      </c>
      <c r="M212" s="191">
        <v>2.0999998999999998</v>
      </c>
      <c r="N212" s="192">
        <v>4359</v>
      </c>
      <c r="O212" s="193">
        <v>0.83</v>
      </c>
      <c r="P212" s="202">
        <v>6626.7847000000002</v>
      </c>
      <c r="Q212" s="207">
        <v>62.4</v>
      </c>
      <c r="R212" s="208">
        <v>13.589</v>
      </c>
      <c r="S212" s="209">
        <f t="shared" si="0"/>
        <v>2.6092606419383606</v>
      </c>
      <c r="T212" s="210">
        <v>791</v>
      </c>
      <c r="U212" s="209">
        <f t="shared" si="1"/>
        <v>6.6732979677676543</v>
      </c>
      <c r="V212" s="198">
        <v>15.4</v>
      </c>
      <c r="W212" s="208">
        <v>6626.78</v>
      </c>
      <c r="X212" s="209">
        <f t="shared" si="2"/>
        <v>8.7988742940119007</v>
      </c>
    </row>
    <row r="213" spans="1:24">
      <c r="A213" s="199">
        <v>20</v>
      </c>
      <c r="B213" s="200" t="s">
        <v>15</v>
      </c>
      <c r="C213" s="200" t="s">
        <v>14</v>
      </c>
      <c r="D213" s="201">
        <v>2012</v>
      </c>
      <c r="E213" s="202">
        <v>11.734</v>
      </c>
      <c r="F213" s="203">
        <v>1.8024</v>
      </c>
      <c r="G213" s="202">
        <v>790</v>
      </c>
      <c r="H213" s="187">
        <v>14.8</v>
      </c>
      <c r="I213" s="204">
        <v>71.7</v>
      </c>
      <c r="J213" s="203">
        <v>3.9</v>
      </c>
      <c r="K213" s="205">
        <v>1.2</v>
      </c>
      <c r="L213" s="206">
        <v>0.89999998000000003</v>
      </c>
      <c r="M213" s="191">
        <v>2.0999998999999998</v>
      </c>
      <c r="N213" s="192">
        <v>4361</v>
      </c>
      <c r="O213" s="193">
        <v>0.83</v>
      </c>
      <c r="P213" s="202">
        <v>6527.2606999999998</v>
      </c>
      <c r="Q213" s="207">
        <v>68.099999999999994</v>
      </c>
      <c r="R213" s="208">
        <v>11.734</v>
      </c>
      <c r="S213" s="209">
        <f t="shared" si="0"/>
        <v>2.4624906105036684</v>
      </c>
      <c r="T213" s="210">
        <v>790</v>
      </c>
      <c r="U213" s="209">
        <f t="shared" si="1"/>
        <v>6.6720329454610674</v>
      </c>
      <c r="V213" s="198">
        <v>14.8</v>
      </c>
      <c r="W213" s="208">
        <v>6527.26</v>
      </c>
      <c r="X213" s="209">
        <f t="shared" si="2"/>
        <v>8.7837425323753191</v>
      </c>
    </row>
    <row r="214" spans="1:24">
      <c r="A214" s="199">
        <v>20</v>
      </c>
      <c r="B214" s="200" t="s">
        <v>15</v>
      </c>
      <c r="C214" s="200" t="s">
        <v>14</v>
      </c>
      <c r="D214" s="201">
        <v>2013</v>
      </c>
      <c r="E214" s="202">
        <v>12.587999999999999</v>
      </c>
      <c r="F214" s="203">
        <v>2.2766000000000002</v>
      </c>
      <c r="G214" s="202">
        <v>793</v>
      </c>
      <c r="H214" s="187">
        <v>12.5</v>
      </c>
      <c r="I214" s="204">
        <v>97.5</v>
      </c>
      <c r="J214" s="203">
        <v>6.3</v>
      </c>
      <c r="K214" s="205">
        <v>0.1</v>
      </c>
      <c r="L214" s="206">
        <v>0.89999998000000003</v>
      </c>
      <c r="M214" s="191">
        <v>2.0999998999999998</v>
      </c>
      <c r="N214" s="192">
        <v>4365</v>
      </c>
      <c r="O214" s="193">
        <v>0.82</v>
      </c>
      <c r="P214" s="202">
        <v>4740.8549999999996</v>
      </c>
      <c r="Q214" s="207">
        <v>68.8</v>
      </c>
      <c r="R214" s="208">
        <v>12.587999999999999</v>
      </c>
      <c r="S214" s="209">
        <f t="shared" si="0"/>
        <v>2.5327439792021602</v>
      </c>
      <c r="T214" s="210">
        <v>793</v>
      </c>
      <c r="U214" s="209">
        <f t="shared" si="1"/>
        <v>6.6758232216348476</v>
      </c>
      <c r="V214" s="198">
        <v>12.5</v>
      </c>
      <c r="W214" s="208">
        <v>4740.8500000000004</v>
      </c>
      <c r="X214" s="209">
        <f t="shared" si="2"/>
        <v>8.4639717235068499</v>
      </c>
    </row>
    <row r="215" spans="1:24">
      <c r="A215" s="199">
        <v>20</v>
      </c>
      <c r="B215" s="200" t="s">
        <v>15</v>
      </c>
      <c r="C215" s="200" t="s">
        <v>14</v>
      </c>
      <c r="D215" s="201">
        <v>2014</v>
      </c>
      <c r="E215" s="202">
        <v>11.731999999999999</v>
      </c>
      <c r="F215" s="203">
        <v>1.7686999999999999</v>
      </c>
      <c r="G215" s="202">
        <v>721</v>
      </c>
      <c r="H215" s="187">
        <v>11.7</v>
      </c>
      <c r="I215" s="204">
        <v>107.1</v>
      </c>
      <c r="J215" s="203">
        <v>6.4</v>
      </c>
      <c r="K215" s="205">
        <v>4.5999999999999996</v>
      </c>
      <c r="L215" s="206">
        <v>1</v>
      </c>
      <c r="M215" s="191">
        <v>2.0999998999999998</v>
      </c>
      <c r="N215" s="192">
        <v>4393</v>
      </c>
      <c r="O215" s="193">
        <v>0.84</v>
      </c>
      <c r="P215" s="202">
        <v>3936.3499000000002</v>
      </c>
      <c r="Q215" s="207">
        <v>74</v>
      </c>
      <c r="R215" s="208">
        <v>11.731999999999999</v>
      </c>
      <c r="S215" s="209">
        <f t="shared" si="0"/>
        <v>2.4623201511152044</v>
      </c>
      <c r="T215" s="210">
        <v>721</v>
      </c>
      <c r="U215" s="209">
        <f t="shared" si="1"/>
        <v>6.5806391372849493</v>
      </c>
      <c r="V215" s="198">
        <v>11.7</v>
      </c>
      <c r="W215" s="208">
        <v>3936.35</v>
      </c>
      <c r="X215" s="209">
        <f t="shared" si="2"/>
        <v>8.2780091769829767</v>
      </c>
    </row>
    <row r="216" spans="1:24">
      <c r="A216" s="199">
        <v>20</v>
      </c>
      <c r="B216" s="200" t="s">
        <v>15</v>
      </c>
      <c r="C216" s="200" t="s">
        <v>14</v>
      </c>
      <c r="D216" s="201">
        <v>2015</v>
      </c>
      <c r="E216" s="202">
        <v>13.973000000000001</v>
      </c>
      <c r="F216" s="203">
        <v>1.627</v>
      </c>
      <c r="G216" s="202">
        <v>271</v>
      </c>
      <c r="H216" s="187">
        <v>10.9</v>
      </c>
      <c r="I216" s="204">
        <v>65.099999999999994</v>
      </c>
      <c r="J216" s="203">
        <v>4.5999999999999996</v>
      </c>
      <c r="K216" s="205">
        <v>2.8</v>
      </c>
      <c r="L216" s="206">
        <v>1</v>
      </c>
      <c r="M216" s="191">
        <v>2</v>
      </c>
      <c r="N216" s="192">
        <v>4474</v>
      </c>
      <c r="O216" s="193">
        <v>0.85</v>
      </c>
      <c r="P216" s="202">
        <v>4136.3095999999996</v>
      </c>
      <c r="Q216" s="207">
        <v>74.599999999999994</v>
      </c>
      <c r="R216" s="208">
        <v>13.973000000000001</v>
      </c>
      <c r="S216" s="209">
        <f t="shared" si="0"/>
        <v>2.637126896098311</v>
      </c>
      <c r="T216" s="210">
        <v>271</v>
      </c>
      <c r="U216" s="209">
        <f t="shared" si="1"/>
        <v>5.602118820879701</v>
      </c>
      <c r="V216" s="198">
        <v>10.9</v>
      </c>
      <c r="W216" s="208">
        <v>4136.3100000000004</v>
      </c>
      <c r="X216" s="209">
        <f t="shared" si="2"/>
        <v>8.3275593650236317</v>
      </c>
    </row>
    <row r="217" spans="1:24">
      <c r="A217" s="199">
        <v>20</v>
      </c>
      <c r="B217" s="200" t="s">
        <v>15</v>
      </c>
      <c r="C217" s="200" t="s">
        <v>14</v>
      </c>
      <c r="D217" s="201">
        <v>2016</v>
      </c>
      <c r="E217" s="202">
        <v>11.981</v>
      </c>
      <c r="F217" s="203">
        <v>1.671</v>
      </c>
      <c r="G217" s="202">
        <v>305</v>
      </c>
      <c r="H217" s="187">
        <v>12.7</v>
      </c>
      <c r="I217" s="204">
        <v>103.4</v>
      </c>
      <c r="J217" s="203">
        <v>4.2</v>
      </c>
      <c r="K217" s="205">
        <v>0.3</v>
      </c>
      <c r="L217" s="206">
        <v>1</v>
      </c>
      <c r="M217" s="191">
        <v>2.2999999999999998</v>
      </c>
      <c r="N217" s="192">
        <v>4749</v>
      </c>
      <c r="O217" s="193">
        <v>0.87</v>
      </c>
      <c r="P217" s="202">
        <v>4247.5298000000003</v>
      </c>
      <c r="Q217" s="207">
        <v>75.3</v>
      </c>
      <c r="R217" s="208">
        <v>11.981</v>
      </c>
      <c r="S217" s="209">
        <f t="shared" si="0"/>
        <v>2.4833220616577618</v>
      </c>
      <c r="T217" s="210">
        <v>305</v>
      </c>
      <c r="U217" s="209">
        <f t="shared" si="1"/>
        <v>5.7203117766074119</v>
      </c>
      <c r="V217" s="198">
        <v>12.7</v>
      </c>
      <c r="W217" s="208">
        <v>4247.53</v>
      </c>
      <c r="X217" s="209">
        <f t="shared" si="2"/>
        <v>8.3540929164993667</v>
      </c>
    </row>
    <row r="218" spans="1:24">
      <c r="A218" s="199">
        <v>20</v>
      </c>
      <c r="B218" s="200" t="s">
        <v>15</v>
      </c>
      <c r="C218" s="200" t="s">
        <v>14</v>
      </c>
      <c r="D218" s="201">
        <v>2017</v>
      </c>
      <c r="E218" s="202">
        <v>10.78</v>
      </c>
      <c r="F218" s="203">
        <v>2.1501000000000001</v>
      </c>
      <c r="G218" s="202">
        <v>343</v>
      </c>
      <c r="H218" s="187">
        <v>11.5</v>
      </c>
      <c r="I218" s="204">
        <v>72.099999999999994</v>
      </c>
      <c r="J218" s="203">
        <v>6.5</v>
      </c>
      <c r="K218" s="205">
        <v>2.9</v>
      </c>
      <c r="L218" s="206">
        <v>1</v>
      </c>
      <c r="M218" s="191">
        <v>2.5</v>
      </c>
      <c r="N218" s="192">
        <v>4809</v>
      </c>
      <c r="O218" s="193">
        <v>0.89</v>
      </c>
      <c r="P218" s="202">
        <v>5349.6162000000004</v>
      </c>
      <c r="Q218" s="207">
        <v>77.099999999999994</v>
      </c>
      <c r="R218" s="208">
        <v>10.78</v>
      </c>
      <c r="S218" s="209">
        <f t="shared" si="0"/>
        <v>2.3776925654808512</v>
      </c>
      <c r="T218" s="210">
        <v>343</v>
      </c>
      <c r="U218" s="209">
        <f t="shared" si="1"/>
        <v>5.8377304471659395</v>
      </c>
      <c r="V218" s="198">
        <v>11.5</v>
      </c>
      <c r="W218" s="208">
        <v>5349.62</v>
      </c>
      <c r="X218" s="209">
        <f t="shared" si="2"/>
        <v>8.5847808093300593</v>
      </c>
    </row>
    <row r="219" spans="1:24">
      <c r="A219" s="199">
        <v>20</v>
      </c>
      <c r="B219" s="200" t="s">
        <v>15</v>
      </c>
      <c r="C219" s="200" t="s">
        <v>14</v>
      </c>
      <c r="D219" s="201">
        <v>2018</v>
      </c>
      <c r="E219" s="202">
        <v>9.9980001000000005</v>
      </c>
      <c r="F219" s="203">
        <v>1.9567000000000001</v>
      </c>
      <c r="G219" s="202">
        <v>304</v>
      </c>
      <c r="H219" s="187">
        <v>10.4</v>
      </c>
      <c r="I219" s="204">
        <v>73.599999999999994</v>
      </c>
      <c r="J219" s="203">
        <v>8.3000000000000007</v>
      </c>
      <c r="K219" s="205">
        <v>0.1</v>
      </c>
      <c r="L219" s="206">
        <v>1</v>
      </c>
      <c r="M219" s="191">
        <v>2.7</v>
      </c>
      <c r="N219" s="192">
        <v>4949</v>
      </c>
      <c r="O219" s="193">
        <v>0.89</v>
      </c>
      <c r="P219" s="202">
        <v>4737.8915999999999</v>
      </c>
      <c r="Q219" s="207">
        <v>75.099999999999994</v>
      </c>
      <c r="R219" s="208">
        <v>9.9979999999999993</v>
      </c>
      <c r="S219" s="209">
        <f t="shared" si="0"/>
        <v>2.3023850729913784</v>
      </c>
      <c r="T219" s="210">
        <v>304</v>
      </c>
      <c r="U219" s="209">
        <f t="shared" si="1"/>
        <v>5.7170277014062219</v>
      </c>
      <c r="V219" s="198">
        <v>10.4</v>
      </c>
      <c r="W219" s="208">
        <v>4737.8900000000003</v>
      </c>
      <c r="X219" s="209">
        <f t="shared" si="2"/>
        <v>8.4633471679021568</v>
      </c>
    </row>
    <row r="220" spans="1:24">
      <c r="A220" s="199">
        <v>20</v>
      </c>
      <c r="B220" s="200" t="s">
        <v>15</v>
      </c>
      <c r="C220" s="200" t="s">
        <v>14</v>
      </c>
      <c r="D220" s="201">
        <v>2019</v>
      </c>
      <c r="E220" s="202">
        <v>10.988</v>
      </c>
      <c r="F220" s="203">
        <v>2.2004000000000001</v>
      </c>
      <c r="G220" s="202">
        <v>318</v>
      </c>
      <c r="H220" s="187">
        <v>9.1000004000000008</v>
      </c>
      <c r="I220" s="204">
        <v>59.8</v>
      </c>
      <c r="J220" s="203">
        <v>12.8</v>
      </c>
      <c r="K220" s="205">
        <v>0.3</v>
      </c>
      <c r="L220" s="206">
        <v>1</v>
      </c>
      <c r="M220" s="191">
        <v>2.9000001000000002</v>
      </c>
      <c r="N220" s="192">
        <v>5029</v>
      </c>
      <c r="O220" s="193">
        <v>0.91</v>
      </c>
      <c r="P220" s="202">
        <v>12672.775</v>
      </c>
      <c r="Q220" s="207">
        <v>70.099999999999994</v>
      </c>
      <c r="R220" s="208">
        <v>10.988</v>
      </c>
      <c r="S220" s="209">
        <f t="shared" si="0"/>
        <v>2.3968037682330272</v>
      </c>
      <c r="T220" s="210">
        <v>318</v>
      </c>
      <c r="U220" s="209">
        <f t="shared" si="1"/>
        <v>5.7620513827801769</v>
      </c>
      <c r="V220" s="198">
        <v>9.1</v>
      </c>
      <c r="W220" s="208">
        <v>12672.8</v>
      </c>
      <c r="X220" s="209">
        <f t="shared" si="2"/>
        <v>9.447213243374641</v>
      </c>
    </row>
    <row r="221" spans="1:24">
      <c r="A221" s="199">
        <v>20</v>
      </c>
      <c r="B221" s="200" t="s">
        <v>15</v>
      </c>
      <c r="C221" s="200" t="s">
        <v>14</v>
      </c>
      <c r="D221" s="201">
        <v>2020</v>
      </c>
      <c r="E221" s="202">
        <v>11.098000000000001</v>
      </c>
      <c r="F221" s="203">
        <v>1.8367</v>
      </c>
      <c r="G221" s="202">
        <v>320</v>
      </c>
      <c r="H221" s="187">
        <v>10.9</v>
      </c>
      <c r="I221" s="204">
        <v>58.3</v>
      </c>
      <c r="J221" s="203">
        <v>16.5</v>
      </c>
      <c r="K221" s="205">
        <v>0.2</v>
      </c>
      <c r="L221" s="206">
        <v>1.2</v>
      </c>
      <c r="M221" s="191">
        <v>3</v>
      </c>
      <c r="N221" s="192">
        <v>4857</v>
      </c>
      <c r="O221" s="193">
        <v>0.91</v>
      </c>
      <c r="P221" s="202">
        <v>12579.778</v>
      </c>
      <c r="Q221" s="207">
        <v>69.3</v>
      </c>
      <c r="R221" s="208">
        <v>11.098000000000001</v>
      </c>
      <c r="S221" s="209">
        <f t="shared" si="0"/>
        <v>2.4067649119037098</v>
      </c>
      <c r="T221" s="210">
        <v>320</v>
      </c>
      <c r="U221" s="209">
        <f t="shared" si="1"/>
        <v>5.768320995793772</v>
      </c>
      <c r="V221" s="198">
        <v>10.9</v>
      </c>
      <c r="W221" s="208">
        <v>12579.8</v>
      </c>
      <c r="X221" s="209">
        <f t="shared" si="2"/>
        <v>9.4398476318768605</v>
      </c>
    </row>
    <row r="222" spans="1:24">
      <c r="A222" s="199">
        <v>21</v>
      </c>
      <c r="B222" s="200" t="s">
        <v>13</v>
      </c>
      <c r="C222" s="200" t="s">
        <v>12</v>
      </c>
      <c r="D222" s="201">
        <v>2010</v>
      </c>
      <c r="E222" s="202">
        <v>11.702</v>
      </c>
      <c r="F222" s="203">
        <v>3.5455000000000001</v>
      </c>
      <c r="G222" s="202">
        <v>410</v>
      </c>
      <c r="H222" s="187">
        <v>49.200001</v>
      </c>
      <c r="I222" s="204">
        <v>79.900000000000006</v>
      </c>
      <c r="J222" s="203">
        <v>25.5</v>
      </c>
      <c r="K222" s="205">
        <v>19598.2</v>
      </c>
      <c r="L222" s="206">
        <v>0.69999999000000002</v>
      </c>
      <c r="M222" s="191">
        <v>1.1000000000000001</v>
      </c>
      <c r="N222" s="192">
        <v>97728</v>
      </c>
      <c r="O222" s="193">
        <v>1.02</v>
      </c>
      <c r="P222" s="202">
        <v>10571.016</v>
      </c>
      <c r="Q222" s="207">
        <v>72.3</v>
      </c>
      <c r="R222" s="208">
        <v>11.702</v>
      </c>
      <c r="S222" s="209">
        <f t="shared" si="0"/>
        <v>2.4597597673660445</v>
      </c>
      <c r="T222" s="210">
        <v>410</v>
      </c>
      <c r="U222" s="209">
        <f t="shared" si="1"/>
        <v>6.0161571596983539</v>
      </c>
      <c r="V222" s="198">
        <v>49.2</v>
      </c>
      <c r="W222" s="208">
        <v>10571</v>
      </c>
      <c r="X222" s="209">
        <f t="shared" si="2"/>
        <v>9.2658696817686632</v>
      </c>
    </row>
    <row r="223" spans="1:24">
      <c r="A223" s="199">
        <v>21</v>
      </c>
      <c r="B223" s="200" t="s">
        <v>13</v>
      </c>
      <c r="C223" s="200" t="s">
        <v>12</v>
      </c>
      <c r="D223" s="201">
        <v>2011</v>
      </c>
      <c r="E223" s="202">
        <v>11.914999999999999</v>
      </c>
      <c r="F223" s="203">
        <v>3.6305999999999998</v>
      </c>
      <c r="G223" s="202">
        <v>411</v>
      </c>
      <c r="H223" s="187">
        <v>49.099997999999999</v>
      </c>
      <c r="I223" s="204">
        <v>81.8</v>
      </c>
      <c r="J223" s="203">
        <v>25</v>
      </c>
      <c r="K223" s="205">
        <v>22106.2</v>
      </c>
      <c r="L223" s="206">
        <v>0.69999999000000002</v>
      </c>
      <c r="M223" s="191">
        <v>1.1000000000000001</v>
      </c>
      <c r="N223" s="192">
        <v>98805</v>
      </c>
      <c r="O223" s="193">
        <v>1.04</v>
      </c>
      <c r="P223" s="202">
        <v>10515.981</v>
      </c>
      <c r="Q223" s="207">
        <v>72.5</v>
      </c>
      <c r="R223" s="208">
        <v>11.914999999999999</v>
      </c>
      <c r="S223" s="209">
        <f t="shared" si="0"/>
        <v>2.4777981105507054</v>
      </c>
      <c r="T223" s="210">
        <v>411</v>
      </c>
      <c r="U223" s="209">
        <f t="shared" si="1"/>
        <v>6.0185932144962342</v>
      </c>
      <c r="V223" s="198">
        <v>49.1</v>
      </c>
      <c r="W223" s="208">
        <v>10516</v>
      </c>
      <c r="X223" s="209">
        <f t="shared" si="2"/>
        <v>9.2606531858497725</v>
      </c>
    </row>
    <row r="224" spans="1:24">
      <c r="A224" s="199">
        <v>21</v>
      </c>
      <c r="B224" s="200" t="s">
        <v>13</v>
      </c>
      <c r="C224" s="200" t="s">
        <v>12</v>
      </c>
      <c r="D224" s="201">
        <v>2012</v>
      </c>
      <c r="E224" s="202">
        <v>10.426</v>
      </c>
      <c r="F224" s="203">
        <v>3.7286999999999999</v>
      </c>
      <c r="G224" s="202">
        <v>407</v>
      </c>
      <c r="H224" s="187">
        <v>49.400002000000001</v>
      </c>
      <c r="I224" s="204">
        <v>83</v>
      </c>
      <c r="J224" s="203">
        <v>26.3</v>
      </c>
      <c r="K224" s="205">
        <v>25925</v>
      </c>
      <c r="L224" s="206">
        <v>0.69999999000000002</v>
      </c>
      <c r="M224" s="191">
        <v>1.1000000000000001</v>
      </c>
      <c r="N224" s="192">
        <v>99896</v>
      </c>
      <c r="O224" s="193">
        <v>1.07</v>
      </c>
      <c r="P224" s="202">
        <v>10431.257</v>
      </c>
      <c r="Q224" s="207">
        <v>73.400000000000006</v>
      </c>
      <c r="R224" s="208">
        <v>10.426</v>
      </c>
      <c r="S224" s="209">
        <f t="shared" si="0"/>
        <v>2.3443026863459142</v>
      </c>
      <c r="T224" s="210">
        <v>407</v>
      </c>
      <c r="U224" s="209">
        <f t="shared" si="1"/>
        <v>6.0088131854425946</v>
      </c>
      <c r="V224" s="198">
        <v>49.4</v>
      </c>
      <c r="W224" s="208">
        <v>10431.299999999999</v>
      </c>
      <c r="X224" s="209">
        <f t="shared" si="2"/>
        <v>9.2525661806880528</v>
      </c>
    </row>
    <row r="225" spans="1:24">
      <c r="A225" s="199">
        <v>21</v>
      </c>
      <c r="B225" s="200" t="s">
        <v>13</v>
      </c>
      <c r="C225" s="200" t="s">
        <v>12</v>
      </c>
      <c r="D225" s="201">
        <v>2013</v>
      </c>
      <c r="E225" s="202">
        <v>9.5290002999999999</v>
      </c>
      <c r="F225" s="203">
        <v>3.9167000000000001</v>
      </c>
      <c r="G225" s="202">
        <v>439</v>
      </c>
      <c r="H225" s="187">
        <v>49.799999</v>
      </c>
      <c r="I225" s="204">
        <v>83.1</v>
      </c>
      <c r="J225" s="203">
        <v>26.8</v>
      </c>
      <c r="K225" s="205">
        <v>19481.2</v>
      </c>
      <c r="L225" s="206">
        <v>0.69999999000000002</v>
      </c>
      <c r="M225" s="191">
        <v>1.1000000000000001</v>
      </c>
      <c r="N225" s="192">
        <v>95338</v>
      </c>
      <c r="O225" s="193">
        <v>1.07</v>
      </c>
      <c r="P225" s="202">
        <v>10750.746999999999</v>
      </c>
      <c r="Q225" s="207">
        <v>73.3</v>
      </c>
      <c r="R225" s="208">
        <v>9.5289999999999999</v>
      </c>
      <c r="S225" s="209">
        <f t="shared" si="0"/>
        <v>2.2543397803660512</v>
      </c>
      <c r="T225" s="210">
        <v>439</v>
      </c>
      <c r="U225" s="209">
        <f t="shared" si="1"/>
        <v>6.0844994130751715</v>
      </c>
      <c r="V225" s="198">
        <v>49.8</v>
      </c>
      <c r="W225" s="208">
        <v>10750.7</v>
      </c>
      <c r="X225" s="209">
        <f t="shared" si="2"/>
        <v>9.2827261477149055</v>
      </c>
    </row>
    <row r="226" spans="1:24">
      <c r="A226" s="199">
        <v>21</v>
      </c>
      <c r="B226" s="200" t="s">
        <v>13</v>
      </c>
      <c r="C226" s="200" t="s">
        <v>12</v>
      </c>
      <c r="D226" s="201">
        <v>2014</v>
      </c>
      <c r="E226" s="202">
        <v>9.2299994999999999</v>
      </c>
      <c r="F226" s="203">
        <v>3.9037000000000002</v>
      </c>
      <c r="G226" s="202">
        <v>478</v>
      </c>
      <c r="H226" s="187">
        <v>50.900002000000001</v>
      </c>
      <c r="I226" s="204">
        <v>82.4</v>
      </c>
      <c r="J226" s="203">
        <v>26.5</v>
      </c>
      <c r="K226" s="205">
        <v>17750.400000000001</v>
      </c>
      <c r="L226" s="206">
        <v>0.69999999000000002</v>
      </c>
      <c r="M226" s="191">
        <v>1</v>
      </c>
      <c r="N226" s="192">
        <v>92761</v>
      </c>
      <c r="O226" s="193">
        <v>1.1100000000000001</v>
      </c>
      <c r="P226" s="202">
        <v>10647.218999999999</v>
      </c>
      <c r="Q226" s="207">
        <v>74.3</v>
      </c>
      <c r="R226" s="208">
        <v>9.23</v>
      </c>
      <c r="S226" s="209">
        <f t="shared" si="0"/>
        <v>2.2224590485147608</v>
      </c>
      <c r="T226" s="210">
        <v>478</v>
      </c>
      <c r="U226" s="209">
        <f t="shared" si="1"/>
        <v>6.1696107324914564</v>
      </c>
      <c r="V226" s="198">
        <v>50.9</v>
      </c>
      <c r="W226" s="208">
        <v>10647.2</v>
      </c>
      <c r="X226" s="209">
        <f t="shared" si="2"/>
        <v>9.2730522257723464</v>
      </c>
    </row>
    <row r="227" spans="1:24">
      <c r="A227" s="199">
        <v>21</v>
      </c>
      <c r="B227" s="200" t="s">
        <v>13</v>
      </c>
      <c r="C227" s="200" t="s">
        <v>12</v>
      </c>
      <c r="D227" s="201">
        <v>2015</v>
      </c>
      <c r="E227" s="202">
        <v>10.803000000000001</v>
      </c>
      <c r="F227" s="203">
        <v>3.8976000000000002</v>
      </c>
      <c r="G227" s="202">
        <v>461</v>
      </c>
      <c r="H227" s="187">
        <v>51.799999</v>
      </c>
      <c r="I227" s="204">
        <v>82.1</v>
      </c>
      <c r="J227" s="203">
        <v>26.7</v>
      </c>
      <c r="K227" s="205">
        <v>27479.5</v>
      </c>
      <c r="L227" s="206">
        <v>1</v>
      </c>
      <c r="M227" s="191">
        <v>1</v>
      </c>
      <c r="N227" s="192">
        <v>95504</v>
      </c>
      <c r="O227" s="193">
        <v>1.1200000000000001</v>
      </c>
      <c r="P227" s="202">
        <v>10424.392</v>
      </c>
      <c r="Q227" s="207">
        <v>77.099999999999994</v>
      </c>
      <c r="R227" s="208">
        <v>10.803000000000001</v>
      </c>
      <c r="S227" s="209">
        <f t="shared" si="0"/>
        <v>2.379823873334848</v>
      </c>
      <c r="T227" s="210">
        <v>461</v>
      </c>
      <c r="U227" s="209">
        <f t="shared" si="1"/>
        <v>6.1333980429966486</v>
      </c>
      <c r="V227" s="198">
        <v>51.8</v>
      </c>
      <c r="W227" s="208">
        <v>10424.4</v>
      </c>
      <c r="X227" s="209">
        <f t="shared" si="2"/>
        <v>9.2519044910538746</v>
      </c>
    </row>
    <row r="228" spans="1:24">
      <c r="A228" s="199">
        <v>21</v>
      </c>
      <c r="B228" s="200" t="s">
        <v>13</v>
      </c>
      <c r="C228" s="200" t="s">
        <v>12</v>
      </c>
      <c r="D228" s="201">
        <v>2016</v>
      </c>
      <c r="E228" s="202">
        <v>8.3210000999999991</v>
      </c>
      <c r="F228" s="203">
        <v>4.3448000000000002</v>
      </c>
      <c r="G228" s="202">
        <v>464</v>
      </c>
      <c r="H228" s="187">
        <v>53.5</v>
      </c>
      <c r="I228" s="204">
        <v>80.900000000000006</v>
      </c>
      <c r="J228" s="203">
        <v>29</v>
      </c>
      <c r="K228" s="205">
        <v>24224.9</v>
      </c>
      <c r="L228" s="206">
        <v>0.89999998000000003</v>
      </c>
      <c r="M228" s="191">
        <v>1.1000000000000001</v>
      </c>
      <c r="N228" s="192">
        <v>97501</v>
      </c>
      <c r="O228" s="193">
        <v>1.1399999999999999</v>
      </c>
      <c r="P228" s="202">
        <v>10047.965</v>
      </c>
      <c r="Q228" s="207">
        <v>78.099999999999994</v>
      </c>
      <c r="R228" s="208">
        <v>8.3209999999999997</v>
      </c>
      <c r="S228" s="209">
        <f t="shared" si="0"/>
        <v>2.1187824399182928</v>
      </c>
      <c r="T228" s="210">
        <v>464</v>
      </c>
      <c r="U228" s="209">
        <f t="shared" si="1"/>
        <v>6.1398845522262553</v>
      </c>
      <c r="V228" s="198">
        <v>53.5</v>
      </c>
      <c r="W228" s="208">
        <v>10048</v>
      </c>
      <c r="X228" s="209">
        <f t="shared" si="2"/>
        <v>9.2151288887079801</v>
      </c>
    </row>
    <row r="229" spans="1:24">
      <c r="A229" s="199">
        <v>21</v>
      </c>
      <c r="B229" s="200" t="s">
        <v>13</v>
      </c>
      <c r="C229" s="200" t="s">
        <v>12</v>
      </c>
      <c r="D229" s="201">
        <v>2017</v>
      </c>
      <c r="E229" s="202">
        <v>7.9310001999999997</v>
      </c>
      <c r="F229" s="203">
        <v>4.0293999999999999</v>
      </c>
      <c r="G229" s="202">
        <v>533</v>
      </c>
      <c r="H229" s="187">
        <v>54.599997999999999</v>
      </c>
      <c r="I229" s="204">
        <v>81.599999999999994</v>
      </c>
      <c r="J229" s="203">
        <v>26.7</v>
      </c>
      <c r="K229" s="205">
        <v>34742.199999999997</v>
      </c>
      <c r="L229" s="206">
        <v>0.80000000999999998</v>
      </c>
      <c r="M229" s="191">
        <v>1.1000000000000001</v>
      </c>
      <c r="N229" s="192">
        <v>101143</v>
      </c>
      <c r="O229" s="193">
        <v>1.18</v>
      </c>
      <c r="P229" s="202">
        <v>9810.5889000000006</v>
      </c>
      <c r="Q229" s="207">
        <v>78.8</v>
      </c>
      <c r="R229" s="208">
        <v>7.931</v>
      </c>
      <c r="S229" s="209">
        <f t="shared" si="0"/>
        <v>2.0707791311011827</v>
      </c>
      <c r="T229" s="210">
        <v>533</v>
      </c>
      <c r="U229" s="209">
        <f t="shared" si="1"/>
        <v>6.2785214241658442</v>
      </c>
      <c r="V229" s="198">
        <v>54.6</v>
      </c>
      <c r="W229" s="208">
        <v>9810.59</v>
      </c>
      <c r="X229" s="209">
        <f t="shared" si="2"/>
        <v>9.191217693462427</v>
      </c>
    </row>
    <row r="230" spans="1:24">
      <c r="A230" s="199">
        <v>21</v>
      </c>
      <c r="B230" s="200" t="s">
        <v>13</v>
      </c>
      <c r="C230" s="200" t="s">
        <v>12</v>
      </c>
      <c r="D230" s="201">
        <v>2018</v>
      </c>
      <c r="E230" s="202">
        <v>9.0010004000000006</v>
      </c>
      <c r="F230" s="203">
        <v>3.9192999999999998</v>
      </c>
      <c r="G230" s="202">
        <v>540</v>
      </c>
      <c r="H230" s="187">
        <v>55.900002000000001</v>
      </c>
      <c r="I230" s="204">
        <v>75.599999999999994</v>
      </c>
      <c r="J230" s="203">
        <v>25.8</v>
      </c>
      <c r="K230" s="205">
        <v>41549.9</v>
      </c>
      <c r="L230" s="206">
        <v>1</v>
      </c>
      <c r="M230" s="191">
        <v>1.1000000000000001</v>
      </c>
      <c r="N230" s="192">
        <v>105760</v>
      </c>
      <c r="O230" s="193">
        <v>1.18</v>
      </c>
      <c r="P230" s="202">
        <v>8679.0342000000001</v>
      </c>
      <c r="Q230" s="207">
        <v>80.400000000000006</v>
      </c>
      <c r="R230" s="208">
        <v>9.0009999999999994</v>
      </c>
      <c r="S230" s="209">
        <f t="shared" si="0"/>
        <v>2.1973356822749484</v>
      </c>
      <c r="T230" s="210">
        <v>540</v>
      </c>
      <c r="U230" s="209">
        <f t="shared" si="1"/>
        <v>6.2915691395583204</v>
      </c>
      <c r="V230" s="198">
        <v>55.9</v>
      </c>
      <c r="W230" s="208">
        <v>8679.0300000000007</v>
      </c>
      <c r="X230" s="209">
        <f t="shared" si="2"/>
        <v>9.0686650502576978</v>
      </c>
    </row>
    <row r="231" spans="1:24">
      <c r="A231" s="199">
        <v>21</v>
      </c>
      <c r="B231" s="200" t="s">
        <v>13</v>
      </c>
      <c r="C231" s="200" t="s">
        <v>12</v>
      </c>
      <c r="D231" s="201">
        <v>2019</v>
      </c>
      <c r="E231" s="202">
        <v>9.2959995000000006</v>
      </c>
      <c r="F231" s="203">
        <v>4.1224999999999996</v>
      </c>
      <c r="G231" s="202">
        <v>541</v>
      </c>
      <c r="H231" s="187">
        <v>56.900002000000001</v>
      </c>
      <c r="I231" s="204">
        <v>69.599999999999994</v>
      </c>
      <c r="J231" s="203">
        <v>25.6</v>
      </c>
      <c r="K231" s="205">
        <v>35751.1</v>
      </c>
      <c r="L231" s="206">
        <v>1.1000000000000001</v>
      </c>
      <c r="M231" s="191">
        <v>1.1000000000000001</v>
      </c>
      <c r="N231" s="192">
        <v>108283</v>
      </c>
      <c r="O231" s="193">
        <v>1.18</v>
      </c>
      <c r="P231" s="202">
        <v>7547.4795000000004</v>
      </c>
      <c r="Q231" s="207">
        <v>80.599999999999994</v>
      </c>
      <c r="R231" s="208">
        <v>9.2959999999999994</v>
      </c>
      <c r="S231" s="209">
        <f t="shared" si="0"/>
        <v>2.2295842001095552</v>
      </c>
      <c r="T231" s="210">
        <v>541</v>
      </c>
      <c r="U231" s="209">
        <f t="shared" si="1"/>
        <v>6.2934192788464811</v>
      </c>
      <c r="V231" s="198">
        <v>56.9</v>
      </c>
      <c r="W231" s="208"/>
      <c r="X231" s="209" t="e">
        <f t="shared" si="2"/>
        <v>#NUM!</v>
      </c>
    </row>
    <row r="232" spans="1:24">
      <c r="A232" s="199">
        <v>21</v>
      </c>
      <c r="B232" s="200" t="s">
        <v>13</v>
      </c>
      <c r="C232" s="200" t="s">
        <v>12</v>
      </c>
      <c r="D232" s="201">
        <v>2020</v>
      </c>
      <c r="E232" s="202">
        <v>9.2639999</v>
      </c>
      <c r="F232" s="203">
        <v>4.3422000000000001</v>
      </c>
      <c r="G232" s="202">
        <v>580</v>
      </c>
      <c r="H232" s="187">
        <v>56.900002000000001</v>
      </c>
      <c r="I232" s="204">
        <v>74</v>
      </c>
      <c r="J232" s="203">
        <v>27.1</v>
      </c>
      <c r="K232" s="205">
        <v>39992.400000000001</v>
      </c>
      <c r="L232" s="206">
        <v>1</v>
      </c>
      <c r="M232" s="191">
        <v>1.1000000000000001</v>
      </c>
      <c r="N232" s="192">
        <v>104905</v>
      </c>
      <c r="O232" s="193">
        <v>1.0900000000000001</v>
      </c>
      <c r="P232" s="202">
        <v>6415.9247999999998</v>
      </c>
      <c r="Q232" s="207">
        <v>81</v>
      </c>
      <c r="R232" s="208">
        <v>9.2639999999999993</v>
      </c>
      <c r="S232" s="209">
        <f t="shared" si="0"/>
        <v>2.2261359208306395</v>
      </c>
      <c r="T232" s="210">
        <v>580</v>
      </c>
      <c r="U232" s="209">
        <f t="shared" si="1"/>
        <v>6.363028103540465</v>
      </c>
      <c r="V232" s="198">
        <v>56.9</v>
      </c>
      <c r="W232" s="208"/>
      <c r="X232" s="209" t="e">
        <f t="shared" si="2"/>
        <v>#NUM!</v>
      </c>
    </row>
    <row r="233" spans="1:24">
      <c r="A233" s="199">
        <v>22</v>
      </c>
      <c r="B233" s="200" t="s">
        <v>11</v>
      </c>
      <c r="C233" s="200" t="s">
        <v>10</v>
      </c>
      <c r="D233" s="201">
        <v>2010</v>
      </c>
      <c r="E233" s="202">
        <v>15.673</v>
      </c>
      <c r="F233" s="203">
        <v>0.58730000000000004</v>
      </c>
      <c r="G233" s="202">
        <v>629</v>
      </c>
      <c r="H233" s="187">
        <v>16.299999</v>
      </c>
      <c r="I233" s="204">
        <v>78.400000000000006</v>
      </c>
      <c r="J233" s="203">
        <v>11.1</v>
      </c>
      <c r="K233" s="205">
        <v>556.4</v>
      </c>
      <c r="L233" s="206">
        <v>0.5</v>
      </c>
      <c r="M233" s="191">
        <v>1.6999998999999999</v>
      </c>
      <c r="N233" s="192">
        <v>371159</v>
      </c>
      <c r="O233" s="193">
        <v>0.85</v>
      </c>
      <c r="P233" s="202">
        <v>9139.2353999999996</v>
      </c>
      <c r="Q233" s="207">
        <v>16.899999999999999</v>
      </c>
      <c r="R233" s="208">
        <v>15.673</v>
      </c>
      <c r="S233" s="209">
        <f t="shared" si="0"/>
        <v>2.7519394866719309</v>
      </c>
      <c r="T233" s="210">
        <v>629</v>
      </c>
      <c r="U233" s="209">
        <f t="shared" si="1"/>
        <v>6.444131256700441</v>
      </c>
      <c r="V233" s="198">
        <v>16.3</v>
      </c>
      <c r="W233" s="208">
        <v>9139.24</v>
      </c>
      <c r="X233" s="209">
        <f t="shared" si="2"/>
        <v>9.1203325100062784</v>
      </c>
    </row>
    <row r="234" spans="1:24">
      <c r="A234" s="199">
        <v>22</v>
      </c>
      <c r="B234" s="200" t="s">
        <v>11</v>
      </c>
      <c r="C234" s="200" t="s">
        <v>10</v>
      </c>
      <c r="D234" s="201">
        <v>2011</v>
      </c>
      <c r="E234" s="202">
        <v>19.528998999999999</v>
      </c>
      <c r="F234" s="203">
        <v>0.498</v>
      </c>
      <c r="G234" s="202">
        <v>643</v>
      </c>
      <c r="H234" s="187">
        <v>11.4</v>
      </c>
      <c r="I234" s="204">
        <v>90</v>
      </c>
      <c r="J234" s="203">
        <v>9.4</v>
      </c>
      <c r="K234" s="205">
        <v>1331.9</v>
      </c>
      <c r="L234" s="206">
        <v>0.5</v>
      </c>
      <c r="M234" s="191">
        <v>1.8</v>
      </c>
      <c r="N234" s="192">
        <v>380152</v>
      </c>
      <c r="O234" s="193">
        <v>0.84</v>
      </c>
      <c r="P234" s="202">
        <v>9072.0234</v>
      </c>
      <c r="Q234" s="207">
        <v>15.3</v>
      </c>
      <c r="R234" s="208">
        <v>19.529</v>
      </c>
      <c r="S234" s="209">
        <f t="shared" si="0"/>
        <v>2.9719005403006453</v>
      </c>
      <c r="T234" s="210">
        <v>643</v>
      </c>
      <c r="U234" s="209">
        <f t="shared" si="1"/>
        <v>6.4661447242376191</v>
      </c>
      <c r="V234" s="198">
        <v>11.4</v>
      </c>
      <c r="W234" s="208">
        <v>9072.02</v>
      </c>
      <c r="X234" s="209">
        <f t="shared" si="2"/>
        <v>9.1129502305506414</v>
      </c>
    </row>
    <row r="235" spans="1:24">
      <c r="A235" s="199">
        <v>22</v>
      </c>
      <c r="B235" s="200" t="s">
        <v>11</v>
      </c>
      <c r="C235" s="200" t="s">
        <v>10</v>
      </c>
      <c r="D235" s="201">
        <v>2012</v>
      </c>
      <c r="E235" s="202">
        <v>16.399000000000001</v>
      </c>
      <c r="F235" s="203">
        <v>0.58960000000000001</v>
      </c>
      <c r="G235" s="202">
        <v>643</v>
      </c>
      <c r="H235" s="187">
        <v>12</v>
      </c>
      <c r="I235" s="204">
        <v>76.3</v>
      </c>
      <c r="J235" s="203">
        <v>11</v>
      </c>
      <c r="K235" s="205">
        <v>217.5</v>
      </c>
      <c r="L235" s="206">
        <v>0.5</v>
      </c>
      <c r="M235" s="191">
        <v>1.9</v>
      </c>
      <c r="N235" s="192">
        <v>387443</v>
      </c>
      <c r="O235" s="193">
        <v>0.83</v>
      </c>
      <c r="P235" s="202">
        <v>8864.9326000000001</v>
      </c>
      <c r="Q235" s="207">
        <v>16.2</v>
      </c>
      <c r="R235" s="208">
        <v>16.399000000000001</v>
      </c>
      <c r="S235" s="209">
        <f t="shared" si="0"/>
        <v>2.7972203573613088</v>
      </c>
      <c r="T235" s="210">
        <v>643</v>
      </c>
      <c r="U235" s="209">
        <f t="shared" si="1"/>
        <v>6.4661447242376191</v>
      </c>
      <c r="V235" s="198">
        <v>12</v>
      </c>
      <c r="W235" s="208">
        <v>8864.93</v>
      </c>
      <c r="X235" s="209">
        <f t="shared" si="2"/>
        <v>9.0898583222560383</v>
      </c>
    </row>
    <row r="236" spans="1:24">
      <c r="A236" s="199">
        <v>22</v>
      </c>
      <c r="B236" s="200" t="s">
        <v>11</v>
      </c>
      <c r="C236" s="200" t="s">
        <v>10</v>
      </c>
      <c r="D236" s="201">
        <v>2013</v>
      </c>
      <c r="E236" s="202">
        <v>15.401999999999999</v>
      </c>
      <c r="F236" s="203">
        <v>0.62360000000000004</v>
      </c>
      <c r="G236" s="202">
        <v>667</v>
      </c>
      <c r="H236" s="187">
        <v>15.1</v>
      </c>
      <c r="I236" s="204">
        <v>75.599999999999994</v>
      </c>
      <c r="J236" s="203">
        <v>12.2</v>
      </c>
      <c r="K236" s="205">
        <v>288.8</v>
      </c>
      <c r="L236" s="206">
        <v>0.5</v>
      </c>
      <c r="M236" s="191">
        <v>2</v>
      </c>
      <c r="N236" s="192">
        <v>399380</v>
      </c>
      <c r="O236" s="193">
        <v>0.86</v>
      </c>
      <c r="P236" s="202">
        <v>8943.4727000000003</v>
      </c>
      <c r="Q236" s="207">
        <v>16</v>
      </c>
      <c r="R236" s="208">
        <v>15.401999999999999</v>
      </c>
      <c r="S236" s="209">
        <f t="shared" si="0"/>
        <v>2.7344973711170582</v>
      </c>
      <c r="T236" s="210">
        <v>667</v>
      </c>
      <c r="U236" s="209">
        <f t="shared" si="1"/>
        <v>6.5027900459156234</v>
      </c>
      <c r="V236" s="198">
        <v>15.1</v>
      </c>
      <c r="W236" s="208">
        <v>8943.4699999999993</v>
      </c>
      <c r="X236" s="209">
        <f t="shared" si="2"/>
        <v>9.098678936036217</v>
      </c>
    </row>
    <row r="237" spans="1:24">
      <c r="A237" s="199">
        <v>22</v>
      </c>
      <c r="B237" s="200" t="s">
        <v>11</v>
      </c>
      <c r="C237" s="200" t="s">
        <v>10</v>
      </c>
      <c r="D237" s="201">
        <v>2014</v>
      </c>
      <c r="E237" s="202">
        <v>15.516999999999999</v>
      </c>
      <c r="F237" s="203">
        <v>0.65339999999999998</v>
      </c>
      <c r="G237" s="202">
        <v>673</v>
      </c>
      <c r="H237" s="187">
        <v>26.5</v>
      </c>
      <c r="I237" s="204">
        <v>73.5</v>
      </c>
      <c r="J237" s="203">
        <v>13</v>
      </c>
      <c r="K237" s="205">
        <v>466.6</v>
      </c>
      <c r="L237" s="206">
        <v>0.60000001999999997</v>
      </c>
      <c r="M237" s="191">
        <v>2</v>
      </c>
      <c r="N237" s="192">
        <v>398677</v>
      </c>
      <c r="O237" s="193">
        <v>0.87</v>
      </c>
      <c r="P237" s="202">
        <v>9228.9053000000004</v>
      </c>
      <c r="Q237" s="207">
        <v>17</v>
      </c>
      <c r="R237" s="208">
        <v>15.516999999999999</v>
      </c>
      <c r="S237" s="209">
        <f t="shared" si="0"/>
        <v>2.7419361971013467</v>
      </c>
      <c r="T237" s="210">
        <v>673</v>
      </c>
      <c r="U237" s="209">
        <f t="shared" si="1"/>
        <v>6.5117453296447279</v>
      </c>
      <c r="V237" s="198">
        <v>26.5</v>
      </c>
      <c r="W237" s="208">
        <v>9228.91</v>
      </c>
      <c r="X237" s="209">
        <f t="shared" si="2"/>
        <v>9.1300962273489183</v>
      </c>
    </row>
    <row r="238" spans="1:24">
      <c r="A238" s="199">
        <v>22</v>
      </c>
      <c r="B238" s="200" t="s">
        <v>11</v>
      </c>
      <c r="C238" s="200" t="s">
        <v>10</v>
      </c>
      <c r="D238" s="201">
        <v>2015</v>
      </c>
      <c r="E238" s="202">
        <v>15.577</v>
      </c>
      <c r="F238" s="203">
        <v>0.68720000000000003</v>
      </c>
      <c r="G238" s="202">
        <v>697</v>
      </c>
      <c r="H238" s="187">
        <v>32.5</v>
      </c>
      <c r="I238" s="204">
        <v>69.7</v>
      </c>
      <c r="J238" s="203">
        <v>11.9</v>
      </c>
      <c r="K238" s="205">
        <v>484.5</v>
      </c>
      <c r="L238" s="206">
        <v>0.69999999000000002</v>
      </c>
      <c r="M238" s="191">
        <v>1.9</v>
      </c>
      <c r="N238" s="192">
        <v>418033</v>
      </c>
      <c r="O238" s="193">
        <v>0.87</v>
      </c>
      <c r="P238" s="202">
        <v>9703.5810999999994</v>
      </c>
      <c r="Q238" s="207">
        <v>17.600000000000001</v>
      </c>
      <c r="R238" s="208">
        <v>15.577</v>
      </c>
      <c r="S238" s="209">
        <f t="shared" si="0"/>
        <v>2.7457954673444687</v>
      </c>
      <c r="T238" s="210">
        <v>697</v>
      </c>
      <c r="U238" s="209">
        <f t="shared" si="1"/>
        <v>6.5467854107605241</v>
      </c>
      <c r="V238" s="198">
        <v>32.5</v>
      </c>
      <c r="W238" s="208">
        <v>9703.58</v>
      </c>
      <c r="X238" s="209">
        <f t="shared" si="2"/>
        <v>9.1802501685660438</v>
      </c>
    </row>
    <row r="239" spans="1:24">
      <c r="A239" s="199">
        <v>22</v>
      </c>
      <c r="B239" s="200" t="s">
        <v>11</v>
      </c>
      <c r="C239" s="200" t="s">
        <v>10</v>
      </c>
      <c r="D239" s="201">
        <v>2016</v>
      </c>
      <c r="E239" s="202">
        <v>15.962</v>
      </c>
      <c r="F239" s="203">
        <v>0.68889999999999996</v>
      </c>
      <c r="G239" s="202">
        <v>642</v>
      </c>
      <c r="H239" s="187">
        <v>34.799999</v>
      </c>
      <c r="I239" s="204">
        <v>82.2</v>
      </c>
      <c r="J239" s="203">
        <v>1.6</v>
      </c>
      <c r="K239" s="205">
        <v>412.7</v>
      </c>
      <c r="L239" s="206">
        <v>0.60000001999999997</v>
      </c>
      <c r="M239" s="191">
        <v>1.9</v>
      </c>
      <c r="N239" s="192">
        <v>422007</v>
      </c>
      <c r="O239" s="193">
        <v>0.89</v>
      </c>
      <c r="P239" s="202">
        <v>9701.8330000000005</v>
      </c>
      <c r="Q239" s="207">
        <v>17.8</v>
      </c>
      <c r="R239" s="208">
        <v>15.962</v>
      </c>
      <c r="S239" s="209">
        <f t="shared" si="0"/>
        <v>2.7702108974538171</v>
      </c>
      <c r="T239" s="210">
        <v>642</v>
      </c>
      <c r="U239" s="209">
        <f t="shared" si="1"/>
        <v>6.4645883036899612</v>
      </c>
      <c r="V239" s="198">
        <v>34.799999999999997</v>
      </c>
      <c r="W239" s="208">
        <v>9701.83</v>
      </c>
      <c r="X239" s="209">
        <f t="shared" si="2"/>
        <v>9.180069806491268</v>
      </c>
    </row>
    <row r="240" spans="1:24">
      <c r="A240" s="199">
        <v>22</v>
      </c>
      <c r="B240" s="200" t="s">
        <v>11</v>
      </c>
      <c r="C240" s="200" t="s">
        <v>10</v>
      </c>
      <c r="D240" s="201">
        <v>2017</v>
      </c>
      <c r="E240" s="202">
        <v>17.292998999999998</v>
      </c>
      <c r="F240" s="203">
        <v>0.68049999999999999</v>
      </c>
      <c r="G240" s="202">
        <v>611</v>
      </c>
      <c r="H240" s="187">
        <v>33.799999</v>
      </c>
      <c r="I240" s="204">
        <v>82.7</v>
      </c>
      <c r="J240" s="203">
        <v>1.4</v>
      </c>
      <c r="K240" s="205">
        <v>1619.4</v>
      </c>
      <c r="L240" s="206">
        <v>0.60000001999999997</v>
      </c>
      <c r="M240" s="191">
        <v>1.9</v>
      </c>
      <c r="N240" s="192">
        <v>427247</v>
      </c>
      <c r="O240" s="193">
        <v>0.88</v>
      </c>
      <c r="P240" s="202">
        <v>9251.5985999999994</v>
      </c>
      <c r="Q240" s="207">
        <v>18.100000000000001</v>
      </c>
      <c r="R240" s="208">
        <v>17.292999999999999</v>
      </c>
      <c r="S240" s="209">
        <f t="shared" si="0"/>
        <v>2.850301795343785</v>
      </c>
      <c r="T240" s="210">
        <v>611</v>
      </c>
      <c r="U240" s="209">
        <f t="shared" si="1"/>
        <v>6.4150969591715956</v>
      </c>
      <c r="V240" s="198">
        <v>33.799999999999997</v>
      </c>
      <c r="W240" s="208">
        <v>9251.6</v>
      </c>
      <c r="X240" s="209">
        <f t="shared" si="2"/>
        <v>9.1325517885213436</v>
      </c>
    </row>
    <row r="241" spans="1:24">
      <c r="A241" s="199">
        <v>22</v>
      </c>
      <c r="B241" s="200" t="s">
        <v>11</v>
      </c>
      <c r="C241" s="200" t="s">
        <v>10</v>
      </c>
      <c r="D241" s="201">
        <v>2018</v>
      </c>
      <c r="E241" s="202">
        <v>17.794001000000002</v>
      </c>
      <c r="F241" s="203">
        <v>0.70269999999999999</v>
      </c>
      <c r="G241" s="202">
        <v>618</v>
      </c>
      <c r="H241" s="187">
        <v>34.299999</v>
      </c>
      <c r="I241" s="204">
        <v>87.6</v>
      </c>
      <c r="J241" s="203">
        <v>1.5</v>
      </c>
      <c r="K241" s="205">
        <v>1975.2</v>
      </c>
      <c r="L241" s="206">
        <v>0.89999998000000003</v>
      </c>
      <c r="M241" s="191">
        <v>1.9</v>
      </c>
      <c r="N241" s="192">
        <v>429029</v>
      </c>
      <c r="O241" s="193">
        <v>0.89</v>
      </c>
      <c r="P241" s="202">
        <v>8841.4385000000002</v>
      </c>
      <c r="Q241" s="207">
        <v>19.5</v>
      </c>
      <c r="R241" s="208">
        <v>17.794</v>
      </c>
      <c r="S241" s="209">
        <f t="shared" si="0"/>
        <v>2.8788613218225758</v>
      </c>
      <c r="T241" s="210">
        <v>618</v>
      </c>
      <c r="U241" s="209">
        <f t="shared" si="1"/>
        <v>6.4264884574576904</v>
      </c>
      <c r="V241" s="198">
        <v>34.299999999999997</v>
      </c>
      <c r="W241" s="208">
        <v>8841.44</v>
      </c>
      <c r="X241" s="209">
        <f t="shared" si="2"/>
        <v>9.0872050382931899</v>
      </c>
    </row>
    <row r="242" spans="1:24">
      <c r="A242" s="199">
        <v>22</v>
      </c>
      <c r="B242" s="200" t="s">
        <v>11</v>
      </c>
      <c r="C242" s="200" t="s">
        <v>10</v>
      </c>
      <c r="D242" s="201">
        <v>2019</v>
      </c>
      <c r="E242" s="202">
        <v>17.056999000000001</v>
      </c>
      <c r="F242" s="203">
        <v>0.77110000000000001</v>
      </c>
      <c r="G242" s="202">
        <v>598</v>
      </c>
      <c r="H242" s="187">
        <v>34.099997999999999</v>
      </c>
      <c r="I242" s="204">
        <v>82.4</v>
      </c>
      <c r="J242" s="203">
        <v>9.1999999999999993</v>
      </c>
      <c r="K242" s="205">
        <v>1577.3</v>
      </c>
      <c r="L242" s="206">
        <v>0.80000000999999998</v>
      </c>
      <c r="M242" s="191">
        <v>2</v>
      </c>
      <c r="N242" s="192">
        <v>435574</v>
      </c>
      <c r="O242" s="193">
        <v>0.87</v>
      </c>
      <c r="P242" s="202">
        <v>6967.3500999999997</v>
      </c>
      <c r="Q242" s="207">
        <v>19.5</v>
      </c>
      <c r="R242" s="208">
        <v>17.056999999999999</v>
      </c>
      <c r="S242" s="209">
        <f t="shared" si="0"/>
        <v>2.8365606766587357</v>
      </c>
      <c r="T242" s="210">
        <v>598</v>
      </c>
      <c r="U242" s="209">
        <f t="shared" si="1"/>
        <v>6.3935907539506314</v>
      </c>
      <c r="V242" s="198">
        <v>34.1</v>
      </c>
      <c r="W242" s="208">
        <v>6967.35</v>
      </c>
      <c r="X242" s="209">
        <f t="shared" si="2"/>
        <v>8.8489902305990658</v>
      </c>
    </row>
    <row r="243" spans="1:24">
      <c r="A243" s="199">
        <v>22</v>
      </c>
      <c r="B243" s="200" t="s">
        <v>11</v>
      </c>
      <c r="C243" s="200" t="s">
        <v>10</v>
      </c>
      <c r="D243" s="201">
        <v>2020</v>
      </c>
      <c r="E243" s="202">
        <v>16.774999999999999</v>
      </c>
      <c r="F243" s="203">
        <v>0.76490000000000002</v>
      </c>
      <c r="G243" s="202">
        <v>595</v>
      </c>
      <c r="H243" s="187">
        <v>38.700001</v>
      </c>
      <c r="I243" s="204">
        <v>85.9</v>
      </c>
      <c r="J243" s="203">
        <v>7.4</v>
      </c>
      <c r="K243" s="205">
        <v>736.6</v>
      </c>
      <c r="L243" s="206">
        <v>0.69999999000000002</v>
      </c>
      <c r="M243" s="191">
        <v>1.9</v>
      </c>
      <c r="N243" s="192">
        <v>437080</v>
      </c>
      <c r="O243" s="193">
        <v>0.78</v>
      </c>
      <c r="P243" s="202">
        <v>6900.0181000000002</v>
      </c>
      <c r="Q243" s="207">
        <v>19.3</v>
      </c>
      <c r="R243" s="208">
        <v>16.774999999999999</v>
      </c>
      <c r="S243" s="209">
        <f t="shared" si="0"/>
        <v>2.8198896828577453</v>
      </c>
      <c r="T243" s="210">
        <v>595</v>
      </c>
      <c r="U243" s="209">
        <f t="shared" si="1"/>
        <v>6.3885614055456301</v>
      </c>
      <c r="V243" s="198">
        <v>38.700000000000003</v>
      </c>
      <c r="W243" s="208">
        <v>6900.02</v>
      </c>
      <c r="X243" s="209">
        <f t="shared" si="2"/>
        <v>8.8392795891318752</v>
      </c>
    </row>
    <row r="244" spans="1:24">
      <c r="A244" s="199">
        <v>23</v>
      </c>
      <c r="B244" s="200" t="s">
        <v>9</v>
      </c>
      <c r="C244" s="200" t="s">
        <v>8</v>
      </c>
      <c r="D244" s="201">
        <v>2010</v>
      </c>
      <c r="E244" s="202">
        <v>19.722000000000001</v>
      </c>
      <c r="F244" s="203">
        <v>0.92290000000000005</v>
      </c>
      <c r="G244" s="202">
        <v>549</v>
      </c>
      <c r="H244" s="187">
        <v>18.700001</v>
      </c>
      <c r="I244" s="204">
        <v>85</v>
      </c>
      <c r="J244" s="203">
        <v>1.8</v>
      </c>
      <c r="K244" s="205">
        <v>17661</v>
      </c>
      <c r="L244" s="206">
        <v>0.60000001999999997</v>
      </c>
      <c r="M244" s="191">
        <v>1.7</v>
      </c>
      <c r="N244" s="192">
        <v>89774</v>
      </c>
      <c r="O244" s="193">
        <v>0.68</v>
      </c>
      <c r="P244" s="202">
        <v>5589.5312999999996</v>
      </c>
      <c r="Q244" s="207">
        <v>23.6</v>
      </c>
      <c r="R244" s="208">
        <v>19.722000000000001</v>
      </c>
      <c r="S244" s="209">
        <f t="shared" si="0"/>
        <v>2.9817347639101373</v>
      </c>
      <c r="T244" s="210">
        <v>549</v>
      </c>
      <c r="U244" s="209">
        <f t="shared" si="1"/>
        <v>6.3080984415095305</v>
      </c>
      <c r="V244" s="198">
        <v>18.7</v>
      </c>
      <c r="W244" s="208">
        <v>5589.53</v>
      </c>
      <c r="X244" s="209">
        <f t="shared" si="2"/>
        <v>8.6286504839023461</v>
      </c>
    </row>
    <row r="245" spans="1:24">
      <c r="A245" s="199">
        <v>23</v>
      </c>
      <c r="B245" s="200" t="s">
        <v>9</v>
      </c>
      <c r="C245" s="200" t="s">
        <v>8</v>
      </c>
      <c r="D245" s="201">
        <v>2011</v>
      </c>
      <c r="E245" s="202">
        <v>18.235001</v>
      </c>
      <c r="F245" s="203">
        <v>0.97929999999999995</v>
      </c>
      <c r="G245" s="202">
        <v>526</v>
      </c>
      <c r="H245" s="187">
        <v>20.100000000000001</v>
      </c>
      <c r="I245" s="204">
        <v>83</v>
      </c>
      <c r="J245" s="203">
        <v>1.7</v>
      </c>
      <c r="K245" s="205">
        <v>17629</v>
      </c>
      <c r="L245" s="206">
        <v>0.60000001999999997</v>
      </c>
      <c r="M245" s="191">
        <v>1.6</v>
      </c>
      <c r="N245" s="192">
        <v>87587</v>
      </c>
      <c r="O245" s="193">
        <v>0.68</v>
      </c>
      <c r="P245" s="202">
        <v>5443.8306000000002</v>
      </c>
      <c r="Q245" s="207">
        <v>24.3</v>
      </c>
      <c r="R245" s="208">
        <v>18.234999999999999</v>
      </c>
      <c r="S245" s="209">
        <f t="shared" si="0"/>
        <v>2.9033428242606436</v>
      </c>
      <c r="T245" s="210">
        <v>526</v>
      </c>
      <c r="U245" s="209">
        <f t="shared" si="1"/>
        <v>6.2653012127377101</v>
      </c>
      <c r="V245" s="198">
        <v>20.100000000000001</v>
      </c>
      <c r="W245" s="208">
        <v>5443.83</v>
      </c>
      <c r="X245" s="209">
        <f t="shared" si="2"/>
        <v>8.602238136244841</v>
      </c>
    </row>
    <row r="246" spans="1:24">
      <c r="A246" s="199">
        <v>23</v>
      </c>
      <c r="B246" s="200" t="s">
        <v>9</v>
      </c>
      <c r="C246" s="200" t="s">
        <v>8</v>
      </c>
      <c r="D246" s="201">
        <v>2012</v>
      </c>
      <c r="E246" s="202">
        <v>16.080998999999998</v>
      </c>
      <c r="F246" s="203">
        <v>1.0243</v>
      </c>
      <c r="G246" s="202">
        <v>527</v>
      </c>
      <c r="H246" s="187">
        <v>26.1</v>
      </c>
      <c r="I246" s="204">
        <v>86.6</v>
      </c>
      <c r="J246" s="203">
        <v>2</v>
      </c>
      <c r="K246" s="205">
        <v>19036.900000000001</v>
      </c>
      <c r="L246" s="206">
        <v>0.60000001999999997</v>
      </c>
      <c r="M246" s="191">
        <v>1.5</v>
      </c>
      <c r="N246" s="192">
        <v>82546</v>
      </c>
      <c r="O246" s="193">
        <v>0.67</v>
      </c>
      <c r="P246" s="202">
        <v>5466.8407999999999</v>
      </c>
      <c r="Q246" s="207">
        <v>25.4</v>
      </c>
      <c r="R246" s="208">
        <v>16.081</v>
      </c>
      <c r="S246" s="209">
        <f t="shared" si="0"/>
        <v>2.7776384508718874</v>
      </c>
      <c r="T246" s="210">
        <v>527</v>
      </c>
      <c r="U246" s="209">
        <f t="shared" si="1"/>
        <v>6.2672005485413624</v>
      </c>
      <c r="V246" s="198">
        <v>26.1</v>
      </c>
      <c r="W246" s="208">
        <v>5466.84</v>
      </c>
      <c r="X246" s="209">
        <f t="shared" si="2"/>
        <v>8.6064560319585865</v>
      </c>
    </row>
    <row r="247" spans="1:24">
      <c r="A247" s="199">
        <v>23</v>
      </c>
      <c r="B247" s="200" t="s">
        <v>9</v>
      </c>
      <c r="C247" s="200" t="s">
        <v>8</v>
      </c>
      <c r="D247" s="201">
        <v>2013</v>
      </c>
      <c r="E247" s="202">
        <v>13.871</v>
      </c>
      <c r="F247" s="203">
        <v>1.1931</v>
      </c>
      <c r="G247" s="202">
        <v>523</v>
      </c>
      <c r="H247" s="187">
        <v>25.799999</v>
      </c>
      <c r="I247" s="204">
        <v>86.6</v>
      </c>
      <c r="J247" s="203">
        <v>2.5</v>
      </c>
      <c r="K247" s="205">
        <v>17528.8</v>
      </c>
      <c r="L247" s="206">
        <v>0.60000001999999997</v>
      </c>
      <c r="M247" s="191">
        <v>1.4</v>
      </c>
      <c r="N247" s="192">
        <v>79255</v>
      </c>
      <c r="O247" s="193">
        <v>0.67</v>
      </c>
      <c r="P247" s="202">
        <v>5890.4008999999996</v>
      </c>
      <c r="Q247" s="207">
        <v>28.8</v>
      </c>
      <c r="R247" s="208">
        <v>13.871</v>
      </c>
      <c r="S247" s="209">
        <f t="shared" si="0"/>
        <v>2.629800329781153</v>
      </c>
      <c r="T247" s="210">
        <v>523</v>
      </c>
      <c r="U247" s="209">
        <f t="shared" si="1"/>
        <v>6.2595814640649232</v>
      </c>
      <c r="V247" s="198">
        <v>25.8</v>
      </c>
      <c r="W247" s="208">
        <v>5890.4</v>
      </c>
      <c r="X247" s="209">
        <f t="shared" si="2"/>
        <v>8.6810791860545073</v>
      </c>
    </row>
    <row r="248" spans="1:24">
      <c r="A248" s="199">
        <v>23</v>
      </c>
      <c r="B248" s="200" t="s">
        <v>9</v>
      </c>
      <c r="C248" s="200" t="s">
        <v>8</v>
      </c>
      <c r="D248" s="201">
        <v>2014</v>
      </c>
      <c r="E248" s="202">
        <v>15.398999999999999</v>
      </c>
      <c r="F248" s="203">
        <v>1.0931999999999999</v>
      </c>
      <c r="G248" s="202">
        <v>520</v>
      </c>
      <c r="H248" s="187">
        <v>30.4</v>
      </c>
      <c r="I248" s="204">
        <v>76.900000000000006</v>
      </c>
      <c r="J248" s="203">
        <v>2.4</v>
      </c>
      <c r="K248" s="205">
        <v>19966.2</v>
      </c>
      <c r="L248" s="206">
        <v>0.69999999000000002</v>
      </c>
      <c r="M248" s="191">
        <v>1.4</v>
      </c>
      <c r="N248" s="192">
        <v>79264</v>
      </c>
      <c r="O248" s="193">
        <v>0.69</v>
      </c>
      <c r="P248" s="202">
        <v>5697.8456999999999</v>
      </c>
      <c r="Q248" s="207">
        <v>28.5</v>
      </c>
      <c r="R248" s="208">
        <v>15.398999999999999</v>
      </c>
      <c r="S248" s="209">
        <f t="shared" si="0"/>
        <v>2.7343025722462757</v>
      </c>
      <c r="T248" s="210">
        <v>520</v>
      </c>
      <c r="U248" s="209">
        <f t="shared" si="1"/>
        <v>6.253828811575473</v>
      </c>
      <c r="V248" s="198">
        <v>30.4</v>
      </c>
      <c r="W248" s="208">
        <v>5697.85</v>
      </c>
      <c r="X248" s="209">
        <f t="shared" si="2"/>
        <v>8.6478441896850189</v>
      </c>
    </row>
    <row r="249" spans="1:24">
      <c r="A249" s="199">
        <v>23</v>
      </c>
      <c r="B249" s="200" t="s">
        <v>9</v>
      </c>
      <c r="C249" s="200" t="s">
        <v>8</v>
      </c>
      <c r="D249" s="201">
        <v>2015</v>
      </c>
      <c r="E249" s="202">
        <v>16.191998999999999</v>
      </c>
      <c r="F249" s="203">
        <v>1.1097999999999999</v>
      </c>
      <c r="G249" s="202">
        <v>513</v>
      </c>
      <c r="H249" s="187">
        <v>29.799999</v>
      </c>
      <c r="I249" s="204">
        <v>78</v>
      </c>
      <c r="J249" s="203">
        <v>2.1</v>
      </c>
      <c r="K249" s="205">
        <v>25832.6</v>
      </c>
      <c r="L249" s="206">
        <v>0.80000000999999998</v>
      </c>
      <c r="M249" s="191">
        <v>1.5</v>
      </c>
      <c r="N249" s="192">
        <v>82202</v>
      </c>
      <c r="O249" s="193">
        <v>0.7</v>
      </c>
      <c r="P249" s="202">
        <v>6223.1187</v>
      </c>
      <c r="Q249" s="207">
        <v>30.3</v>
      </c>
      <c r="R249" s="208">
        <v>16.192</v>
      </c>
      <c r="S249" s="209">
        <f t="shared" si="0"/>
        <v>2.784517293105055</v>
      </c>
      <c r="T249" s="210">
        <v>513</v>
      </c>
      <c r="U249" s="209">
        <f t="shared" si="1"/>
        <v>6.2402758451707694</v>
      </c>
      <c r="V249" s="198">
        <v>29.8</v>
      </c>
      <c r="W249" s="208">
        <v>6223.12</v>
      </c>
      <c r="X249" s="209">
        <f t="shared" si="2"/>
        <v>8.7360266676871703</v>
      </c>
    </row>
    <row r="250" spans="1:24">
      <c r="A250" s="199">
        <v>23</v>
      </c>
      <c r="B250" s="200" t="s">
        <v>9</v>
      </c>
      <c r="C250" s="200" t="s">
        <v>8</v>
      </c>
      <c r="D250" s="201">
        <v>2016</v>
      </c>
      <c r="E250" s="202">
        <v>15.394</v>
      </c>
      <c r="F250" s="203">
        <v>1.1846000000000001</v>
      </c>
      <c r="G250" s="202">
        <v>511</v>
      </c>
      <c r="H250" s="187">
        <v>30.9</v>
      </c>
      <c r="I250" s="204">
        <v>82.1</v>
      </c>
      <c r="J250" s="203">
        <v>2.1</v>
      </c>
      <c r="K250" s="205">
        <v>30961.7</v>
      </c>
      <c r="L250" s="206">
        <v>0.80000000999999998</v>
      </c>
      <c r="M250" s="191">
        <v>1.5</v>
      </c>
      <c r="N250" s="192">
        <v>84026</v>
      </c>
      <c r="O250" s="193">
        <v>0.75</v>
      </c>
      <c r="P250" s="202">
        <v>5897.2084999999997</v>
      </c>
      <c r="Q250" s="207">
        <v>32.1</v>
      </c>
      <c r="R250" s="208">
        <v>15.394</v>
      </c>
      <c r="S250" s="209">
        <f t="shared" si="0"/>
        <v>2.7339778231121259</v>
      </c>
      <c r="T250" s="210">
        <v>511</v>
      </c>
      <c r="U250" s="209">
        <f t="shared" si="1"/>
        <v>6.2363695902037044</v>
      </c>
      <c r="V250" s="198">
        <v>30.9</v>
      </c>
      <c r="W250" s="208">
        <v>5897.21</v>
      </c>
      <c r="X250" s="209">
        <f t="shared" si="2"/>
        <v>8.6822346366942291</v>
      </c>
    </row>
    <row r="251" spans="1:24">
      <c r="A251" s="199">
        <v>23</v>
      </c>
      <c r="B251" s="200" t="s">
        <v>9</v>
      </c>
      <c r="C251" s="200" t="s">
        <v>8</v>
      </c>
      <c r="D251" s="201">
        <v>2017</v>
      </c>
      <c r="E251" s="202">
        <v>17.212999</v>
      </c>
      <c r="F251" s="203">
        <v>1.1186</v>
      </c>
      <c r="G251" s="202">
        <v>508</v>
      </c>
      <c r="H251" s="187">
        <v>29.1</v>
      </c>
      <c r="I251" s="204">
        <v>80.900000000000006</v>
      </c>
      <c r="J251" s="203">
        <v>2</v>
      </c>
      <c r="K251" s="205">
        <v>34223.5</v>
      </c>
      <c r="L251" s="206">
        <v>0.89999998000000003</v>
      </c>
      <c r="M251" s="191">
        <v>1.5</v>
      </c>
      <c r="N251" s="192">
        <v>93140</v>
      </c>
      <c r="O251" s="193">
        <v>0.76</v>
      </c>
      <c r="P251" s="202">
        <v>5542.2597999999998</v>
      </c>
      <c r="Q251" s="207">
        <v>31.2</v>
      </c>
      <c r="R251" s="208">
        <v>17.213000000000001</v>
      </c>
      <c r="S251" s="209">
        <f t="shared" si="0"/>
        <v>2.8456649122893687</v>
      </c>
      <c r="T251" s="210">
        <v>508</v>
      </c>
      <c r="U251" s="209">
        <f t="shared" si="1"/>
        <v>6.230481447578482</v>
      </c>
      <c r="V251" s="198">
        <v>29.1</v>
      </c>
      <c r="W251" s="208">
        <v>5542.26</v>
      </c>
      <c r="X251" s="209">
        <f t="shared" si="2"/>
        <v>8.6201576387937848</v>
      </c>
    </row>
    <row r="252" spans="1:24">
      <c r="A252" s="199">
        <v>23</v>
      </c>
      <c r="B252" s="200" t="s">
        <v>9</v>
      </c>
      <c r="C252" s="200" t="s">
        <v>8</v>
      </c>
      <c r="D252" s="201">
        <v>2018</v>
      </c>
      <c r="E252" s="202">
        <v>17.062999999999999</v>
      </c>
      <c r="F252" s="203">
        <v>1.1556</v>
      </c>
      <c r="G252" s="202">
        <v>533</v>
      </c>
      <c r="H252" s="187">
        <v>29.1</v>
      </c>
      <c r="I252" s="204">
        <v>73</v>
      </c>
      <c r="J252" s="203">
        <v>2.2000000000000002</v>
      </c>
      <c r="K252" s="205">
        <v>33186.1</v>
      </c>
      <c r="L252" s="206">
        <v>1</v>
      </c>
      <c r="M252" s="191">
        <v>1.6</v>
      </c>
      <c r="N252" s="192">
        <v>98264</v>
      </c>
      <c r="O252" s="193">
        <v>0.78</v>
      </c>
      <c r="P252" s="202">
        <v>4808.8842999999997</v>
      </c>
      <c r="Q252" s="207">
        <v>31.4</v>
      </c>
      <c r="R252" s="208">
        <v>17.062999999999999</v>
      </c>
      <c r="S252" s="209">
        <f t="shared" si="0"/>
        <v>2.8369123765451278</v>
      </c>
      <c r="T252" s="210">
        <v>533</v>
      </c>
      <c r="U252" s="209">
        <f t="shared" si="1"/>
        <v>6.2785214241658442</v>
      </c>
      <c r="V252" s="198">
        <v>29.1</v>
      </c>
      <c r="W252" s="208">
        <v>4808.88</v>
      </c>
      <c r="X252" s="209">
        <f t="shared" si="2"/>
        <v>8.4782194877536003</v>
      </c>
    </row>
    <row r="253" spans="1:24">
      <c r="A253" s="199">
        <v>23</v>
      </c>
      <c r="B253" s="200" t="s">
        <v>9</v>
      </c>
      <c r="C253" s="200" t="s">
        <v>8</v>
      </c>
      <c r="D253" s="201">
        <v>2019</v>
      </c>
      <c r="E253" s="202">
        <v>17.274000000000001</v>
      </c>
      <c r="F253" s="203">
        <v>1.1740999999999999</v>
      </c>
      <c r="G253" s="202">
        <v>515</v>
      </c>
      <c r="H253" s="187">
        <v>28.9</v>
      </c>
      <c r="I253" s="204">
        <v>78.5</v>
      </c>
      <c r="J253" s="203">
        <v>2.2999999999999998</v>
      </c>
      <c r="K253" s="205">
        <v>26752.7</v>
      </c>
      <c r="L253" s="206">
        <v>1</v>
      </c>
      <c r="M253" s="191">
        <v>1.5</v>
      </c>
      <c r="N253" s="192">
        <v>90728</v>
      </c>
      <c r="O253" s="193">
        <v>0.78</v>
      </c>
      <c r="P253" s="202">
        <v>4075.5088000000001</v>
      </c>
      <c r="Q253" s="207">
        <v>30.7</v>
      </c>
      <c r="R253" s="208">
        <v>17.274000000000001</v>
      </c>
      <c r="S253" s="209">
        <f t="shared" si="0"/>
        <v>2.8492024808580938</v>
      </c>
      <c r="T253" s="210">
        <v>515</v>
      </c>
      <c r="U253" s="209">
        <f t="shared" si="1"/>
        <v>6.2441669006637364</v>
      </c>
      <c r="V253" s="198">
        <v>28.9</v>
      </c>
      <c r="W253" s="208"/>
      <c r="X253" s="209" t="e">
        <f t="shared" si="2"/>
        <v>#NUM!</v>
      </c>
    </row>
    <row r="254" spans="1:24">
      <c r="A254" s="199">
        <v>23</v>
      </c>
      <c r="B254" s="200" t="s">
        <v>9</v>
      </c>
      <c r="C254" s="200" t="s">
        <v>8</v>
      </c>
      <c r="D254" s="201">
        <v>2020</v>
      </c>
      <c r="E254" s="202">
        <v>15.542</v>
      </c>
      <c r="F254" s="203">
        <v>1.1983999999999999</v>
      </c>
      <c r="G254" s="202">
        <v>473</v>
      </c>
      <c r="H254" s="187">
        <v>26.799999</v>
      </c>
      <c r="I254" s="204">
        <v>62.9</v>
      </c>
      <c r="J254" s="203">
        <v>2.5</v>
      </c>
      <c r="K254" s="205">
        <v>12289.4</v>
      </c>
      <c r="L254" s="206">
        <v>0.89999998000000003</v>
      </c>
      <c r="M254" s="191">
        <v>1.5</v>
      </c>
      <c r="N254" s="192">
        <v>85587</v>
      </c>
      <c r="O254" s="193">
        <v>0.79</v>
      </c>
      <c r="P254" s="202">
        <v>3342.1333</v>
      </c>
      <c r="Q254" s="207">
        <v>30.4</v>
      </c>
      <c r="R254" s="208">
        <v>15.542</v>
      </c>
      <c r="S254" s="209">
        <f t="shared" si="0"/>
        <v>2.7435460367870506</v>
      </c>
      <c r="T254" s="210">
        <v>473</v>
      </c>
      <c r="U254" s="209">
        <f t="shared" si="1"/>
        <v>6.1590953884919326</v>
      </c>
      <c r="V254" s="198">
        <v>26.8</v>
      </c>
      <c r="W254" s="208"/>
      <c r="X254" s="209" t="e">
        <f t="shared" si="2"/>
        <v>#NUM!</v>
      </c>
    </row>
    <row r="255" spans="1:24">
      <c r="A255" s="199">
        <v>24</v>
      </c>
      <c r="B255" s="200" t="s">
        <v>7</v>
      </c>
      <c r="C255" s="200" t="s">
        <v>6</v>
      </c>
      <c r="D255" s="201">
        <v>2010</v>
      </c>
      <c r="E255" s="202">
        <v>13.743</v>
      </c>
      <c r="F255" s="203">
        <v>0.50819999999999999</v>
      </c>
      <c r="G255" s="202">
        <v>316</v>
      </c>
      <c r="H255" s="187">
        <v>12.8</v>
      </c>
      <c r="I255" s="204">
        <v>84.7</v>
      </c>
      <c r="J255" s="203">
        <v>3.5</v>
      </c>
      <c r="K255" s="205">
        <v>67.7</v>
      </c>
      <c r="L255" s="206">
        <v>0.69999999000000002</v>
      </c>
      <c r="M255" s="191">
        <v>1.4000001</v>
      </c>
      <c r="N255" s="192">
        <v>77071</v>
      </c>
      <c r="O255" s="193">
        <v>0.87</v>
      </c>
      <c r="P255" s="202">
        <v>5669.8887000000004</v>
      </c>
      <c r="Q255" s="207">
        <v>12.1</v>
      </c>
      <c r="R255" s="208">
        <v>13.743</v>
      </c>
      <c r="S255" s="209">
        <f t="shared" si="0"/>
        <v>2.6205296035727148</v>
      </c>
      <c r="T255" s="210">
        <v>316</v>
      </c>
      <c r="U255" s="209">
        <f t="shared" si="1"/>
        <v>5.7557422135869123</v>
      </c>
      <c r="V255" s="198">
        <v>12.8</v>
      </c>
      <c r="W255" s="208">
        <v>5669.89</v>
      </c>
      <c r="X255" s="209">
        <f t="shared" si="2"/>
        <v>8.6429249961808754</v>
      </c>
    </row>
    <row r="256" spans="1:24">
      <c r="A256" s="199">
        <v>24</v>
      </c>
      <c r="B256" s="200" t="s">
        <v>7</v>
      </c>
      <c r="C256" s="200" t="s">
        <v>6</v>
      </c>
      <c r="D256" s="201">
        <v>2011</v>
      </c>
      <c r="E256" s="202">
        <v>19.274000000000001</v>
      </c>
      <c r="F256" s="203">
        <v>0.38300000000000001</v>
      </c>
      <c r="G256" s="202">
        <v>319</v>
      </c>
      <c r="H256" s="187">
        <v>11.7</v>
      </c>
      <c r="I256" s="204">
        <v>85.1</v>
      </c>
      <c r="J256" s="203">
        <v>2.5</v>
      </c>
      <c r="K256" s="205">
        <v>137.6</v>
      </c>
      <c r="L256" s="206">
        <v>0.59999999000000004</v>
      </c>
      <c r="M256" s="191">
        <v>1.3000001000000001</v>
      </c>
      <c r="N256" s="192">
        <v>81120</v>
      </c>
      <c r="O256" s="193">
        <v>0.84</v>
      </c>
      <c r="P256" s="202">
        <v>5157.2583000000004</v>
      </c>
      <c r="Q256" s="207">
        <v>9.1999999999999993</v>
      </c>
      <c r="R256" s="208">
        <v>19.274000000000001</v>
      </c>
      <c r="S256" s="209">
        <f t="shared" si="0"/>
        <v>2.9587570374290957</v>
      </c>
      <c r="T256" s="210">
        <v>319</v>
      </c>
      <c r="U256" s="209">
        <f t="shared" si="1"/>
        <v>5.7651911027848444</v>
      </c>
      <c r="V256" s="198">
        <v>11.7</v>
      </c>
      <c r="W256" s="208">
        <v>5157.26</v>
      </c>
      <c r="X256" s="209">
        <f t="shared" si="2"/>
        <v>8.5481607096891246</v>
      </c>
    </row>
    <row r="257" spans="1:24">
      <c r="A257" s="199">
        <v>24</v>
      </c>
      <c r="B257" s="200" t="s">
        <v>7</v>
      </c>
      <c r="C257" s="200" t="s">
        <v>6</v>
      </c>
      <c r="D257" s="201">
        <v>2012</v>
      </c>
      <c r="E257" s="202">
        <v>17.934000000000001</v>
      </c>
      <c r="F257" s="203">
        <v>0.4143</v>
      </c>
      <c r="G257" s="202">
        <v>317</v>
      </c>
      <c r="H257" s="187">
        <v>14.8</v>
      </c>
      <c r="I257" s="204">
        <v>84.3</v>
      </c>
      <c r="J257" s="203">
        <v>2.6</v>
      </c>
      <c r="K257" s="205">
        <v>674.4</v>
      </c>
      <c r="L257" s="206">
        <v>0.5</v>
      </c>
      <c r="M257" s="191">
        <v>1.2</v>
      </c>
      <c r="N257" s="192">
        <v>84408</v>
      </c>
      <c r="O257" s="193">
        <v>0.82</v>
      </c>
      <c r="P257" s="202">
        <v>5183.4731000000002</v>
      </c>
      <c r="Q257" s="207">
        <v>9.8000000000000007</v>
      </c>
      <c r="R257" s="208">
        <v>17.934000000000001</v>
      </c>
      <c r="S257" s="209">
        <f t="shared" ref="S257:S298" si="3">LN(R257)</f>
        <v>2.886698352529856</v>
      </c>
      <c r="T257" s="210">
        <v>317</v>
      </c>
      <c r="U257" s="209">
        <f t="shared" ref="U257:U298" si="4">LN(T257)</f>
        <v>5.7589017738772803</v>
      </c>
      <c r="V257" s="198">
        <v>14.8</v>
      </c>
      <c r="W257" s="208">
        <v>5183.47</v>
      </c>
      <c r="X257" s="209">
        <f t="shared" ref="X257:X298" si="5">LN(W257)</f>
        <v>8.553229995151165</v>
      </c>
    </row>
    <row r="258" spans="1:24">
      <c r="A258" s="199">
        <v>24</v>
      </c>
      <c r="B258" s="200" t="s">
        <v>7</v>
      </c>
      <c r="C258" s="200" t="s">
        <v>6</v>
      </c>
      <c r="D258" s="201">
        <v>2013</v>
      </c>
      <c r="E258" s="202">
        <v>17.716999000000001</v>
      </c>
      <c r="F258" s="203">
        <v>0.41710000000000003</v>
      </c>
      <c r="G258" s="202">
        <v>297</v>
      </c>
      <c r="H258" s="187">
        <v>13.2</v>
      </c>
      <c r="I258" s="204">
        <v>86.7</v>
      </c>
      <c r="J258" s="203">
        <v>2.5</v>
      </c>
      <c r="K258" s="205">
        <v>598.29999999999995</v>
      </c>
      <c r="L258" s="206">
        <v>0.40000001000000002</v>
      </c>
      <c r="M258" s="191">
        <v>1.1000000000000001</v>
      </c>
      <c r="N258" s="192">
        <v>84826</v>
      </c>
      <c r="O258" s="193">
        <v>0.83</v>
      </c>
      <c r="P258" s="202">
        <v>5139.7002000000002</v>
      </c>
      <c r="Q258" s="207">
        <v>9.1999999999999993</v>
      </c>
      <c r="R258" s="208">
        <v>17.716999999999999</v>
      </c>
      <c r="S258" s="209">
        <f t="shared" si="3"/>
        <v>2.8745246306183003</v>
      </c>
      <c r="T258" s="210">
        <v>297</v>
      </c>
      <c r="U258" s="209">
        <f t="shared" si="4"/>
        <v>5.6937321388026998</v>
      </c>
      <c r="V258" s="198">
        <v>13.2</v>
      </c>
      <c r="W258" s="208">
        <v>5139.7</v>
      </c>
      <c r="X258" s="209">
        <f t="shared" si="5"/>
        <v>8.5447499909871087</v>
      </c>
    </row>
    <row r="259" spans="1:24">
      <c r="A259" s="199">
        <v>24</v>
      </c>
      <c r="B259" s="200" t="s">
        <v>7</v>
      </c>
      <c r="C259" s="200" t="s">
        <v>6</v>
      </c>
      <c r="D259" s="201">
        <v>2014</v>
      </c>
      <c r="E259" s="202">
        <v>18.603999999999999</v>
      </c>
      <c r="F259" s="203">
        <v>0.41770000000000002</v>
      </c>
      <c r="G259" s="202">
        <v>272</v>
      </c>
      <c r="H259" s="187">
        <v>13.1</v>
      </c>
      <c r="I259" s="204">
        <v>87.3</v>
      </c>
      <c r="J259" s="203">
        <v>2.1</v>
      </c>
      <c r="K259" s="205">
        <v>186.1</v>
      </c>
      <c r="L259" s="206">
        <v>0.89999998000000003</v>
      </c>
      <c r="M259" s="191">
        <v>1</v>
      </c>
      <c r="N259" s="192">
        <v>82744</v>
      </c>
      <c r="O259" s="193">
        <v>0.86</v>
      </c>
      <c r="P259" s="202">
        <v>5050.1478999999999</v>
      </c>
      <c r="Q259" s="207">
        <v>9.4</v>
      </c>
      <c r="R259" s="208">
        <v>18.603999999999999</v>
      </c>
      <c r="S259" s="209">
        <f t="shared" si="3"/>
        <v>2.9233766113618507</v>
      </c>
      <c r="T259" s="210">
        <v>272</v>
      </c>
      <c r="U259" s="209">
        <f t="shared" si="4"/>
        <v>5.6058020662959978</v>
      </c>
      <c r="V259" s="198">
        <v>13.1</v>
      </c>
      <c r="W259" s="208">
        <v>5050.1499999999996</v>
      </c>
      <c r="X259" s="209">
        <f t="shared" si="5"/>
        <v>8.5271732247985774</v>
      </c>
    </row>
    <row r="260" spans="1:24">
      <c r="A260" s="199">
        <v>24</v>
      </c>
      <c r="B260" s="200" t="s">
        <v>7</v>
      </c>
      <c r="C260" s="200" t="s">
        <v>6</v>
      </c>
      <c r="D260" s="201">
        <v>2015</v>
      </c>
      <c r="E260" s="202">
        <v>22.422001000000002</v>
      </c>
      <c r="F260" s="203">
        <v>0.36099999999999999</v>
      </c>
      <c r="G260" s="202">
        <v>286</v>
      </c>
      <c r="H260" s="187">
        <v>13.3</v>
      </c>
      <c r="I260" s="204">
        <v>66</v>
      </c>
      <c r="J260" s="203">
        <v>1.7</v>
      </c>
      <c r="K260" s="205">
        <v>131.1</v>
      </c>
      <c r="L260" s="206">
        <v>0.60000001999999997</v>
      </c>
      <c r="M260" s="191">
        <v>1</v>
      </c>
      <c r="N260" s="192">
        <v>84244</v>
      </c>
      <c r="O260" s="193">
        <v>0.87</v>
      </c>
      <c r="P260" s="202">
        <v>5183.3456999999999</v>
      </c>
      <c r="Q260" s="207">
        <v>9.3000000000000007</v>
      </c>
      <c r="R260" s="208">
        <v>22.422000000000001</v>
      </c>
      <c r="S260" s="209">
        <f t="shared" si="3"/>
        <v>3.1100426197314017</v>
      </c>
      <c r="T260" s="210">
        <v>286</v>
      </c>
      <c r="U260" s="209">
        <f t="shared" si="4"/>
        <v>5.6559918108198524</v>
      </c>
      <c r="V260" s="198">
        <v>13.3</v>
      </c>
      <c r="W260" s="208">
        <v>5183.3500000000004</v>
      </c>
      <c r="X260" s="209">
        <f t="shared" si="5"/>
        <v>8.5532068443681855</v>
      </c>
    </row>
    <row r="261" spans="1:24">
      <c r="A261" s="199">
        <v>24</v>
      </c>
      <c r="B261" s="200" t="s">
        <v>7</v>
      </c>
      <c r="C261" s="200" t="s">
        <v>6</v>
      </c>
      <c r="D261" s="201">
        <v>2016</v>
      </c>
      <c r="E261" s="202">
        <v>23.004000000000001</v>
      </c>
      <c r="F261" s="203">
        <v>0.36680000000000001</v>
      </c>
      <c r="G261" s="202">
        <v>307</v>
      </c>
      <c r="H261" s="187">
        <v>13.4</v>
      </c>
      <c r="I261" s="204">
        <v>74</v>
      </c>
      <c r="J261" s="203">
        <v>1.7</v>
      </c>
      <c r="K261" s="205">
        <v>149.30000000000001</v>
      </c>
      <c r="L261" s="206">
        <v>0.5</v>
      </c>
      <c r="M261" s="191">
        <v>1.1000000000000001</v>
      </c>
      <c r="N261" s="192">
        <v>85799</v>
      </c>
      <c r="O261" s="193">
        <v>0.91</v>
      </c>
      <c r="P261" s="202">
        <v>5216.1318000000001</v>
      </c>
      <c r="Q261" s="207">
        <v>10</v>
      </c>
      <c r="R261" s="208">
        <v>23.004000000000001</v>
      </c>
      <c r="S261" s="209">
        <f t="shared" si="3"/>
        <v>3.1356681138515077</v>
      </c>
      <c r="T261" s="210">
        <v>307</v>
      </c>
      <c r="U261" s="209">
        <f t="shared" si="4"/>
        <v>5.7268477475871968</v>
      </c>
      <c r="V261" s="198">
        <v>13.4</v>
      </c>
      <c r="W261" s="208">
        <v>5216.13</v>
      </c>
      <c r="X261" s="209">
        <f t="shared" si="5"/>
        <v>8.5595110266087922</v>
      </c>
    </row>
    <row r="262" spans="1:24">
      <c r="A262" s="199">
        <v>24</v>
      </c>
      <c r="B262" s="200" t="s">
        <v>7</v>
      </c>
      <c r="C262" s="200" t="s">
        <v>6</v>
      </c>
      <c r="D262" s="201">
        <v>2017</v>
      </c>
      <c r="E262" s="202">
        <v>21.59</v>
      </c>
      <c r="F262" s="203">
        <v>0.42920000000000003</v>
      </c>
      <c r="G262" s="202">
        <v>315</v>
      </c>
      <c r="H262" s="187">
        <v>14</v>
      </c>
      <c r="I262" s="204">
        <v>83.4</v>
      </c>
      <c r="J262" s="203">
        <v>1.8</v>
      </c>
      <c r="K262" s="205">
        <v>75.400000000000006</v>
      </c>
      <c r="L262" s="206">
        <v>0.60000001999999997</v>
      </c>
      <c r="M262" s="191">
        <v>1.1000000000000001</v>
      </c>
      <c r="N262" s="192">
        <v>86361</v>
      </c>
      <c r="O262" s="193">
        <v>0.96</v>
      </c>
      <c r="P262" s="202">
        <v>5067.7749000000003</v>
      </c>
      <c r="Q262" s="207">
        <v>10.8</v>
      </c>
      <c r="R262" s="208">
        <v>21.59</v>
      </c>
      <c r="S262" s="209">
        <f t="shared" si="3"/>
        <v>3.072230244526716</v>
      </c>
      <c r="T262" s="210">
        <v>315</v>
      </c>
      <c r="U262" s="209">
        <f t="shared" si="4"/>
        <v>5.7525726388256331</v>
      </c>
      <c r="V262" s="198">
        <v>14</v>
      </c>
      <c r="W262" s="208">
        <v>5067.7700000000004</v>
      </c>
      <c r="X262" s="209">
        <f t="shared" si="5"/>
        <v>8.530656157617198</v>
      </c>
    </row>
    <row r="263" spans="1:24">
      <c r="A263" s="199">
        <v>24</v>
      </c>
      <c r="B263" s="200" t="s">
        <v>7</v>
      </c>
      <c r="C263" s="200" t="s">
        <v>6</v>
      </c>
      <c r="D263" s="201">
        <v>2018</v>
      </c>
      <c r="E263" s="202">
        <v>23.417000000000002</v>
      </c>
      <c r="F263" s="203">
        <v>0.4224</v>
      </c>
      <c r="G263" s="202">
        <v>329</v>
      </c>
      <c r="H263" s="187">
        <v>11.1</v>
      </c>
      <c r="I263" s="204">
        <v>83.1</v>
      </c>
      <c r="J263" s="203">
        <v>1.6</v>
      </c>
      <c r="K263" s="205">
        <v>155.1</v>
      </c>
      <c r="L263" s="206">
        <v>0.40000001000000002</v>
      </c>
      <c r="M263" s="191">
        <v>1.1000000000000001</v>
      </c>
      <c r="N263" s="192">
        <v>86347</v>
      </c>
      <c r="O263" s="193">
        <v>1</v>
      </c>
      <c r="P263" s="202">
        <v>4851.9076999999997</v>
      </c>
      <c r="Q263" s="207">
        <v>10.7</v>
      </c>
      <c r="R263" s="208">
        <v>23.417000000000002</v>
      </c>
      <c r="S263" s="209">
        <f t="shared" si="3"/>
        <v>3.1534622543198756</v>
      </c>
      <c r="T263" s="210">
        <v>329</v>
      </c>
      <c r="U263" s="209">
        <f t="shared" si="4"/>
        <v>5.7960577507653719</v>
      </c>
      <c r="V263" s="198">
        <v>11.1</v>
      </c>
      <c r="W263" s="208">
        <v>4851.91</v>
      </c>
      <c r="X263" s="209">
        <f t="shared" si="5"/>
        <v>8.4871277208399682</v>
      </c>
    </row>
    <row r="264" spans="1:24">
      <c r="A264" s="199">
        <v>24</v>
      </c>
      <c r="B264" s="200" t="s">
        <v>7</v>
      </c>
      <c r="C264" s="200" t="s">
        <v>6</v>
      </c>
      <c r="D264" s="201">
        <v>2019</v>
      </c>
      <c r="E264" s="202">
        <v>27.959999</v>
      </c>
      <c r="F264" s="203">
        <v>0.36840000000000001</v>
      </c>
      <c r="G264" s="202">
        <v>336</v>
      </c>
      <c r="H264" s="187">
        <v>11.5</v>
      </c>
      <c r="I264" s="204">
        <v>81.5</v>
      </c>
      <c r="J264" s="203">
        <v>1.4</v>
      </c>
      <c r="K264" s="205">
        <v>428.6</v>
      </c>
      <c r="L264" s="206">
        <v>0.5</v>
      </c>
      <c r="M264" s="191">
        <v>1.1000000000000001</v>
      </c>
      <c r="N264" s="192">
        <v>90179</v>
      </c>
      <c r="O264" s="193">
        <v>1.03</v>
      </c>
      <c r="P264" s="202">
        <v>4636.0405000000001</v>
      </c>
      <c r="Q264" s="207">
        <v>9.5</v>
      </c>
      <c r="R264" s="208">
        <v>27.96</v>
      </c>
      <c r="S264" s="209">
        <f t="shared" si="3"/>
        <v>3.3307749173656096</v>
      </c>
      <c r="T264" s="210">
        <v>336</v>
      </c>
      <c r="U264" s="209">
        <f t="shared" si="4"/>
        <v>5.8171111599632042</v>
      </c>
      <c r="V264" s="198">
        <v>11.5</v>
      </c>
      <c r="W264" s="208"/>
      <c r="X264" s="209" t="e">
        <f t="shared" si="5"/>
        <v>#NUM!</v>
      </c>
    </row>
    <row r="265" spans="1:24">
      <c r="A265" s="199">
        <v>24</v>
      </c>
      <c r="B265" s="200" t="s">
        <v>7</v>
      </c>
      <c r="C265" s="200" t="s">
        <v>6</v>
      </c>
      <c r="D265" s="201">
        <v>2020</v>
      </c>
      <c r="E265" s="202">
        <v>29.370999999999999</v>
      </c>
      <c r="F265" s="203">
        <v>0.3448</v>
      </c>
      <c r="G265" s="202">
        <v>346</v>
      </c>
      <c r="H265" s="187">
        <v>11.9</v>
      </c>
      <c r="I265" s="204">
        <v>76</v>
      </c>
      <c r="J265" s="203">
        <v>1.5</v>
      </c>
      <c r="K265" s="205">
        <v>557.29999999999995</v>
      </c>
      <c r="L265" s="206">
        <v>0.5</v>
      </c>
      <c r="M265" s="191">
        <v>1</v>
      </c>
      <c r="N265" s="192">
        <v>88583</v>
      </c>
      <c r="O265" s="193">
        <v>0.95</v>
      </c>
      <c r="P265" s="202">
        <v>4420.1733000000004</v>
      </c>
      <c r="Q265" s="207">
        <v>9.3000000000000007</v>
      </c>
      <c r="R265" s="208">
        <v>29.370999999999999</v>
      </c>
      <c r="S265" s="209">
        <f t="shared" si="3"/>
        <v>3.3800077929795518</v>
      </c>
      <c r="T265" s="210">
        <v>346</v>
      </c>
      <c r="U265" s="209">
        <f t="shared" si="4"/>
        <v>5.8464387750577247</v>
      </c>
      <c r="V265" s="198">
        <v>11.9</v>
      </c>
      <c r="W265" s="208"/>
      <c r="X265" s="209" t="e">
        <f t="shared" si="5"/>
        <v>#NUM!</v>
      </c>
    </row>
    <row r="266" spans="1:24">
      <c r="A266" s="199">
        <v>25</v>
      </c>
      <c r="B266" s="200" t="s">
        <v>114</v>
      </c>
      <c r="C266" s="200" t="s">
        <v>115</v>
      </c>
      <c r="D266" s="201">
        <v>2010</v>
      </c>
      <c r="E266" s="202">
        <v>22.777999999999999</v>
      </c>
      <c r="F266" s="203">
        <v>1.9827999999999999</v>
      </c>
      <c r="G266" s="202">
        <v>518</v>
      </c>
      <c r="H266" s="187">
        <v>47.799999</v>
      </c>
      <c r="I266" s="204">
        <v>83.9</v>
      </c>
      <c r="J266" s="203">
        <v>7.2</v>
      </c>
      <c r="K266" s="205">
        <v>82.3</v>
      </c>
      <c r="L266" s="206">
        <v>0.40000001000000002</v>
      </c>
      <c r="M266" s="191">
        <v>1.3</v>
      </c>
      <c r="N266" s="192">
        <v>69105</v>
      </c>
      <c r="O266" s="193">
        <v>0.56000000000000005</v>
      </c>
      <c r="P266" s="202">
        <v>5194.0454</v>
      </c>
      <c r="Q266" s="207">
        <v>27.6</v>
      </c>
      <c r="R266" s="208">
        <v>22.777999999999999</v>
      </c>
      <c r="S266" s="209">
        <f t="shared" si="3"/>
        <v>3.1257951578521594</v>
      </c>
      <c r="T266" s="210">
        <v>518</v>
      </c>
      <c r="U266" s="209">
        <f t="shared" si="4"/>
        <v>6.2499752422594828</v>
      </c>
      <c r="V266" s="198">
        <v>47.8</v>
      </c>
      <c r="W266" s="208">
        <v>5194.05</v>
      </c>
      <c r="X266" s="209">
        <f t="shared" si="5"/>
        <v>8.555269018668465</v>
      </c>
    </row>
    <row r="267" spans="1:24">
      <c r="A267" s="199">
        <v>25</v>
      </c>
      <c r="B267" s="200" t="s">
        <v>114</v>
      </c>
      <c r="C267" s="200" t="s">
        <v>115</v>
      </c>
      <c r="D267" s="201">
        <v>2011</v>
      </c>
      <c r="E267" s="202">
        <v>24.24</v>
      </c>
      <c r="F267" s="203">
        <v>1.9406000000000001</v>
      </c>
      <c r="G267" s="202">
        <v>520</v>
      </c>
      <c r="H267" s="187">
        <v>47</v>
      </c>
      <c r="I267" s="204">
        <v>83.6</v>
      </c>
      <c r="J267" s="203">
        <v>7.6</v>
      </c>
      <c r="K267" s="205">
        <v>122.8</v>
      </c>
      <c r="L267" s="206">
        <v>0.40000001000000002</v>
      </c>
      <c r="M267" s="191">
        <v>1.4</v>
      </c>
      <c r="N267" s="192">
        <v>74573</v>
      </c>
      <c r="O267" s="193">
        <v>0.56999999999999995</v>
      </c>
      <c r="P267" s="202">
        <v>5013.1665000000003</v>
      </c>
      <c r="Q267" s="207">
        <v>26.9</v>
      </c>
      <c r="R267" s="208">
        <v>24.24</v>
      </c>
      <c r="S267" s="209">
        <f t="shared" si="3"/>
        <v>3.1880041612011136</v>
      </c>
      <c r="T267" s="210">
        <v>520</v>
      </c>
      <c r="U267" s="209">
        <f t="shared" si="4"/>
        <v>6.253828811575473</v>
      </c>
      <c r="V267" s="198">
        <v>47</v>
      </c>
      <c r="W267" s="208">
        <v>5013.17</v>
      </c>
      <c r="X267" s="209">
        <f t="shared" si="5"/>
        <v>8.5198237285177552</v>
      </c>
    </row>
    <row r="268" spans="1:24">
      <c r="A268" s="199">
        <v>25</v>
      </c>
      <c r="B268" s="200" t="s">
        <v>114</v>
      </c>
      <c r="C268" s="200" t="s">
        <v>115</v>
      </c>
      <c r="D268" s="201">
        <v>2012</v>
      </c>
      <c r="E268" s="202">
        <v>23.094999000000001</v>
      </c>
      <c r="F268" s="203">
        <v>1.9404999999999999</v>
      </c>
      <c r="G268" s="202">
        <v>516</v>
      </c>
      <c r="H268" s="187">
        <v>46.900002000000001</v>
      </c>
      <c r="I268" s="204">
        <v>84.3</v>
      </c>
      <c r="J268" s="203">
        <v>8.1999999999999993</v>
      </c>
      <c r="K268" s="205">
        <v>71.2</v>
      </c>
      <c r="L268" s="206">
        <v>0.40000001000000002</v>
      </c>
      <c r="M268" s="191">
        <v>1.5</v>
      </c>
      <c r="N268" s="192">
        <v>74598</v>
      </c>
      <c r="O268" s="193">
        <v>0.56999999999999995</v>
      </c>
      <c r="P268" s="202">
        <v>4817.7938999999997</v>
      </c>
      <c r="Q268" s="207">
        <v>26.3</v>
      </c>
      <c r="R268" s="208">
        <v>23.094999999999999</v>
      </c>
      <c r="S268" s="209">
        <f t="shared" si="3"/>
        <v>3.1396161438825687</v>
      </c>
      <c r="T268" s="210">
        <v>516</v>
      </c>
      <c r="U268" s="209">
        <f t="shared" si="4"/>
        <v>6.2461067654815627</v>
      </c>
      <c r="V268" s="198">
        <v>46.9</v>
      </c>
      <c r="W268" s="208">
        <v>4817.79</v>
      </c>
      <c r="X268" s="209">
        <f t="shared" si="5"/>
        <v>8.4800705956744586</v>
      </c>
    </row>
    <row r="269" spans="1:24">
      <c r="A269" s="199">
        <v>25</v>
      </c>
      <c r="B269" s="200" t="s">
        <v>114</v>
      </c>
      <c r="C269" s="200" t="s">
        <v>115</v>
      </c>
      <c r="D269" s="201">
        <v>2013</v>
      </c>
      <c r="E269" s="202">
        <v>24.889999</v>
      </c>
      <c r="F269" s="203">
        <v>1.9071</v>
      </c>
      <c r="G269" s="202">
        <v>490</v>
      </c>
      <c r="H269" s="187">
        <v>48.200001</v>
      </c>
      <c r="I269" s="204">
        <v>83.7</v>
      </c>
      <c r="J269" s="203">
        <v>7.2</v>
      </c>
      <c r="K269" s="205">
        <v>43.2</v>
      </c>
      <c r="L269" s="206">
        <v>0.40000001000000002</v>
      </c>
      <c r="M269" s="191">
        <v>1.6</v>
      </c>
      <c r="N269" s="192">
        <v>74963</v>
      </c>
      <c r="O269" s="193">
        <v>0.59</v>
      </c>
      <c r="P269" s="202">
        <v>4805.3521000000001</v>
      </c>
      <c r="Q269" s="207">
        <v>24.9</v>
      </c>
      <c r="R269" s="208">
        <v>24.89</v>
      </c>
      <c r="S269" s="209">
        <f t="shared" si="3"/>
        <v>3.2144661163795005</v>
      </c>
      <c r="T269" s="210">
        <v>490</v>
      </c>
      <c r="U269" s="209">
        <f t="shared" si="4"/>
        <v>6.1944053911046719</v>
      </c>
      <c r="V269" s="198">
        <v>48.2</v>
      </c>
      <c r="W269" s="208">
        <v>4805.3500000000004</v>
      </c>
      <c r="X269" s="209">
        <f t="shared" si="5"/>
        <v>8.4774851595424749</v>
      </c>
    </row>
    <row r="270" spans="1:24">
      <c r="A270" s="199">
        <v>25</v>
      </c>
      <c r="B270" s="200" t="s">
        <v>114</v>
      </c>
      <c r="C270" s="200" t="s">
        <v>115</v>
      </c>
      <c r="D270" s="201">
        <v>2014</v>
      </c>
      <c r="E270" s="202">
        <v>23.040001</v>
      </c>
      <c r="F270" s="203">
        <v>1.9057999999999999</v>
      </c>
      <c r="G270" s="202">
        <v>453</v>
      </c>
      <c r="H270" s="187">
        <v>49.299999</v>
      </c>
      <c r="I270" s="204">
        <v>84.1</v>
      </c>
      <c r="J270" s="203">
        <v>6.4</v>
      </c>
      <c r="K270" s="205">
        <v>20.8</v>
      </c>
      <c r="L270" s="206">
        <v>0.40000001000000002</v>
      </c>
      <c r="M270" s="191">
        <v>1.4</v>
      </c>
      <c r="N270" s="192">
        <v>75670</v>
      </c>
      <c r="O270" s="193">
        <v>0.6</v>
      </c>
      <c r="P270" s="202">
        <v>4866.1522999999997</v>
      </c>
      <c r="Q270" s="207">
        <v>25.4</v>
      </c>
      <c r="R270" s="208">
        <v>23.04</v>
      </c>
      <c r="S270" s="209">
        <f t="shared" si="3"/>
        <v>3.1372318358276905</v>
      </c>
      <c r="T270" s="210">
        <v>453</v>
      </c>
      <c r="U270" s="209">
        <f t="shared" si="4"/>
        <v>6.1158921254830343</v>
      </c>
      <c r="V270" s="198">
        <v>49.3</v>
      </c>
      <c r="W270" s="208">
        <v>4866.1499999999996</v>
      </c>
      <c r="X270" s="209">
        <f t="shared" si="5"/>
        <v>8.490058349008919</v>
      </c>
    </row>
    <row r="271" spans="1:24">
      <c r="A271" s="199">
        <v>25</v>
      </c>
      <c r="B271" s="200" t="s">
        <v>114</v>
      </c>
      <c r="C271" s="200" t="s">
        <v>115</v>
      </c>
      <c r="D271" s="201">
        <v>2015</v>
      </c>
      <c r="E271" s="202">
        <v>23.094000000000001</v>
      </c>
      <c r="F271" s="203">
        <v>2.0114000000000001</v>
      </c>
      <c r="G271" s="202">
        <v>439</v>
      </c>
      <c r="H271" s="187">
        <v>47.599997999999999</v>
      </c>
      <c r="I271" s="204">
        <v>83.6</v>
      </c>
      <c r="J271" s="203">
        <v>6.7</v>
      </c>
      <c r="K271" s="205">
        <v>56</v>
      </c>
      <c r="L271" s="206">
        <v>0.40000001000000002</v>
      </c>
      <c r="M271" s="191">
        <v>1.4</v>
      </c>
      <c r="N271" s="192">
        <v>78165</v>
      </c>
      <c r="O271" s="193">
        <v>0.61</v>
      </c>
      <c r="P271" s="202">
        <v>4665.5537000000004</v>
      </c>
      <c r="Q271" s="207">
        <v>25.5</v>
      </c>
      <c r="R271" s="208">
        <v>23.094000000000001</v>
      </c>
      <c r="S271" s="209">
        <f t="shared" si="3"/>
        <v>3.1395728435296641</v>
      </c>
      <c r="T271" s="210">
        <v>439</v>
      </c>
      <c r="U271" s="209">
        <f t="shared" si="4"/>
        <v>6.0844994130751715</v>
      </c>
      <c r="V271" s="198">
        <v>47.6</v>
      </c>
      <c r="W271" s="208">
        <v>4665.55</v>
      </c>
      <c r="X271" s="209">
        <f t="shared" si="5"/>
        <v>8.4479610055816057</v>
      </c>
    </row>
    <row r="272" spans="1:24">
      <c r="A272" s="199">
        <v>25</v>
      </c>
      <c r="B272" s="200" t="s">
        <v>114</v>
      </c>
      <c r="C272" s="200" t="s">
        <v>115</v>
      </c>
      <c r="D272" s="201">
        <v>2016</v>
      </c>
      <c r="E272" s="202">
        <v>24.603000999999999</v>
      </c>
      <c r="F272" s="203">
        <v>2.0141</v>
      </c>
      <c r="G272" s="202">
        <v>452</v>
      </c>
      <c r="H272" s="187">
        <v>48.400002000000001</v>
      </c>
      <c r="I272" s="204">
        <v>83.4</v>
      </c>
      <c r="J272" s="203">
        <v>6.9</v>
      </c>
      <c r="K272" s="205">
        <v>31.8</v>
      </c>
      <c r="L272" s="206">
        <v>0.5</v>
      </c>
      <c r="M272" s="191">
        <v>1.4</v>
      </c>
      <c r="N272" s="192">
        <v>80333</v>
      </c>
      <c r="O272" s="193">
        <v>0.62</v>
      </c>
      <c r="P272" s="202">
        <v>4562.3603999999996</v>
      </c>
      <c r="Q272" s="207">
        <v>26.4</v>
      </c>
      <c r="R272" s="208">
        <v>24.603000000000002</v>
      </c>
      <c r="S272" s="209">
        <f t="shared" si="3"/>
        <v>3.2028683867223839</v>
      </c>
      <c r="T272" s="210">
        <v>452</v>
      </c>
      <c r="U272" s="209">
        <f t="shared" si="4"/>
        <v>6.1136821798322316</v>
      </c>
      <c r="V272" s="198">
        <v>48.4</v>
      </c>
      <c r="W272" s="208">
        <v>4562.3599999999997</v>
      </c>
      <c r="X272" s="209">
        <f t="shared" si="5"/>
        <v>8.4255953124884471</v>
      </c>
    </row>
    <row r="273" spans="1:24">
      <c r="A273" s="199">
        <v>25</v>
      </c>
      <c r="B273" s="200" t="s">
        <v>114</v>
      </c>
      <c r="C273" s="200" t="s">
        <v>115</v>
      </c>
      <c r="D273" s="201">
        <v>2017</v>
      </c>
      <c r="E273" s="202">
        <v>22.815000999999999</v>
      </c>
      <c r="F273" s="203">
        <v>1.9456</v>
      </c>
      <c r="G273" s="202">
        <v>459</v>
      </c>
      <c r="H273" s="187">
        <v>46.799999</v>
      </c>
      <c r="I273" s="204">
        <v>83.5</v>
      </c>
      <c r="J273" s="203">
        <v>6.7</v>
      </c>
      <c r="K273" s="205">
        <v>46.1</v>
      </c>
      <c r="L273" s="206">
        <v>0.5</v>
      </c>
      <c r="M273" s="191">
        <v>1.5</v>
      </c>
      <c r="N273" s="192">
        <v>83566</v>
      </c>
      <c r="O273" s="193">
        <v>0.63</v>
      </c>
      <c r="P273" s="202">
        <v>4403.3734999999997</v>
      </c>
      <c r="Q273" s="207">
        <v>25.4</v>
      </c>
      <c r="R273" s="208">
        <v>22.815000000000001</v>
      </c>
      <c r="S273" s="209">
        <f t="shared" si="3"/>
        <v>3.1274182143793658</v>
      </c>
      <c r="T273" s="210">
        <v>459</v>
      </c>
      <c r="U273" s="209">
        <f t="shared" si="4"/>
        <v>6.1290502100605453</v>
      </c>
      <c r="V273" s="198">
        <v>46.8</v>
      </c>
      <c r="W273" s="208">
        <v>4403.37</v>
      </c>
      <c r="X273" s="209">
        <f t="shared" si="5"/>
        <v>8.3901254358385735</v>
      </c>
    </row>
    <row r="274" spans="1:24">
      <c r="A274" s="199">
        <v>25</v>
      </c>
      <c r="B274" s="200" t="s">
        <v>114</v>
      </c>
      <c r="C274" s="200" t="s">
        <v>115</v>
      </c>
      <c r="D274" s="201">
        <v>2018</v>
      </c>
      <c r="E274" s="202">
        <v>25.068999999999999</v>
      </c>
      <c r="F274" s="203">
        <v>1.9154</v>
      </c>
      <c r="G274" s="202">
        <v>472</v>
      </c>
      <c r="H274" s="187">
        <v>45.799999</v>
      </c>
      <c r="I274" s="204">
        <v>83.3</v>
      </c>
      <c r="J274" s="203">
        <v>6.6</v>
      </c>
      <c r="K274" s="205">
        <v>19.100000000000001</v>
      </c>
      <c r="L274" s="206">
        <v>0.40000001000000002</v>
      </c>
      <c r="M274" s="191">
        <v>1.4</v>
      </c>
      <c r="N274" s="192">
        <v>80130</v>
      </c>
      <c r="O274" s="193">
        <v>0.64</v>
      </c>
      <c r="P274" s="202">
        <v>3890.9169999999999</v>
      </c>
      <c r="Q274" s="207">
        <v>26.8</v>
      </c>
      <c r="R274" s="208">
        <v>25.068999999999999</v>
      </c>
      <c r="S274" s="209">
        <f t="shared" si="3"/>
        <v>3.2216320230619178</v>
      </c>
      <c r="T274" s="210">
        <v>472</v>
      </c>
      <c r="U274" s="209">
        <f t="shared" si="4"/>
        <v>6.156978985585555</v>
      </c>
      <c r="V274" s="198">
        <v>45.8</v>
      </c>
      <c r="W274" s="208">
        <v>3890.92</v>
      </c>
      <c r="X274" s="209">
        <f t="shared" si="5"/>
        <v>8.2664009125059046</v>
      </c>
    </row>
    <row r="275" spans="1:24">
      <c r="A275" s="199">
        <v>25</v>
      </c>
      <c r="B275" s="200" t="s">
        <v>114</v>
      </c>
      <c r="C275" s="200" t="s">
        <v>115</v>
      </c>
      <c r="D275" s="201">
        <v>2019</v>
      </c>
      <c r="E275" s="202">
        <v>24.677</v>
      </c>
      <c r="F275" s="203">
        <v>1.8713</v>
      </c>
      <c r="G275" s="202">
        <v>484</v>
      </c>
      <c r="H275" s="187">
        <v>46.599997999999999</v>
      </c>
      <c r="I275" s="204">
        <v>86.6</v>
      </c>
      <c r="J275" s="203">
        <v>6.4</v>
      </c>
      <c r="K275" s="205">
        <v>54.2</v>
      </c>
      <c r="L275" s="206">
        <v>0.40000001000000002</v>
      </c>
      <c r="M275" s="191">
        <v>1.3</v>
      </c>
      <c r="N275" s="192">
        <v>81185</v>
      </c>
      <c r="O275" s="193">
        <v>0.64</v>
      </c>
      <c r="P275" s="202">
        <v>3378.4603999999999</v>
      </c>
      <c r="Q275" s="207">
        <v>25</v>
      </c>
      <c r="R275" s="208">
        <v>24.677</v>
      </c>
      <c r="S275" s="209">
        <f t="shared" si="3"/>
        <v>3.2058716357329469</v>
      </c>
      <c r="T275" s="210">
        <v>484</v>
      </c>
      <c r="U275" s="209">
        <f t="shared" si="4"/>
        <v>6.1820849067166321</v>
      </c>
      <c r="V275" s="198">
        <v>46.6</v>
      </c>
      <c r="W275" s="208"/>
      <c r="X275" s="209" t="e">
        <f t="shared" si="5"/>
        <v>#NUM!</v>
      </c>
    </row>
    <row r="276" spans="1:24">
      <c r="A276" s="199">
        <v>25</v>
      </c>
      <c r="B276" s="200" t="s">
        <v>114</v>
      </c>
      <c r="C276" s="200" t="s">
        <v>115</v>
      </c>
      <c r="D276" s="201">
        <v>2020</v>
      </c>
      <c r="E276" s="202">
        <v>23.649000000000001</v>
      </c>
      <c r="F276" s="203">
        <v>1.9179999999999999</v>
      </c>
      <c r="G276" s="202">
        <v>504</v>
      </c>
      <c r="H276" s="187">
        <v>38.299999</v>
      </c>
      <c r="I276" s="204">
        <v>74.099999999999994</v>
      </c>
      <c r="J276" s="203">
        <v>6.9</v>
      </c>
      <c r="K276" s="205">
        <v>35.9</v>
      </c>
      <c r="L276" s="206">
        <v>0.5</v>
      </c>
      <c r="M276" s="191">
        <v>1.5</v>
      </c>
      <c r="N276" s="192">
        <v>83884</v>
      </c>
      <c r="O276" s="193">
        <v>0.64</v>
      </c>
      <c r="P276" s="202">
        <v>2866.0039000000002</v>
      </c>
      <c r="Q276" s="207">
        <v>23.7</v>
      </c>
      <c r="R276" s="208">
        <v>23.649000000000001</v>
      </c>
      <c r="S276" s="209">
        <f t="shared" si="3"/>
        <v>3.1633208307458811</v>
      </c>
      <c r="T276" s="210">
        <v>504</v>
      </c>
      <c r="U276" s="209">
        <f t="shared" si="4"/>
        <v>6.2225762680713688</v>
      </c>
      <c r="V276" s="198">
        <v>38.299999999999997</v>
      </c>
      <c r="W276" s="208"/>
      <c r="X276" s="209" t="e">
        <f t="shared" si="5"/>
        <v>#NUM!</v>
      </c>
    </row>
    <row r="277" spans="1:24">
      <c r="A277" s="199">
        <v>26</v>
      </c>
      <c r="B277" s="200" t="s">
        <v>116</v>
      </c>
      <c r="C277" s="200" t="s">
        <v>117</v>
      </c>
      <c r="D277" s="201">
        <v>2010</v>
      </c>
      <c r="E277" s="202">
        <v>19.072001</v>
      </c>
      <c r="F277" s="203">
        <v>1.1600999999999999</v>
      </c>
      <c r="G277" s="202">
        <v>396</v>
      </c>
      <c r="H277" s="187">
        <v>22.4</v>
      </c>
      <c r="I277" s="204">
        <v>78.5</v>
      </c>
      <c r="J277" s="203">
        <v>5.9</v>
      </c>
      <c r="K277" s="205">
        <v>804.5</v>
      </c>
      <c r="L277" s="206">
        <v>0.50000003000000004</v>
      </c>
      <c r="M277" s="191">
        <v>1.5</v>
      </c>
      <c r="N277" s="192">
        <v>14076</v>
      </c>
      <c r="O277" s="193">
        <v>1.21</v>
      </c>
      <c r="P277" s="202">
        <v>6916.8687</v>
      </c>
      <c r="Q277" s="207">
        <v>37.799999999999997</v>
      </c>
      <c r="R277" s="208">
        <v>19.071999999999999</v>
      </c>
      <c r="S277" s="209">
        <f t="shared" si="3"/>
        <v>2.9482212908829393</v>
      </c>
      <c r="T277" s="210">
        <v>396</v>
      </c>
      <c r="U277" s="209">
        <f t="shared" si="4"/>
        <v>5.9814142112544806</v>
      </c>
      <c r="V277" s="198">
        <v>22.4</v>
      </c>
      <c r="W277" s="208">
        <v>6916.87</v>
      </c>
      <c r="X277" s="209">
        <f t="shared" si="5"/>
        <v>8.8417186341489948</v>
      </c>
    </row>
    <row r="278" spans="1:24">
      <c r="A278" s="199">
        <v>26</v>
      </c>
      <c r="B278" s="200" t="s">
        <v>116</v>
      </c>
      <c r="C278" s="200" t="s">
        <v>117</v>
      </c>
      <c r="D278" s="201">
        <v>2011</v>
      </c>
      <c r="E278" s="202">
        <v>18.468</v>
      </c>
      <c r="F278" s="203">
        <v>1.2995000000000001</v>
      </c>
      <c r="G278" s="202">
        <v>391</v>
      </c>
      <c r="H278" s="187">
        <v>35.700001</v>
      </c>
      <c r="I278" s="204">
        <v>75.099999999999994</v>
      </c>
      <c r="J278" s="203">
        <v>7.6</v>
      </c>
      <c r="K278" s="205">
        <v>824.3</v>
      </c>
      <c r="L278" s="206">
        <v>0.40000002000000001</v>
      </c>
      <c r="M278" s="191">
        <v>1.5</v>
      </c>
      <c r="N278" s="192">
        <v>14352</v>
      </c>
      <c r="O278" s="193">
        <v>1.19</v>
      </c>
      <c r="P278" s="202">
        <v>6777.3451999999997</v>
      </c>
      <c r="Q278" s="207">
        <v>40.799999999999997</v>
      </c>
      <c r="R278" s="208">
        <v>18.468</v>
      </c>
      <c r="S278" s="209">
        <f t="shared" si="3"/>
        <v>2.9160395046447425</v>
      </c>
      <c r="T278" s="210">
        <v>391</v>
      </c>
      <c r="U278" s="209">
        <f t="shared" si="4"/>
        <v>5.9687075599853658</v>
      </c>
      <c r="V278" s="198">
        <v>35.700000000000003</v>
      </c>
      <c r="W278" s="208">
        <v>6777.35</v>
      </c>
      <c r="X278" s="209">
        <f t="shared" si="5"/>
        <v>8.8213414490733104</v>
      </c>
    </row>
    <row r="279" spans="1:24">
      <c r="A279" s="199">
        <v>26</v>
      </c>
      <c r="B279" s="200" t="s">
        <v>116</v>
      </c>
      <c r="C279" s="200" t="s">
        <v>117</v>
      </c>
      <c r="D279" s="201">
        <v>2012</v>
      </c>
      <c r="E279" s="202">
        <v>15.632</v>
      </c>
      <c r="F279" s="203">
        <v>1.4568000000000001</v>
      </c>
      <c r="G279" s="202">
        <v>411</v>
      </c>
      <c r="H279" s="187">
        <v>42.099997999999999</v>
      </c>
      <c r="I279" s="204">
        <v>79.7</v>
      </c>
      <c r="J279" s="203">
        <v>9.4</v>
      </c>
      <c r="K279" s="205">
        <v>991.1</v>
      </c>
      <c r="L279" s="206">
        <v>0.30000000999999998</v>
      </c>
      <c r="M279" s="191">
        <v>1.5</v>
      </c>
      <c r="N279" s="192">
        <v>14648</v>
      </c>
      <c r="O279" s="193">
        <v>1.1499999999999999</v>
      </c>
      <c r="P279" s="202">
        <v>6090.5888999999997</v>
      </c>
      <c r="Q279" s="207">
        <v>43.1</v>
      </c>
      <c r="R279" s="208">
        <v>15.632</v>
      </c>
      <c r="S279" s="209">
        <f t="shared" si="3"/>
        <v>2.7493200953004271</v>
      </c>
      <c r="T279" s="210">
        <v>411</v>
      </c>
      <c r="U279" s="209">
        <f t="shared" si="4"/>
        <v>6.0185932144962342</v>
      </c>
      <c r="V279" s="198">
        <v>42.1</v>
      </c>
      <c r="W279" s="208">
        <v>6090.59</v>
      </c>
      <c r="X279" s="209">
        <f t="shared" si="5"/>
        <v>8.7145002361427295</v>
      </c>
    </row>
    <row r="280" spans="1:24">
      <c r="A280" s="199">
        <v>26</v>
      </c>
      <c r="B280" s="200" t="s">
        <v>116</v>
      </c>
      <c r="C280" s="200" t="s">
        <v>117</v>
      </c>
      <c r="D280" s="201">
        <v>2013</v>
      </c>
      <c r="E280" s="202">
        <v>16.143999000000001</v>
      </c>
      <c r="F280" s="203">
        <v>1.4702</v>
      </c>
      <c r="G280" s="202">
        <v>381</v>
      </c>
      <c r="H280" s="187">
        <v>34.799999</v>
      </c>
      <c r="I280" s="204">
        <v>51</v>
      </c>
      <c r="J280" s="203">
        <v>9.3000000000000007</v>
      </c>
      <c r="K280" s="205">
        <v>1132.8</v>
      </c>
      <c r="L280" s="206">
        <v>0.2</v>
      </c>
      <c r="M280" s="191">
        <v>1.5</v>
      </c>
      <c r="N280" s="192">
        <v>14541</v>
      </c>
      <c r="O280" s="193">
        <v>1.1499999999999999</v>
      </c>
      <c r="P280" s="202">
        <v>6211.5063</v>
      </c>
      <c r="Q280" s="207">
        <v>44.3</v>
      </c>
      <c r="R280" s="208">
        <v>16.143999999999998</v>
      </c>
      <c r="S280" s="209">
        <f t="shared" si="3"/>
        <v>2.7815484636112529</v>
      </c>
      <c r="T280" s="210">
        <v>381</v>
      </c>
      <c r="U280" s="209">
        <f t="shared" si="4"/>
        <v>5.9427993751267012</v>
      </c>
      <c r="V280" s="198">
        <v>34.799999999999997</v>
      </c>
      <c r="W280" s="208">
        <v>6211.51</v>
      </c>
      <c r="X280" s="209">
        <f t="shared" si="5"/>
        <v>8.7341593015695249</v>
      </c>
    </row>
    <row r="281" spans="1:24">
      <c r="A281" s="199">
        <v>26</v>
      </c>
      <c r="B281" s="200" t="s">
        <v>116</v>
      </c>
      <c r="C281" s="200" t="s">
        <v>117</v>
      </c>
      <c r="D281" s="201">
        <v>2014</v>
      </c>
      <c r="E281" s="202">
        <v>17.207999999999998</v>
      </c>
      <c r="F281" s="203">
        <v>1.4047000000000001</v>
      </c>
      <c r="G281" s="202">
        <v>313</v>
      </c>
      <c r="H281" s="187">
        <v>36</v>
      </c>
      <c r="I281" s="204">
        <v>81.599999999999994</v>
      </c>
      <c r="J281" s="203">
        <v>8.5</v>
      </c>
      <c r="K281" s="205">
        <v>1111.0999999999999</v>
      </c>
      <c r="L281" s="206">
        <v>0.2</v>
      </c>
      <c r="M281" s="191">
        <v>1.6</v>
      </c>
      <c r="N281" s="192">
        <v>14718</v>
      </c>
      <c r="O281" s="193">
        <v>1.1599999999999999</v>
      </c>
      <c r="P281" s="202">
        <v>6468.9022999999997</v>
      </c>
      <c r="Q281" s="207">
        <v>42.2</v>
      </c>
      <c r="R281" s="208">
        <v>17.207999999999998</v>
      </c>
      <c r="S281" s="209">
        <f t="shared" si="3"/>
        <v>2.8453743919654286</v>
      </c>
      <c r="T281" s="210">
        <v>313</v>
      </c>
      <c r="U281" s="209">
        <f t="shared" si="4"/>
        <v>5.7462031905401529</v>
      </c>
      <c r="V281" s="198">
        <v>36</v>
      </c>
      <c r="W281" s="208">
        <v>6468.9</v>
      </c>
      <c r="X281" s="209">
        <f t="shared" si="5"/>
        <v>8.7747613575847296</v>
      </c>
    </row>
    <row r="282" spans="1:24">
      <c r="A282" s="199">
        <v>26</v>
      </c>
      <c r="B282" s="200" t="s">
        <v>116</v>
      </c>
      <c r="C282" s="200" t="s">
        <v>117</v>
      </c>
      <c r="D282" s="201">
        <v>2015</v>
      </c>
      <c r="E282" s="202">
        <v>15.97</v>
      </c>
      <c r="F282" s="203">
        <v>1.4151</v>
      </c>
      <c r="G282" s="202">
        <v>259</v>
      </c>
      <c r="H282" s="187">
        <v>54.099997999999999</v>
      </c>
      <c r="I282" s="204">
        <v>86.2</v>
      </c>
      <c r="J282" s="203">
        <v>8.6999999999999993</v>
      </c>
      <c r="K282" s="205">
        <v>1143.0999999999999</v>
      </c>
      <c r="L282" s="206">
        <v>0.30000000999999998</v>
      </c>
      <c r="M282" s="191">
        <v>1.6</v>
      </c>
      <c r="N282" s="192">
        <v>15231</v>
      </c>
      <c r="O282" s="193">
        <v>1.1599999999999999</v>
      </c>
      <c r="P282" s="202">
        <v>6531.7217000000001</v>
      </c>
      <c r="Q282" s="207">
        <v>44.2</v>
      </c>
      <c r="R282" s="208">
        <v>15.97</v>
      </c>
      <c r="S282" s="209">
        <f t="shared" si="3"/>
        <v>2.7707119622269212</v>
      </c>
      <c r="T282" s="210">
        <v>259</v>
      </c>
      <c r="U282" s="209">
        <f t="shared" si="4"/>
        <v>5.5568280616995374</v>
      </c>
      <c r="V282" s="198">
        <v>54.1</v>
      </c>
      <c r="W282" s="208">
        <v>6531.72</v>
      </c>
      <c r="X282" s="209">
        <f t="shared" si="5"/>
        <v>8.7844255872805892</v>
      </c>
    </row>
    <row r="283" spans="1:24">
      <c r="A283" s="199">
        <v>26</v>
      </c>
      <c r="B283" s="200" t="s">
        <v>116</v>
      </c>
      <c r="C283" s="200" t="s">
        <v>117</v>
      </c>
      <c r="D283" s="201">
        <v>2016</v>
      </c>
      <c r="E283" s="202">
        <v>15.036</v>
      </c>
      <c r="F283" s="203">
        <v>1.5128999999999999</v>
      </c>
      <c r="G283" s="202">
        <v>251</v>
      </c>
      <c r="H283" s="187">
        <v>55.5</v>
      </c>
      <c r="I283" s="204">
        <v>75.8</v>
      </c>
      <c r="J283" s="203">
        <v>8.6999999999999993</v>
      </c>
      <c r="K283" s="205">
        <v>1281.2</v>
      </c>
      <c r="L283" s="206">
        <v>0.30000000999999998</v>
      </c>
      <c r="M283" s="191">
        <v>1.6</v>
      </c>
      <c r="N283" s="192">
        <v>15361</v>
      </c>
      <c r="O283" s="193">
        <v>1.1399999999999999</v>
      </c>
      <c r="P283" s="202">
        <v>6613.2407000000003</v>
      </c>
      <c r="Q283" s="207">
        <v>47.2</v>
      </c>
      <c r="R283" s="208">
        <v>15.036</v>
      </c>
      <c r="S283" s="209">
        <f t="shared" si="3"/>
        <v>2.7104473257019315</v>
      </c>
      <c r="T283" s="210">
        <v>251</v>
      </c>
      <c r="U283" s="209">
        <f t="shared" si="4"/>
        <v>5.5254529391317835</v>
      </c>
      <c r="V283" s="198">
        <v>55.5</v>
      </c>
      <c r="W283" s="208">
        <v>6613.24</v>
      </c>
      <c r="X283" s="209">
        <f t="shared" si="5"/>
        <v>8.796828979167941</v>
      </c>
    </row>
    <row r="284" spans="1:24">
      <c r="A284" s="199">
        <v>26</v>
      </c>
      <c r="B284" s="200" t="s">
        <v>116</v>
      </c>
      <c r="C284" s="200" t="s">
        <v>117</v>
      </c>
      <c r="D284" s="201">
        <v>2017</v>
      </c>
      <c r="E284" s="202">
        <v>16.290001</v>
      </c>
      <c r="F284" s="203">
        <v>1.5517000000000001</v>
      </c>
      <c r="G284" s="202">
        <v>254</v>
      </c>
      <c r="H284" s="187">
        <v>57.799999</v>
      </c>
      <c r="I284" s="204">
        <v>86.9</v>
      </c>
      <c r="J284" s="203">
        <v>9.8000000000000007</v>
      </c>
      <c r="K284" s="205">
        <v>1023.8</v>
      </c>
      <c r="L284" s="206">
        <v>0.40000001000000002</v>
      </c>
      <c r="M284" s="191">
        <v>1.6</v>
      </c>
      <c r="N284" s="192">
        <v>15837</v>
      </c>
      <c r="O284" s="193">
        <v>1.1200000000000001</v>
      </c>
      <c r="P284" s="202">
        <v>6495.1298999999999</v>
      </c>
      <c r="Q284" s="207">
        <v>47.4</v>
      </c>
      <c r="R284" s="208">
        <v>16.29</v>
      </c>
      <c r="S284" s="209">
        <f t="shared" si="3"/>
        <v>2.7905514226139538</v>
      </c>
      <c r="T284" s="210">
        <v>254</v>
      </c>
      <c r="U284" s="209">
        <f t="shared" si="4"/>
        <v>5.5373342670185366</v>
      </c>
      <c r="V284" s="198">
        <v>57.8</v>
      </c>
      <c r="W284" s="208">
        <v>6495.13</v>
      </c>
      <c r="X284" s="209">
        <f t="shared" si="5"/>
        <v>8.7788079443008531</v>
      </c>
    </row>
    <row r="285" spans="1:24">
      <c r="A285" s="199">
        <v>26</v>
      </c>
      <c r="B285" s="200" t="s">
        <v>116</v>
      </c>
      <c r="C285" s="200" t="s">
        <v>117</v>
      </c>
      <c r="D285" s="201">
        <v>2018</v>
      </c>
      <c r="E285" s="202">
        <v>17.929001</v>
      </c>
      <c r="F285" s="203">
        <v>1.4702</v>
      </c>
      <c r="G285" s="202">
        <v>249</v>
      </c>
      <c r="H285" s="187">
        <v>58.900002000000001</v>
      </c>
      <c r="I285" s="204">
        <v>84.6</v>
      </c>
      <c r="J285" s="203">
        <v>10.1</v>
      </c>
      <c r="K285" s="205">
        <v>1509.1</v>
      </c>
      <c r="L285" s="206">
        <v>0.40000001000000002</v>
      </c>
      <c r="M285" s="191">
        <v>1.6</v>
      </c>
      <c r="N285" s="192">
        <v>16974</v>
      </c>
      <c r="O285" s="193">
        <v>1.1000000000000001</v>
      </c>
      <c r="P285" s="202">
        <v>6203.0478999999996</v>
      </c>
      <c r="Q285" s="207">
        <v>46.8</v>
      </c>
      <c r="R285" s="208">
        <v>17.928999999999998</v>
      </c>
      <c r="S285" s="209">
        <f t="shared" si="3"/>
        <v>2.8864195136132902</v>
      </c>
      <c r="T285" s="210">
        <v>249</v>
      </c>
      <c r="U285" s="209">
        <f t="shared" si="4"/>
        <v>5.5174528964647074</v>
      </c>
      <c r="V285" s="198">
        <v>58.9</v>
      </c>
      <c r="W285" s="208">
        <v>6203.05</v>
      </c>
      <c r="X285" s="209">
        <f t="shared" si="5"/>
        <v>8.7327963855564619</v>
      </c>
    </row>
    <row r="286" spans="1:24">
      <c r="A286" s="199">
        <v>26</v>
      </c>
      <c r="B286" s="200" t="s">
        <v>116</v>
      </c>
      <c r="C286" s="200" t="s">
        <v>117</v>
      </c>
      <c r="D286" s="201">
        <v>2019</v>
      </c>
      <c r="E286" s="202">
        <v>16.469000000000001</v>
      </c>
      <c r="F286" s="203">
        <v>1.6073999999999999</v>
      </c>
      <c r="G286" s="202">
        <v>247</v>
      </c>
      <c r="H286" s="187">
        <v>59.200001</v>
      </c>
      <c r="I286" s="204">
        <v>87.8</v>
      </c>
      <c r="J286" s="203">
        <v>10.199999999999999</v>
      </c>
      <c r="K286" s="205">
        <v>1400.2</v>
      </c>
      <c r="L286" s="206">
        <v>0.5</v>
      </c>
      <c r="M286" s="191">
        <v>1.8</v>
      </c>
      <c r="N286" s="192">
        <v>20938</v>
      </c>
      <c r="O286" s="193">
        <v>1.1000000000000001</v>
      </c>
      <c r="P286" s="202">
        <v>7819.8681999999999</v>
      </c>
      <c r="Q286" s="207">
        <v>48</v>
      </c>
      <c r="R286" s="208">
        <v>16.469000000000001</v>
      </c>
      <c r="S286" s="209">
        <f t="shared" si="3"/>
        <v>2.8014798258920712</v>
      </c>
      <c r="T286" s="210">
        <v>247</v>
      </c>
      <c r="U286" s="209">
        <f t="shared" si="4"/>
        <v>5.5093883366279774</v>
      </c>
      <c r="V286" s="198">
        <v>59.2</v>
      </c>
      <c r="W286" s="208">
        <v>7819.87</v>
      </c>
      <c r="X286" s="209">
        <f t="shared" si="5"/>
        <v>8.9644232093602554</v>
      </c>
    </row>
    <row r="287" spans="1:24">
      <c r="A287" s="199">
        <v>26</v>
      </c>
      <c r="B287" s="200" t="s">
        <v>116</v>
      </c>
      <c r="C287" s="200" t="s">
        <v>117</v>
      </c>
      <c r="D287" s="201">
        <v>2020</v>
      </c>
      <c r="E287" s="202">
        <v>16.726998999999999</v>
      </c>
      <c r="F287" s="203">
        <v>1.5808</v>
      </c>
      <c r="G287" s="202">
        <v>261</v>
      </c>
      <c r="H287" s="187">
        <v>59.299999</v>
      </c>
      <c r="I287" s="204">
        <v>85.6</v>
      </c>
      <c r="J287" s="203">
        <v>9.9</v>
      </c>
      <c r="K287" s="205">
        <v>1476.2</v>
      </c>
      <c r="L287" s="206">
        <v>0.2</v>
      </c>
      <c r="M287" s="191">
        <v>1.6</v>
      </c>
      <c r="N287" s="192">
        <v>15918</v>
      </c>
      <c r="O287" s="193">
        <v>0.96</v>
      </c>
      <c r="P287" s="202">
        <v>8130.0790999999999</v>
      </c>
      <c r="Q287" s="207">
        <v>46.2</v>
      </c>
      <c r="R287" s="208">
        <v>16.727</v>
      </c>
      <c r="S287" s="209">
        <f t="shared" si="3"/>
        <v>2.8170241803298719</v>
      </c>
      <c r="T287" s="210">
        <v>261</v>
      </c>
      <c r="U287" s="209">
        <f t="shared" si="4"/>
        <v>5.5645204073226937</v>
      </c>
      <c r="V287" s="198">
        <v>59.3</v>
      </c>
      <c r="W287" s="208">
        <v>8130.08</v>
      </c>
      <c r="X287" s="209">
        <f t="shared" si="5"/>
        <v>9.0033260425918442</v>
      </c>
    </row>
    <row r="288" spans="1:24">
      <c r="A288" s="199">
        <v>27</v>
      </c>
      <c r="B288" s="200" t="s">
        <v>118</v>
      </c>
      <c r="C288" s="200" t="s">
        <v>119</v>
      </c>
      <c r="D288" s="201">
        <v>2010</v>
      </c>
      <c r="E288" s="202">
        <v>14.327</v>
      </c>
      <c r="F288" s="203">
        <v>0.98750000000000004</v>
      </c>
      <c r="G288" s="202">
        <v>461</v>
      </c>
      <c r="H288" s="187">
        <v>9.1000004000000008</v>
      </c>
      <c r="I288" s="204">
        <v>87.1</v>
      </c>
      <c r="J288" s="203">
        <v>5</v>
      </c>
      <c r="K288" s="205">
        <v>100.6</v>
      </c>
      <c r="L288" s="206">
        <v>0.20000002</v>
      </c>
      <c r="M288" s="191">
        <v>1.7</v>
      </c>
      <c r="N288" s="192">
        <v>50834</v>
      </c>
      <c r="O288" s="193">
        <v>0.88</v>
      </c>
      <c r="P288" s="202">
        <v>6462.2138999999997</v>
      </c>
      <c r="Q288" s="207">
        <v>42.2</v>
      </c>
      <c r="R288" s="208">
        <v>14.327</v>
      </c>
      <c r="S288" s="209">
        <f t="shared" si="3"/>
        <v>2.6621458689112352</v>
      </c>
      <c r="T288" s="210">
        <v>461</v>
      </c>
      <c r="U288" s="209">
        <f t="shared" si="4"/>
        <v>6.1333980429966486</v>
      </c>
      <c r="V288" s="198">
        <v>9.1</v>
      </c>
      <c r="W288" s="208">
        <v>6462.21</v>
      </c>
      <c r="X288" s="209">
        <f t="shared" si="5"/>
        <v>8.7737266435351433</v>
      </c>
    </row>
    <row r="289" spans="1:24">
      <c r="A289" s="199">
        <v>27</v>
      </c>
      <c r="B289" s="200" t="s">
        <v>118</v>
      </c>
      <c r="C289" s="200" t="s">
        <v>119</v>
      </c>
      <c r="D289" s="201">
        <v>2011</v>
      </c>
      <c r="E289" s="202">
        <v>13.977</v>
      </c>
      <c r="F289" s="203">
        <v>1.0016</v>
      </c>
      <c r="G289" s="202">
        <v>479</v>
      </c>
      <c r="H289" s="187">
        <v>10.9</v>
      </c>
      <c r="I289" s="204">
        <v>86.6</v>
      </c>
      <c r="J289" s="203">
        <v>4.7</v>
      </c>
      <c r="K289" s="205">
        <v>932.4</v>
      </c>
      <c r="L289" s="206">
        <v>0.30000000999999998</v>
      </c>
      <c r="M289" s="191">
        <v>1.6</v>
      </c>
      <c r="N289" s="192">
        <v>49517</v>
      </c>
      <c r="O289" s="193">
        <v>0.87</v>
      </c>
      <c r="P289" s="202">
        <v>6393.2007000000003</v>
      </c>
      <c r="Q289" s="207">
        <v>41.8</v>
      </c>
      <c r="R289" s="208">
        <v>13.977</v>
      </c>
      <c r="S289" s="209">
        <f t="shared" si="3"/>
        <v>2.6374131215027696</v>
      </c>
      <c r="T289" s="210">
        <v>479</v>
      </c>
      <c r="U289" s="209">
        <f t="shared" si="4"/>
        <v>6.1717005974109149</v>
      </c>
      <c r="V289" s="198">
        <v>10.9</v>
      </c>
      <c r="W289" s="208">
        <v>6393.2</v>
      </c>
      <c r="X289" s="209">
        <f t="shared" si="5"/>
        <v>8.7629902044944981</v>
      </c>
    </row>
    <row r="290" spans="1:24">
      <c r="A290" s="199">
        <v>27</v>
      </c>
      <c r="B290" s="200" t="s">
        <v>118</v>
      </c>
      <c r="C290" s="200" t="s">
        <v>119</v>
      </c>
      <c r="D290" s="201">
        <v>2012</v>
      </c>
      <c r="E290" s="202">
        <v>11.624000000000001</v>
      </c>
      <c r="F290" s="203">
        <v>1.1495</v>
      </c>
      <c r="G290" s="202">
        <v>491</v>
      </c>
      <c r="H290" s="187">
        <v>13.4</v>
      </c>
      <c r="I290" s="204">
        <v>87.8</v>
      </c>
      <c r="J290" s="203">
        <v>4</v>
      </c>
      <c r="K290" s="205">
        <v>819.5</v>
      </c>
      <c r="L290" s="206">
        <v>0.40000001000000002</v>
      </c>
      <c r="M290" s="191">
        <v>1.5</v>
      </c>
      <c r="N290" s="192">
        <v>43835</v>
      </c>
      <c r="O290" s="193">
        <v>0.85</v>
      </c>
      <c r="P290" s="202">
        <v>6034.7772999999997</v>
      </c>
      <c r="Q290" s="207">
        <v>44.2</v>
      </c>
      <c r="R290" s="208">
        <v>11.624000000000001</v>
      </c>
      <c r="S290" s="209">
        <f t="shared" si="3"/>
        <v>2.4530719262679819</v>
      </c>
      <c r="T290" s="210">
        <v>491</v>
      </c>
      <c r="U290" s="209">
        <f t="shared" si="4"/>
        <v>6.1964441277945204</v>
      </c>
      <c r="V290" s="198">
        <v>13.4</v>
      </c>
      <c r="W290" s="208">
        <v>6034.78</v>
      </c>
      <c r="X290" s="209">
        <f t="shared" si="5"/>
        <v>8.7052946788489418</v>
      </c>
    </row>
    <row r="291" spans="1:24">
      <c r="A291" s="199">
        <v>27</v>
      </c>
      <c r="B291" s="200" t="s">
        <v>118</v>
      </c>
      <c r="C291" s="200" t="s">
        <v>119</v>
      </c>
      <c r="D291" s="201">
        <v>2013</v>
      </c>
      <c r="E291" s="202">
        <v>11.773</v>
      </c>
      <c r="F291" s="203">
        <v>1.2014</v>
      </c>
      <c r="G291" s="202">
        <v>488</v>
      </c>
      <c r="H291" s="187">
        <v>10.8</v>
      </c>
      <c r="I291" s="204">
        <v>85.1</v>
      </c>
      <c r="J291" s="203">
        <v>4.5</v>
      </c>
      <c r="K291" s="205">
        <v>473.4</v>
      </c>
      <c r="L291" s="206">
        <v>0.5</v>
      </c>
      <c r="M291" s="191">
        <v>1.4</v>
      </c>
      <c r="N291" s="192">
        <v>43909</v>
      </c>
      <c r="O291" s="193">
        <v>0.84</v>
      </c>
      <c r="P291" s="202">
        <v>6212.3353999999999</v>
      </c>
      <c r="Q291" s="207">
        <v>45.8</v>
      </c>
      <c r="R291" s="208">
        <v>11.773</v>
      </c>
      <c r="S291" s="209">
        <f t="shared" si="3"/>
        <v>2.4658087740960597</v>
      </c>
      <c r="T291" s="210">
        <v>488</v>
      </c>
      <c r="U291" s="209">
        <f t="shared" si="4"/>
        <v>6.1903154058531475</v>
      </c>
      <c r="V291" s="198">
        <v>10.8</v>
      </c>
      <c r="W291" s="208">
        <v>6212.34</v>
      </c>
      <c r="X291" s="209">
        <f t="shared" si="5"/>
        <v>8.7342929155460673</v>
      </c>
    </row>
    <row r="292" spans="1:24">
      <c r="A292" s="199">
        <v>27</v>
      </c>
      <c r="B292" s="200" t="s">
        <v>118</v>
      </c>
      <c r="C292" s="200" t="s">
        <v>119</v>
      </c>
      <c r="D292" s="201">
        <v>2014</v>
      </c>
      <c r="E292" s="202">
        <v>12.504</v>
      </c>
      <c r="F292" s="203">
        <v>1.1218999999999999</v>
      </c>
      <c r="G292" s="202">
        <v>485</v>
      </c>
      <c r="H292" s="187">
        <v>10.4</v>
      </c>
      <c r="I292" s="204">
        <v>90.7</v>
      </c>
      <c r="J292" s="203">
        <v>4.8</v>
      </c>
      <c r="K292" s="205">
        <v>361.6</v>
      </c>
      <c r="L292" s="206">
        <v>0.5</v>
      </c>
      <c r="M292" s="191">
        <v>1</v>
      </c>
      <c r="N292" s="192">
        <v>42938</v>
      </c>
      <c r="O292" s="193">
        <v>0.85</v>
      </c>
      <c r="P292" s="202">
        <v>6309.8076000000001</v>
      </c>
      <c r="Q292" s="207">
        <v>42</v>
      </c>
      <c r="R292" s="208">
        <v>12.504</v>
      </c>
      <c r="S292" s="209">
        <f t="shared" si="3"/>
        <v>2.5260485931191754</v>
      </c>
      <c r="T292" s="210">
        <v>485</v>
      </c>
      <c r="U292" s="209">
        <f t="shared" si="4"/>
        <v>6.1841488909374833</v>
      </c>
      <c r="V292" s="198">
        <v>10.4</v>
      </c>
      <c r="W292" s="208">
        <v>6309.81</v>
      </c>
      <c r="X292" s="209">
        <f t="shared" si="5"/>
        <v>8.749860844146891</v>
      </c>
    </row>
    <row r="293" spans="1:24">
      <c r="A293" s="199">
        <v>27</v>
      </c>
      <c r="B293" s="200" t="s">
        <v>118</v>
      </c>
      <c r="C293" s="200" t="s">
        <v>119</v>
      </c>
      <c r="D293" s="201">
        <v>2015</v>
      </c>
      <c r="E293" s="202">
        <v>13.084</v>
      </c>
      <c r="F293" s="203">
        <v>1.1835</v>
      </c>
      <c r="G293" s="202">
        <v>472</v>
      </c>
      <c r="H293" s="187">
        <v>14.9</v>
      </c>
      <c r="I293" s="204">
        <v>86.7</v>
      </c>
      <c r="J293" s="203">
        <v>5</v>
      </c>
      <c r="K293" s="205">
        <v>764.6</v>
      </c>
      <c r="L293" s="206">
        <v>0.5</v>
      </c>
      <c r="M293" s="191">
        <v>1.1000000000000001</v>
      </c>
      <c r="N293" s="192">
        <v>44737</v>
      </c>
      <c r="O293" s="193">
        <v>0.89</v>
      </c>
      <c r="P293" s="202">
        <v>6464.9062999999996</v>
      </c>
      <c r="Q293" s="207">
        <v>42.4</v>
      </c>
      <c r="R293" s="208">
        <v>13.084</v>
      </c>
      <c r="S293" s="209">
        <f t="shared" si="3"/>
        <v>2.5713901096761376</v>
      </c>
      <c r="T293" s="210">
        <v>472</v>
      </c>
      <c r="U293" s="209">
        <f t="shared" si="4"/>
        <v>6.156978985585555</v>
      </c>
      <c r="V293" s="198">
        <v>14.9</v>
      </c>
      <c r="W293" s="208">
        <v>6464.91</v>
      </c>
      <c r="X293" s="209">
        <f t="shared" si="5"/>
        <v>8.7741443699953692</v>
      </c>
    </row>
    <row r="294" spans="1:24">
      <c r="A294" s="199">
        <v>27</v>
      </c>
      <c r="B294" s="200" t="s">
        <v>118</v>
      </c>
      <c r="C294" s="200" t="s">
        <v>119</v>
      </c>
      <c r="D294" s="201">
        <v>2016</v>
      </c>
      <c r="E294" s="202">
        <v>13.548</v>
      </c>
      <c r="F294" s="203">
        <v>1.2133</v>
      </c>
      <c r="G294" s="202">
        <v>441</v>
      </c>
      <c r="H294" s="187">
        <v>23</v>
      </c>
      <c r="I294" s="204">
        <v>89.4</v>
      </c>
      <c r="J294" s="203">
        <v>5.2</v>
      </c>
      <c r="K294" s="205">
        <v>1020.4</v>
      </c>
      <c r="L294" s="206">
        <v>0.60000001999999997</v>
      </c>
      <c r="M294" s="191">
        <v>1.1000000000000001</v>
      </c>
      <c r="N294" s="192">
        <v>45547</v>
      </c>
      <c r="O294" s="193">
        <v>0.92</v>
      </c>
      <c r="P294" s="202">
        <v>6496.6972999999998</v>
      </c>
      <c r="Q294" s="207">
        <v>42.5</v>
      </c>
      <c r="R294" s="208">
        <v>13.548</v>
      </c>
      <c r="S294" s="209">
        <f t="shared" si="3"/>
        <v>2.6062389349555253</v>
      </c>
      <c r="T294" s="210">
        <v>441</v>
      </c>
      <c r="U294" s="209">
        <f t="shared" si="4"/>
        <v>6.089044875446846</v>
      </c>
      <c r="V294" s="198">
        <v>23</v>
      </c>
      <c r="W294" s="208">
        <v>6496.7</v>
      </c>
      <c r="X294" s="209">
        <f t="shared" si="5"/>
        <v>8.7790496346566602</v>
      </c>
    </row>
    <row r="295" spans="1:24">
      <c r="A295" s="199">
        <v>27</v>
      </c>
      <c r="B295" s="200" t="s">
        <v>118</v>
      </c>
      <c r="C295" s="200" t="s">
        <v>119</v>
      </c>
      <c r="D295" s="201">
        <v>2017</v>
      </c>
      <c r="E295" s="202">
        <v>13.75</v>
      </c>
      <c r="F295" s="203">
        <v>1.2091000000000001</v>
      </c>
      <c r="G295" s="202">
        <v>453</v>
      </c>
      <c r="H295" s="187">
        <v>29.799999</v>
      </c>
      <c r="I295" s="204">
        <v>88.6</v>
      </c>
      <c r="J295" s="203">
        <v>4.9000000000000004</v>
      </c>
      <c r="K295" s="205">
        <v>1425.9</v>
      </c>
      <c r="L295" s="206">
        <v>0.5</v>
      </c>
      <c r="M295" s="191">
        <v>1.2</v>
      </c>
      <c r="N295" s="192">
        <v>47036</v>
      </c>
      <c r="O295" s="193">
        <v>0.92</v>
      </c>
      <c r="P295" s="202">
        <v>6105.1812</v>
      </c>
      <c r="Q295" s="207">
        <v>42.9</v>
      </c>
      <c r="R295" s="208">
        <v>13.75</v>
      </c>
      <c r="S295" s="209">
        <f t="shared" si="3"/>
        <v>2.6210388241125804</v>
      </c>
      <c r="T295" s="210">
        <v>453</v>
      </c>
      <c r="U295" s="209">
        <f t="shared" si="4"/>
        <v>6.1158921254830343</v>
      </c>
      <c r="V295" s="198">
        <v>29.8</v>
      </c>
      <c r="W295" s="208">
        <v>6105.18</v>
      </c>
      <c r="X295" s="209">
        <f t="shared" si="5"/>
        <v>8.7168928701396435</v>
      </c>
    </row>
    <row r="296" spans="1:24">
      <c r="A296" s="199">
        <v>27</v>
      </c>
      <c r="B296" s="200" t="s">
        <v>118</v>
      </c>
      <c r="C296" s="200" t="s">
        <v>119</v>
      </c>
      <c r="D296" s="201">
        <v>2018</v>
      </c>
      <c r="E296" s="202">
        <v>14.824999999999999</v>
      </c>
      <c r="F296" s="203">
        <v>1.1894</v>
      </c>
      <c r="G296" s="202">
        <v>454</v>
      </c>
      <c r="H296" s="187">
        <v>36.299999</v>
      </c>
      <c r="I296" s="204">
        <v>88.9</v>
      </c>
      <c r="J296" s="203">
        <v>4.7</v>
      </c>
      <c r="K296" s="205">
        <v>1422.9</v>
      </c>
      <c r="L296" s="206">
        <v>0.60000001999999997</v>
      </c>
      <c r="M296" s="191">
        <v>1.3</v>
      </c>
      <c r="N296" s="192">
        <v>49438</v>
      </c>
      <c r="O296" s="193">
        <v>0.91</v>
      </c>
      <c r="P296" s="202">
        <v>5581.2358000000004</v>
      </c>
      <c r="Q296" s="207">
        <v>43</v>
      </c>
      <c r="R296" s="208">
        <v>14.824999999999999</v>
      </c>
      <c r="S296" s="209">
        <f t="shared" si="3"/>
        <v>2.6963149448837891</v>
      </c>
      <c r="T296" s="210">
        <v>454</v>
      </c>
      <c r="U296" s="209">
        <f t="shared" si="4"/>
        <v>6.1180971980413483</v>
      </c>
      <c r="V296" s="198">
        <v>36.299999999999997</v>
      </c>
      <c r="W296" s="208">
        <v>5581.24</v>
      </c>
      <c r="X296" s="209">
        <f t="shared" si="5"/>
        <v>8.6271662529098787</v>
      </c>
    </row>
    <row r="297" spans="1:24">
      <c r="A297" s="199">
        <v>27</v>
      </c>
      <c r="B297" s="200" t="s">
        <v>118</v>
      </c>
      <c r="C297" s="200" t="s">
        <v>119</v>
      </c>
      <c r="D297" s="201">
        <v>2019</v>
      </c>
      <c r="E297" s="202">
        <v>13.602</v>
      </c>
      <c r="F297" s="203">
        <v>1.3387</v>
      </c>
      <c r="G297" s="202">
        <v>455</v>
      </c>
      <c r="H297" s="187">
        <v>38.5</v>
      </c>
      <c r="I297" s="204">
        <v>91.2</v>
      </c>
      <c r="J297" s="203">
        <v>8.3000000000000007</v>
      </c>
      <c r="K297" s="205">
        <v>1560.6</v>
      </c>
      <c r="L297" s="206">
        <v>0.5</v>
      </c>
      <c r="M297" s="191">
        <v>1.3</v>
      </c>
      <c r="N297" s="192">
        <v>48995</v>
      </c>
      <c r="O297" s="193">
        <v>0.9</v>
      </c>
      <c r="P297" s="202">
        <v>5057.2905000000001</v>
      </c>
      <c r="Q297" s="207">
        <v>44</v>
      </c>
      <c r="R297" s="208">
        <v>13.602</v>
      </c>
      <c r="S297" s="209">
        <f t="shared" si="3"/>
        <v>2.6102168407534472</v>
      </c>
      <c r="T297" s="210">
        <v>455</v>
      </c>
      <c r="U297" s="209">
        <f t="shared" si="4"/>
        <v>6.1202974189509503</v>
      </c>
      <c r="V297" s="198">
        <v>38.5</v>
      </c>
      <c r="W297" s="208"/>
      <c r="X297" s="209" t="e">
        <f t="shared" si="5"/>
        <v>#NUM!</v>
      </c>
    </row>
    <row r="298" spans="1:24">
      <c r="A298" s="211">
        <v>27</v>
      </c>
      <c r="B298" s="200" t="s">
        <v>118</v>
      </c>
      <c r="C298" s="200" t="s">
        <v>119</v>
      </c>
      <c r="D298" s="212">
        <v>2020</v>
      </c>
      <c r="E298" s="213">
        <v>12.706</v>
      </c>
      <c r="F298" s="214">
        <v>1.3376999999999999</v>
      </c>
      <c r="G298" s="213">
        <v>443</v>
      </c>
      <c r="H298" s="187">
        <v>45.299999</v>
      </c>
      <c r="I298" s="215">
        <v>92.6</v>
      </c>
      <c r="J298" s="214">
        <v>10.3</v>
      </c>
      <c r="K298" s="216">
        <v>1296.5</v>
      </c>
      <c r="L298" s="217">
        <v>0.5</v>
      </c>
      <c r="M298" s="191">
        <v>1.2</v>
      </c>
      <c r="N298" s="192">
        <v>51486</v>
      </c>
      <c r="O298" s="193">
        <v>0.88</v>
      </c>
      <c r="P298" s="213">
        <v>4533.3451999999997</v>
      </c>
      <c r="Q298" s="218">
        <v>42.7</v>
      </c>
      <c r="R298" s="219">
        <v>12.706</v>
      </c>
      <c r="S298" s="220">
        <f t="shared" si="3"/>
        <v>2.5420743228443414</v>
      </c>
      <c r="T298" s="221">
        <v>443</v>
      </c>
      <c r="U298" s="220">
        <f t="shared" si="4"/>
        <v>6.0935697700451357</v>
      </c>
      <c r="V298" s="198">
        <v>45.3</v>
      </c>
      <c r="W298" s="219"/>
      <c r="X298" s="220" t="e">
        <f t="shared" si="5"/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C9B4-947F-E049-8C0D-5E49DD038DBC}">
  <dimension ref="A1:AD298"/>
  <sheetViews>
    <sheetView topLeftCell="G1" zoomScale="81" workbookViewId="0">
      <selection activeCell="S1" sqref="S1:S1048576"/>
    </sheetView>
  </sheetViews>
  <sheetFormatPr baseColWidth="10" defaultRowHeight="15"/>
  <cols>
    <col min="19" max="19" width="10.83203125" style="232"/>
  </cols>
  <sheetData>
    <row r="1" spans="1:30" s="151" customFormat="1" ht="16">
      <c r="A1" s="139" t="s">
        <v>90</v>
      </c>
      <c r="B1" s="140" t="s">
        <v>89</v>
      </c>
      <c r="C1" s="140" t="s">
        <v>88</v>
      </c>
      <c r="D1" s="141" t="s">
        <v>87</v>
      </c>
      <c r="E1" s="153" t="s">
        <v>86</v>
      </c>
      <c r="F1" s="142" t="s">
        <v>84</v>
      </c>
      <c r="G1" s="142" t="s">
        <v>83</v>
      </c>
      <c r="H1" s="153" t="s">
        <v>82</v>
      </c>
      <c r="I1" s="152" t="s">
        <v>80</v>
      </c>
      <c r="J1" s="154" t="s">
        <v>64</v>
      </c>
      <c r="K1" s="155" t="s">
        <v>79</v>
      </c>
      <c r="L1" s="143" t="s">
        <v>62</v>
      </c>
      <c r="M1" s="156" t="s">
        <v>60</v>
      </c>
      <c r="N1" s="156" t="s">
        <v>77</v>
      </c>
      <c r="O1" s="157" t="s">
        <v>75</v>
      </c>
      <c r="P1" s="158" t="s">
        <v>73</v>
      </c>
      <c r="Q1" s="147" t="s">
        <v>71</v>
      </c>
      <c r="R1" s="148" t="s">
        <v>70</v>
      </c>
      <c r="S1" s="228" t="s">
        <v>69</v>
      </c>
      <c r="T1" s="158" t="s">
        <v>67</v>
      </c>
      <c r="U1" s="155" t="s">
        <v>59</v>
      </c>
      <c r="V1" s="149" t="s">
        <v>65</v>
      </c>
      <c r="W1" s="143" t="s">
        <v>64</v>
      </c>
      <c r="X1" s="146" t="s">
        <v>62</v>
      </c>
      <c r="Y1" s="145" t="s">
        <v>60</v>
      </c>
      <c r="Z1" s="144" t="s">
        <v>59</v>
      </c>
      <c r="AA1" s="150" t="s">
        <v>14</v>
      </c>
      <c r="AB1" s="153" t="s">
        <v>57</v>
      </c>
      <c r="AC1" s="153" t="s">
        <v>55</v>
      </c>
      <c r="AD1" s="150" t="s">
        <v>53</v>
      </c>
    </row>
    <row r="2" spans="1:30">
      <c r="A2" s="90">
        <v>1</v>
      </c>
      <c r="B2" s="91" t="s">
        <v>52</v>
      </c>
      <c r="C2" s="91" t="s">
        <v>51</v>
      </c>
      <c r="D2" s="92">
        <v>2010</v>
      </c>
      <c r="E2" s="90">
        <v>29.5</v>
      </c>
      <c r="F2" s="93">
        <v>-5.6454000000000004</v>
      </c>
      <c r="G2" s="93">
        <v>-22000000000</v>
      </c>
      <c r="H2" s="94">
        <v>43035.4</v>
      </c>
      <c r="I2" s="96">
        <v>0.66</v>
      </c>
      <c r="J2" s="90">
        <v>24.445999</v>
      </c>
      <c r="K2" s="97">
        <v>2.0954000000000002</v>
      </c>
      <c r="L2" s="90">
        <v>562</v>
      </c>
      <c r="M2" s="93">
        <v>59.400002000000001</v>
      </c>
      <c r="N2" s="99">
        <v>79.900000000000006</v>
      </c>
      <c r="O2" s="97">
        <v>6.8</v>
      </c>
      <c r="P2" s="100">
        <v>1323.8</v>
      </c>
      <c r="Q2" s="101">
        <v>6185</v>
      </c>
      <c r="R2" s="102">
        <v>47157</v>
      </c>
      <c r="S2" s="229">
        <v>1.23</v>
      </c>
      <c r="T2" s="100">
        <v>100</v>
      </c>
      <c r="U2" s="90">
        <v>7711.0054</v>
      </c>
      <c r="V2" s="104">
        <v>41.5</v>
      </c>
      <c r="W2" s="105">
        <v>24.446000000000002</v>
      </c>
      <c r="X2" s="107">
        <v>562</v>
      </c>
      <c r="Y2" s="108">
        <v>59.4</v>
      </c>
      <c r="Z2" s="105">
        <v>7711.01</v>
      </c>
      <c r="AA2" s="96">
        <v>79.924800000000005</v>
      </c>
      <c r="AB2" s="94">
        <v>101.35</v>
      </c>
      <c r="AC2" s="94">
        <v>31.1</v>
      </c>
      <c r="AD2" s="96">
        <v>57.399000000000001</v>
      </c>
    </row>
    <row r="3" spans="1:30">
      <c r="A3" s="109">
        <v>1</v>
      </c>
      <c r="B3" s="110" t="s">
        <v>52</v>
      </c>
      <c r="C3" s="110" t="s">
        <v>51</v>
      </c>
      <c r="D3" s="111">
        <v>2011</v>
      </c>
      <c r="E3" s="109">
        <v>30.5</v>
      </c>
      <c r="F3" s="93">
        <v>5.3581300000000001</v>
      </c>
      <c r="G3" s="93">
        <v>23000000000</v>
      </c>
      <c r="H3" s="94">
        <v>44146.2</v>
      </c>
      <c r="I3" s="96">
        <v>0.66</v>
      </c>
      <c r="J3" s="109">
        <v>25.948999000000001</v>
      </c>
      <c r="K3" s="112">
        <v>2.0348999999999999</v>
      </c>
      <c r="L3" s="109">
        <v>573</v>
      </c>
      <c r="M3" s="93">
        <v>56.700001</v>
      </c>
      <c r="N3" s="114">
        <v>81.5</v>
      </c>
      <c r="O3" s="112">
        <v>6.9</v>
      </c>
      <c r="P3" s="115">
        <v>1953.5</v>
      </c>
      <c r="Q3" s="116">
        <v>6383</v>
      </c>
      <c r="R3" s="102">
        <v>47178</v>
      </c>
      <c r="S3" s="230">
        <v>1.9</v>
      </c>
      <c r="T3" s="115">
        <v>101</v>
      </c>
      <c r="U3" s="109">
        <v>7491.8657000000003</v>
      </c>
      <c r="V3" s="118">
        <v>41.3</v>
      </c>
      <c r="W3" s="119">
        <v>25.949000000000002</v>
      </c>
      <c r="X3" s="121">
        <v>573</v>
      </c>
      <c r="Y3" s="108">
        <v>56.7</v>
      </c>
      <c r="Z3" s="119">
        <v>7491.87</v>
      </c>
      <c r="AA3" s="96">
        <v>85.986900000000006</v>
      </c>
      <c r="AB3" s="94">
        <v>101.69199999999999</v>
      </c>
      <c r="AC3" s="94">
        <v>31.6</v>
      </c>
      <c r="AD3" s="96">
        <v>57.115000000000002</v>
      </c>
    </row>
    <row r="4" spans="1:30">
      <c r="A4" s="109">
        <v>1</v>
      </c>
      <c r="B4" s="110" t="s">
        <v>52</v>
      </c>
      <c r="C4" s="110" t="s">
        <v>51</v>
      </c>
      <c r="D4" s="111">
        <v>2012</v>
      </c>
      <c r="E4" s="109">
        <v>31.5</v>
      </c>
      <c r="F4" s="93">
        <v>1.2829999999999999</v>
      </c>
      <c r="G4" s="93">
        <v>5200000000</v>
      </c>
      <c r="H4" s="94">
        <v>44221.5</v>
      </c>
      <c r="I4" s="96">
        <v>0.62</v>
      </c>
      <c r="J4" s="109">
        <v>24.556999000000001</v>
      </c>
      <c r="K4" s="112">
        <v>2.1585000000000001</v>
      </c>
      <c r="L4" s="109">
        <v>579</v>
      </c>
      <c r="M4" s="93">
        <v>57.700001</v>
      </c>
      <c r="N4" s="114">
        <v>80</v>
      </c>
      <c r="O4" s="112">
        <v>7.9</v>
      </c>
      <c r="P4" s="115">
        <v>2036</v>
      </c>
      <c r="Q4" s="116">
        <v>6641</v>
      </c>
      <c r="R4" s="102">
        <v>47954</v>
      </c>
      <c r="S4" s="230">
        <v>1.36</v>
      </c>
      <c r="T4" s="115">
        <v>97</v>
      </c>
      <c r="U4" s="109">
        <v>7107.8100999999997</v>
      </c>
      <c r="V4" s="118">
        <v>42.9</v>
      </c>
      <c r="W4" s="119">
        <v>24.556999999999999</v>
      </c>
      <c r="X4" s="121">
        <v>579</v>
      </c>
      <c r="Y4" s="108">
        <v>57.7</v>
      </c>
      <c r="Z4" s="119">
        <v>7107.81</v>
      </c>
      <c r="AA4" s="96">
        <v>84.849100000000007</v>
      </c>
      <c r="AB4" s="94">
        <v>102.157</v>
      </c>
      <c r="AC4" s="94">
        <v>34.4</v>
      </c>
      <c r="AD4" s="96">
        <v>57.146999999999998</v>
      </c>
    </row>
    <row r="5" spans="1:30">
      <c r="A5" s="109">
        <v>1</v>
      </c>
      <c r="B5" s="110" t="s">
        <v>52</v>
      </c>
      <c r="C5" s="110" t="s">
        <v>51</v>
      </c>
      <c r="D5" s="111">
        <v>2013</v>
      </c>
      <c r="E5" s="109">
        <v>32.5</v>
      </c>
      <c r="F5" s="93">
        <v>-0.30263299999999999</v>
      </c>
      <c r="G5" s="93">
        <v>-1300000000</v>
      </c>
      <c r="H5" s="94">
        <v>43851.4</v>
      </c>
      <c r="I5" s="96">
        <v>0.62</v>
      </c>
      <c r="J5" s="109">
        <v>23.832001000000002</v>
      </c>
      <c r="K5" s="112">
        <v>2.2054999999999998</v>
      </c>
      <c r="L5" s="109">
        <v>578</v>
      </c>
      <c r="M5" s="93">
        <v>57.700001</v>
      </c>
      <c r="N5" s="114">
        <v>79</v>
      </c>
      <c r="O5" s="112">
        <v>9.1</v>
      </c>
      <c r="P5" s="115">
        <v>2149.6999999999998</v>
      </c>
      <c r="Q5" s="116">
        <v>6875</v>
      </c>
      <c r="R5" s="102">
        <v>48925</v>
      </c>
      <c r="S5" s="230">
        <v>1.23</v>
      </c>
      <c r="T5" s="115">
        <v>99</v>
      </c>
      <c r="U5" s="109">
        <v>6895.5370999999996</v>
      </c>
      <c r="V5" s="118">
        <v>42.7</v>
      </c>
      <c r="W5" s="119">
        <v>23.832000000000001</v>
      </c>
      <c r="X5" s="121">
        <v>578</v>
      </c>
      <c r="Y5" s="108">
        <v>57.7</v>
      </c>
      <c r="Z5" s="119">
        <v>6895.54</v>
      </c>
      <c r="AA5" s="96">
        <v>84.024699999999996</v>
      </c>
      <c r="AB5" s="94">
        <v>102.761</v>
      </c>
      <c r="AC5" s="94">
        <v>34.6</v>
      </c>
      <c r="AD5" s="96">
        <v>57.335999999999999</v>
      </c>
    </row>
    <row r="6" spans="1:30">
      <c r="A6" s="109">
        <v>1</v>
      </c>
      <c r="B6" s="110" t="s">
        <v>52</v>
      </c>
      <c r="C6" s="110" t="s">
        <v>51</v>
      </c>
      <c r="D6" s="111">
        <v>2014</v>
      </c>
      <c r="E6" s="109">
        <v>30.8</v>
      </c>
      <c r="F6" s="93">
        <v>0.38955699999999999</v>
      </c>
      <c r="G6" s="93">
        <v>1700000000</v>
      </c>
      <c r="H6" s="94">
        <v>43838.8</v>
      </c>
      <c r="I6" s="96">
        <v>0.6</v>
      </c>
      <c r="J6" s="109">
        <v>24.295000000000002</v>
      </c>
      <c r="K6" s="112">
        <v>2.1665999999999999</v>
      </c>
      <c r="L6" s="109">
        <v>565</v>
      </c>
      <c r="M6" s="93">
        <v>56.299999</v>
      </c>
      <c r="N6" s="114">
        <v>79.599999999999994</v>
      </c>
      <c r="O6" s="112">
        <v>9.9</v>
      </c>
      <c r="P6" s="115">
        <v>2229.8000000000002</v>
      </c>
      <c r="Q6" s="116">
        <v>7144</v>
      </c>
      <c r="R6" s="102">
        <v>48172</v>
      </c>
      <c r="S6" s="230">
        <v>1.21</v>
      </c>
      <c r="T6" s="115">
        <v>100</v>
      </c>
      <c r="U6" s="109">
        <v>6565.6890000000003</v>
      </c>
      <c r="V6" s="118">
        <v>40.6</v>
      </c>
      <c r="W6" s="119">
        <v>24.295000000000002</v>
      </c>
      <c r="X6" s="121">
        <v>565</v>
      </c>
      <c r="Y6" s="108">
        <v>56.3</v>
      </c>
      <c r="Z6" s="119">
        <v>6565.69</v>
      </c>
      <c r="AA6" s="96">
        <v>82.155799999999999</v>
      </c>
      <c r="AB6" s="94">
        <v>103.56699999999999</v>
      </c>
      <c r="AC6" s="94">
        <v>35.700000000000003</v>
      </c>
      <c r="AD6" s="96">
        <v>57.526000000000003</v>
      </c>
    </row>
    <row r="7" spans="1:30">
      <c r="A7" s="109">
        <v>1</v>
      </c>
      <c r="B7" s="110" t="s">
        <v>52</v>
      </c>
      <c r="C7" s="110" t="s">
        <v>51</v>
      </c>
      <c r="D7" s="111">
        <v>2015</v>
      </c>
      <c r="E7" s="109">
        <v>32</v>
      </c>
      <c r="F7" s="93">
        <v>-1.8041</v>
      </c>
      <c r="G7" s="93">
        <v>-6800000000</v>
      </c>
      <c r="H7" s="94">
        <v>43915.199999999997</v>
      </c>
      <c r="I7" s="96">
        <v>0.61</v>
      </c>
      <c r="J7" s="109">
        <v>23.374001</v>
      </c>
      <c r="K7" s="112">
        <v>2.2656000000000001</v>
      </c>
      <c r="L7" s="109">
        <v>560</v>
      </c>
      <c r="M7" s="93">
        <v>56.900002000000001</v>
      </c>
      <c r="N7" s="114">
        <v>81.099999999999994</v>
      </c>
      <c r="O7" s="112">
        <v>11.2</v>
      </c>
      <c r="P7" s="115">
        <v>2162.5</v>
      </c>
      <c r="Q7" s="116">
        <v>7208</v>
      </c>
      <c r="R7" s="102">
        <v>48252</v>
      </c>
      <c r="S7" s="230">
        <v>1.23</v>
      </c>
      <c r="T7" s="115">
        <v>102</v>
      </c>
      <c r="U7" s="109">
        <v>6615.9673000000003</v>
      </c>
      <c r="V7" s="118">
        <v>42.4</v>
      </c>
      <c r="W7" s="119">
        <v>23.373999999999999</v>
      </c>
      <c r="X7" s="121">
        <v>560</v>
      </c>
      <c r="Y7" s="108">
        <v>56.9</v>
      </c>
      <c r="Z7" s="119">
        <v>6615.97</v>
      </c>
      <c r="AA7" s="96">
        <v>81.353499999999997</v>
      </c>
      <c r="AB7" s="94">
        <v>104.735</v>
      </c>
      <c r="AC7" s="94">
        <v>34.799999999999997</v>
      </c>
      <c r="AD7" s="96">
        <v>57.715000000000003</v>
      </c>
    </row>
    <row r="8" spans="1:30">
      <c r="A8" s="109">
        <v>1</v>
      </c>
      <c r="B8" s="110" t="s">
        <v>52</v>
      </c>
      <c r="C8" s="110" t="s">
        <v>51</v>
      </c>
      <c r="D8" s="111">
        <v>2016</v>
      </c>
      <c r="E8" s="109">
        <v>31.4</v>
      </c>
      <c r="F8" s="93">
        <v>-7.2398999999999996</v>
      </c>
      <c r="G8" s="93">
        <v>-29000000000</v>
      </c>
      <c r="H8" s="94">
        <v>44362.7</v>
      </c>
      <c r="I8" s="96">
        <v>0.62</v>
      </c>
      <c r="J8" s="109">
        <v>23.73</v>
      </c>
      <c r="K8" s="112">
        <v>2.2673999999999999</v>
      </c>
      <c r="L8" s="109">
        <v>564</v>
      </c>
      <c r="M8" s="93">
        <v>57.599997999999999</v>
      </c>
      <c r="N8" s="114">
        <v>81.8</v>
      </c>
      <c r="O8" s="112">
        <v>11.9</v>
      </c>
      <c r="P8" s="115">
        <v>2384.9</v>
      </c>
      <c r="Q8" s="116">
        <v>7553</v>
      </c>
      <c r="R8" s="102">
        <v>48376</v>
      </c>
      <c r="S8" s="230">
        <v>0.88</v>
      </c>
      <c r="T8" s="115">
        <v>103</v>
      </c>
      <c r="U8" s="109">
        <v>6459.7212</v>
      </c>
      <c r="V8" s="118">
        <v>43.1</v>
      </c>
      <c r="W8" s="119">
        <v>23.73</v>
      </c>
      <c r="X8" s="121">
        <v>564</v>
      </c>
      <c r="Y8" s="108">
        <v>57.6</v>
      </c>
      <c r="Z8" s="119">
        <v>6459.72</v>
      </c>
      <c r="AA8" s="96">
        <v>78.688599999999994</v>
      </c>
      <c r="AB8" s="94">
        <v>105.873</v>
      </c>
      <c r="AC8" s="94">
        <v>34.6</v>
      </c>
      <c r="AD8" s="96">
        <v>57.905000000000001</v>
      </c>
    </row>
    <row r="9" spans="1:30">
      <c r="A9" s="109">
        <v>1</v>
      </c>
      <c r="B9" s="110" t="s">
        <v>52</v>
      </c>
      <c r="C9" s="110" t="s">
        <v>51</v>
      </c>
      <c r="D9" s="111">
        <v>2017</v>
      </c>
      <c r="E9" s="109">
        <v>32.200000000000003</v>
      </c>
      <c r="F9" s="93">
        <v>3.3818000000000001</v>
      </c>
      <c r="G9" s="93">
        <v>14000000000</v>
      </c>
      <c r="H9" s="94">
        <v>45056.6</v>
      </c>
      <c r="I9" s="96">
        <v>0.61</v>
      </c>
      <c r="J9" s="109">
        <v>23.638000000000002</v>
      </c>
      <c r="K9" s="112">
        <v>2.3119000000000001</v>
      </c>
      <c r="L9" s="109">
        <v>570</v>
      </c>
      <c r="M9" s="93">
        <v>57.799999</v>
      </c>
      <c r="N9" s="114">
        <v>80.2</v>
      </c>
      <c r="O9" s="112">
        <v>12</v>
      </c>
      <c r="P9" s="115">
        <v>2922.3</v>
      </c>
      <c r="Q9" s="116">
        <v>8166</v>
      </c>
      <c r="R9" s="102">
        <v>50091</v>
      </c>
      <c r="S9" s="230">
        <v>0.61</v>
      </c>
      <c r="T9" s="115">
        <v>100</v>
      </c>
      <c r="U9" s="109">
        <v>6760.6972999999998</v>
      </c>
      <c r="V9" s="118">
        <v>44.2</v>
      </c>
      <c r="W9" s="119">
        <v>23.638000000000002</v>
      </c>
      <c r="X9" s="121">
        <v>570</v>
      </c>
      <c r="Y9" s="108">
        <v>57.8</v>
      </c>
      <c r="Z9" s="119">
        <v>6760.7</v>
      </c>
      <c r="AA9" s="96">
        <v>82.853499999999997</v>
      </c>
      <c r="AB9" s="94">
        <v>106.611</v>
      </c>
      <c r="AC9" s="94">
        <v>34</v>
      </c>
      <c r="AD9" s="96">
        <v>58.094000000000001</v>
      </c>
    </row>
    <row r="10" spans="1:30">
      <c r="A10" s="109">
        <v>1</v>
      </c>
      <c r="B10" s="110" t="s">
        <v>52</v>
      </c>
      <c r="C10" s="110" t="s">
        <v>51</v>
      </c>
      <c r="D10" s="111">
        <v>2018</v>
      </c>
      <c r="E10" s="109">
        <v>32.200000000000003</v>
      </c>
      <c r="F10" s="93">
        <v>-6.1511899999999997</v>
      </c>
      <c r="G10" s="93">
        <v>-28000000000</v>
      </c>
      <c r="H10" s="94">
        <v>45951.6</v>
      </c>
      <c r="I10" s="96">
        <v>0.63</v>
      </c>
      <c r="J10" s="109">
        <v>23.947001</v>
      </c>
      <c r="K10" s="112">
        <v>2.3611</v>
      </c>
      <c r="L10" s="109">
        <v>579</v>
      </c>
      <c r="M10" s="93">
        <v>57.700001</v>
      </c>
      <c r="N10" s="114">
        <v>79.8</v>
      </c>
      <c r="O10" s="112">
        <v>11.8</v>
      </c>
      <c r="P10" s="115">
        <v>3226</v>
      </c>
      <c r="Q10" s="116">
        <v>7372</v>
      </c>
      <c r="R10" s="102">
        <v>47466</v>
      </c>
      <c r="S10" s="230">
        <v>1.47</v>
      </c>
      <c r="T10" s="115">
        <v>103</v>
      </c>
      <c r="U10" s="109">
        <v>6418.2734</v>
      </c>
      <c r="V10" s="118">
        <v>44.5</v>
      </c>
      <c r="W10" s="119">
        <v>23.946999999999999</v>
      </c>
      <c r="X10" s="121">
        <v>579</v>
      </c>
      <c r="Y10" s="108">
        <v>57.7</v>
      </c>
      <c r="Z10" s="119">
        <v>6418.27</v>
      </c>
      <c r="AA10" s="96">
        <v>83.639399999999995</v>
      </c>
      <c r="AB10" s="94">
        <v>107.13200000000001</v>
      </c>
      <c r="AC10" s="94">
        <v>34.1</v>
      </c>
      <c r="AD10" s="96">
        <v>58.296999999999997</v>
      </c>
    </row>
    <row r="11" spans="1:30">
      <c r="A11" s="109">
        <v>1</v>
      </c>
      <c r="B11" s="110" t="s">
        <v>52</v>
      </c>
      <c r="C11" s="110" t="s">
        <v>51</v>
      </c>
      <c r="D11" s="111">
        <v>2019</v>
      </c>
      <c r="E11" s="109">
        <v>33.1</v>
      </c>
      <c r="F11" s="93">
        <v>-2.85256</v>
      </c>
      <c r="G11" s="93">
        <v>-13000000000</v>
      </c>
      <c r="H11" s="94">
        <v>46550.6</v>
      </c>
      <c r="I11" s="96">
        <v>0.61</v>
      </c>
      <c r="J11" s="109">
        <v>23.582999999999998</v>
      </c>
      <c r="K11" s="112">
        <v>2.3546</v>
      </c>
      <c r="L11" s="109">
        <v>588</v>
      </c>
      <c r="M11" s="93">
        <v>58.200001</v>
      </c>
      <c r="N11" s="114">
        <v>81.900000000000006</v>
      </c>
      <c r="O11" s="112">
        <v>11.5</v>
      </c>
      <c r="P11" s="115">
        <v>3126.6</v>
      </c>
      <c r="Q11" s="116">
        <v>7471</v>
      </c>
      <c r="R11" s="102">
        <v>48075</v>
      </c>
      <c r="S11" s="230">
        <v>1.97</v>
      </c>
      <c r="T11" s="115">
        <v>103</v>
      </c>
      <c r="U11" s="109">
        <v>6075.8495999999996</v>
      </c>
      <c r="V11" s="118">
        <v>44.4</v>
      </c>
      <c r="W11" s="119">
        <v>23.582999999999998</v>
      </c>
      <c r="X11" s="121">
        <v>588</v>
      </c>
      <c r="Y11" s="108">
        <v>58.2</v>
      </c>
      <c r="Z11" s="119">
        <v>0</v>
      </c>
      <c r="AA11" s="96">
        <v>82.040999999999997</v>
      </c>
      <c r="AB11" s="94">
        <v>107.60899999999999</v>
      </c>
      <c r="AC11" s="94">
        <v>34</v>
      </c>
      <c r="AD11" s="96">
        <v>58.515000000000001</v>
      </c>
    </row>
    <row r="12" spans="1:30">
      <c r="A12" s="109">
        <v>1</v>
      </c>
      <c r="B12" s="110" t="s">
        <v>52</v>
      </c>
      <c r="C12" s="110" t="s">
        <v>51</v>
      </c>
      <c r="D12" s="111">
        <v>2020</v>
      </c>
      <c r="E12" s="109">
        <v>33.6</v>
      </c>
      <c r="F12" s="93">
        <v>-2.7633200000000002</v>
      </c>
      <c r="G12" s="93">
        <v>-12000000000</v>
      </c>
      <c r="H12" s="94">
        <v>43428.7</v>
      </c>
      <c r="I12" s="96">
        <v>0.62</v>
      </c>
      <c r="J12" s="109">
        <v>22.264999</v>
      </c>
      <c r="K12" s="112">
        <v>2.1833</v>
      </c>
      <c r="L12" s="109">
        <v>834</v>
      </c>
      <c r="M12" s="93">
        <v>62.299999</v>
      </c>
      <c r="N12" s="114">
        <v>82</v>
      </c>
      <c r="O12" s="112">
        <v>11.4</v>
      </c>
      <c r="P12" s="115">
        <v>2912.1</v>
      </c>
      <c r="Q12" s="116">
        <v>7903</v>
      </c>
      <c r="R12" s="102">
        <v>49423</v>
      </c>
      <c r="S12" s="230">
        <v>0.73</v>
      </c>
      <c r="T12" s="115">
        <v>0.52</v>
      </c>
      <c r="U12" s="109">
        <v>5733.4258</v>
      </c>
      <c r="V12" s="118">
        <v>44.3</v>
      </c>
      <c r="W12" s="119">
        <v>22.265000000000001</v>
      </c>
      <c r="X12" s="121">
        <v>834</v>
      </c>
      <c r="Y12" s="108">
        <v>62.3</v>
      </c>
      <c r="Z12" s="119">
        <v>0</v>
      </c>
      <c r="AA12" s="96">
        <v>78.699100000000001</v>
      </c>
      <c r="AB12" s="94">
        <v>108.057</v>
      </c>
      <c r="AC12" s="94">
        <v>35.799999999999997</v>
      </c>
      <c r="AD12" s="96">
        <v>58.747999999999998</v>
      </c>
    </row>
    <row r="13" spans="1:30">
      <c r="A13" s="109">
        <v>2</v>
      </c>
      <c r="B13" s="110" t="s">
        <v>50</v>
      </c>
      <c r="C13" s="110" t="s">
        <v>49</v>
      </c>
      <c r="D13" s="111">
        <v>2010</v>
      </c>
      <c r="E13" s="109">
        <v>29.5</v>
      </c>
      <c r="F13" s="93">
        <v>26.0596</v>
      </c>
      <c r="G13" s="93">
        <v>130000000000</v>
      </c>
      <c r="H13" s="94">
        <v>39991.599999999999</v>
      </c>
      <c r="I13" s="96">
        <v>0.66</v>
      </c>
      <c r="J13" s="109">
        <v>13.677</v>
      </c>
      <c r="K13" s="112">
        <v>2.5962000000000001</v>
      </c>
      <c r="L13" s="109">
        <v>480</v>
      </c>
      <c r="M13" s="93">
        <v>54.799999</v>
      </c>
      <c r="N13" s="114">
        <v>80.2</v>
      </c>
      <c r="O13" s="112">
        <v>13.5</v>
      </c>
      <c r="P13" s="115">
        <v>8812</v>
      </c>
      <c r="Q13" s="116">
        <v>6487</v>
      </c>
      <c r="R13" s="102">
        <v>60327</v>
      </c>
      <c r="S13" s="230">
        <v>1.29</v>
      </c>
      <c r="T13" s="115">
        <v>100</v>
      </c>
      <c r="U13" s="109">
        <v>8141.2515000000003</v>
      </c>
      <c r="V13" s="118">
        <v>72.5</v>
      </c>
      <c r="W13" s="119">
        <v>13.677</v>
      </c>
      <c r="X13" s="121">
        <v>480</v>
      </c>
      <c r="Y13" s="108">
        <v>54.8</v>
      </c>
      <c r="Z13" s="119">
        <v>8141.25</v>
      </c>
      <c r="AA13" s="96">
        <v>165.893</v>
      </c>
      <c r="AB13" s="94">
        <v>359.19900000000001</v>
      </c>
      <c r="AC13" s="94">
        <v>6.2</v>
      </c>
      <c r="AD13" s="96">
        <v>97.650999999999996</v>
      </c>
    </row>
    <row r="14" spans="1:30">
      <c r="A14" s="109">
        <v>2</v>
      </c>
      <c r="B14" s="110" t="s">
        <v>50</v>
      </c>
      <c r="C14" s="110" t="s">
        <v>49</v>
      </c>
      <c r="D14" s="111">
        <v>2011</v>
      </c>
      <c r="E14" s="109">
        <v>30</v>
      </c>
      <c r="F14" s="93">
        <v>31.0367</v>
      </c>
      <c r="G14" s="93">
        <v>160000000000</v>
      </c>
      <c r="H14" s="94">
        <v>40237</v>
      </c>
      <c r="I14" s="96">
        <v>0.66</v>
      </c>
      <c r="J14" s="109">
        <v>15.513</v>
      </c>
      <c r="K14" s="112">
        <v>2.4622000000000002</v>
      </c>
      <c r="L14" s="109">
        <v>467</v>
      </c>
      <c r="M14" s="93">
        <v>54.400002000000001</v>
      </c>
      <c r="N14" s="114">
        <v>77.7</v>
      </c>
      <c r="O14" s="112">
        <v>14.4</v>
      </c>
      <c r="P14" s="115">
        <v>8324.4</v>
      </c>
      <c r="Q14" s="116">
        <v>6918</v>
      </c>
      <c r="R14" s="102">
        <v>61814</v>
      </c>
      <c r="S14" s="230">
        <v>0.76</v>
      </c>
      <c r="T14" s="115">
        <v>104</v>
      </c>
      <c r="U14" s="109">
        <v>7898.8657000000003</v>
      </c>
      <c r="V14" s="118">
        <v>71.3</v>
      </c>
      <c r="W14" s="119">
        <v>15.513</v>
      </c>
      <c r="X14" s="121">
        <v>467</v>
      </c>
      <c r="Y14" s="108">
        <v>54.4</v>
      </c>
      <c r="Z14" s="119">
        <v>7898.87</v>
      </c>
      <c r="AA14" s="96">
        <v>178.798</v>
      </c>
      <c r="AB14" s="94">
        <v>363.90300000000002</v>
      </c>
      <c r="AC14" s="94">
        <v>6.7</v>
      </c>
      <c r="AD14" s="96">
        <v>97.697999999999993</v>
      </c>
    </row>
    <row r="15" spans="1:30">
      <c r="A15" s="109">
        <v>2</v>
      </c>
      <c r="B15" s="110" t="s">
        <v>50</v>
      </c>
      <c r="C15" s="110" t="s">
        <v>49</v>
      </c>
      <c r="D15" s="111">
        <v>2012</v>
      </c>
      <c r="E15" s="109">
        <v>31</v>
      </c>
      <c r="F15" s="93">
        <v>2.36957</v>
      </c>
      <c r="G15" s="93">
        <v>12000000000</v>
      </c>
      <c r="H15" s="94">
        <v>40074.5</v>
      </c>
      <c r="I15" s="96">
        <v>0.66</v>
      </c>
      <c r="J15" s="109">
        <v>14.069000000000001</v>
      </c>
      <c r="K15" s="112">
        <v>2.681</v>
      </c>
      <c r="L15" s="109">
        <v>456</v>
      </c>
      <c r="M15" s="93">
        <v>53.400002000000001</v>
      </c>
      <c r="N15" s="114">
        <v>78.400000000000006</v>
      </c>
      <c r="O15" s="112">
        <v>17.3</v>
      </c>
      <c r="P15" s="115">
        <v>7970.1</v>
      </c>
      <c r="Q15" s="116">
        <v>6896</v>
      </c>
      <c r="R15" s="102">
        <v>63376</v>
      </c>
      <c r="S15" s="230">
        <v>0.8</v>
      </c>
      <c r="T15" s="115">
        <v>105</v>
      </c>
      <c r="U15" s="109">
        <v>7687.2075000000004</v>
      </c>
      <c r="V15" s="118">
        <v>72.2</v>
      </c>
      <c r="W15" s="119">
        <v>14.069000000000001</v>
      </c>
      <c r="X15" s="121">
        <v>456</v>
      </c>
      <c r="Y15" s="108">
        <v>53.4</v>
      </c>
      <c r="Z15" s="119">
        <v>7687.21</v>
      </c>
      <c r="AA15" s="96">
        <v>177.577</v>
      </c>
      <c r="AB15" s="94">
        <v>366.16699999999997</v>
      </c>
      <c r="AC15" s="94">
        <v>7.7</v>
      </c>
      <c r="AD15" s="96">
        <v>97.744</v>
      </c>
    </row>
    <row r="16" spans="1:30">
      <c r="A16" s="109">
        <v>2</v>
      </c>
      <c r="B16" s="110" t="s">
        <v>50</v>
      </c>
      <c r="C16" s="110" t="s">
        <v>49</v>
      </c>
      <c r="D16" s="111">
        <v>2013</v>
      </c>
      <c r="E16" s="109">
        <v>30.5</v>
      </c>
      <c r="F16" s="93">
        <v>-5.6556199999999999</v>
      </c>
      <c r="G16" s="93">
        <v>-30000000000</v>
      </c>
      <c r="H16" s="94">
        <v>40007.9</v>
      </c>
      <c r="I16" s="96">
        <v>0.66</v>
      </c>
      <c r="J16" s="109">
        <v>13.377000000000001</v>
      </c>
      <c r="K16" s="112">
        <v>2.7286000000000001</v>
      </c>
      <c r="L16" s="109">
        <v>455</v>
      </c>
      <c r="M16" s="93">
        <v>52.799999</v>
      </c>
      <c r="N16" s="114">
        <v>79.099999999999994</v>
      </c>
      <c r="O16" s="112">
        <v>17.3</v>
      </c>
      <c r="P16" s="115">
        <v>8590.4</v>
      </c>
      <c r="Q16" s="116">
        <v>7346</v>
      </c>
      <c r="R16" s="102">
        <v>62572</v>
      </c>
      <c r="S16" s="230">
        <v>1.38</v>
      </c>
      <c r="T16" s="115">
        <v>110</v>
      </c>
      <c r="U16" s="109">
        <v>7875.6752999999999</v>
      </c>
      <c r="V16" s="118">
        <v>72.099999999999994</v>
      </c>
      <c r="W16" s="119">
        <v>13.377000000000001</v>
      </c>
      <c r="X16" s="121">
        <v>455</v>
      </c>
      <c r="Y16" s="108">
        <v>52.8</v>
      </c>
      <c r="Z16" s="119">
        <v>7875.68</v>
      </c>
      <c r="AA16" s="96">
        <v>175.62299999999999</v>
      </c>
      <c r="AB16" s="94">
        <v>367.89699999999999</v>
      </c>
      <c r="AC16" s="94">
        <v>8.3000000000000007</v>
      </c>
      <c r="AD16" s="96">
        <v>97.789000000000001</v>
      </c>
    </row>
    <row r="17" spans="1:30">
      <c r="A17" s="109">
        <v>2</v>
      </c>
      <c r="B17" s="110" t="s">
        <v>50</v>
      </c>
      <c r="C17" s="110" t="s">
        <v>49</v>
      </c>
      <c r="D17" s="111">
        <v>2014</v>
      </c>
      <c r="E17" s="109">
        <v>29.6</v>
      </c>
      <c r="F17" s="93">
        <v>-2.8264399999999998</v>
      </c>
      <c r="G17" s="93">
        <v>-15000000000</v>
      </c>
      <c r="H17" s="94">
        <v>40533.9</v>
      </c>
      <c r="I17" s="96">
        <v>0.64</v>
      </c>
      <c r="J17" s="109">
        <v>14.489000000000001</v>
      </c>
      <c r="K17" s="112">
        <v>2.7778999999999998</v>
      </c>
      <c r="L17" s="109">
        <v>445</v>
      </c>
      <c r="M17" s="93">
        <v>53.799999</v>
      </c>
      <c r="N17" s="114">
        <v>76.7</v>
      </c>
      <c r="O17" s="112">
        <v>17.899999999999999</v>
      </c>
      <c r="P17" s="115">
        <v>12341.4</v>
      </c>
      <c r="Q17" s="116">
        <v>7032</v>
      </c>
      <c r="R17" s="102">
        <v>60314</v>
      </c>
      <c r="S17" s="230">
        <v>1.08</v>
      </c>
      <c r="T17" s="115">
        <v>114</v>
      </c>
      <c r="U17" s="109">
        <v>7804.6421</v>
      </c>
      <c r="V17" s="118">
        <v>71.5</v>
      </c>
      <c r="W17" s="119">
        <v>14.489000000000001</v>
      </c>
      <c r="X17" s="121">
        <v>445</v>
      </c>
      <c r="Y17" s="108">
        <v>53.8</v>
      </c>
      <c r="Z17" s="119">
        <v>7804.64</v>
      </c>
      <c r="AA17" s="96">
        <v>172.10300000000001</v>
      </c>
      <c r="AB17" s="94">
        <v>369.53300000000002</v>
      </c>
      <c r="AC17" s="94">
        <v>9.1</v>
      </c>
      <c r="AD17" s="96">
        <v>97.832999999999998</v>
      </c>
    </row>
    <row r="18" spans="1:30">
      <c r="A18" s="109">
        <v>2</v>
      </c>
      <c r="B18" s="110" t="s">
        <v>50</v>
      </c>
      <c r="C18" s="110" t="s">
        <v>49</v>
      </c>
      <c r="D18" s="111">
        <v>2015</v>
      </c>
      <c r="E18" s="109">
        <v>30.4</v>
      </c>
      <c r="F18" s="93">
        <v>-4.2326100000000002</v>
      </c>
      <c r="G18" s="93">
        <v>-20000000000</v>
      </c>
      <c r="H18" s="94">
        <v>40893.800000000003</v>
      </c>
      <c r="I18" s="96">
        <v>0.68</v>
      </c>
      <c r="J18" s="109">
        <v>14.526</v>
      </c>
      <c r="K18" s="112">
        <v>2.8570000000000002</v>
      </c>
      <c r="L18" s="109">
        <v>436</v>
      </c>
      <c r="M18" s="93">
        <v>53.5</v>
      </c>
      <c r="N18" s="114">
        <v>77.400000000000006</v>
      </c>
      <c r="O18" s="112">
        <v>18.100000000000001</v>
      </c>
      <c r="P18" s="115">
        <v>10765.5</v>
      </c>
      <c r="Q18" s="116">
        <v>7187</v>
      </c>
      <c r="R18" s="102">
        <v>62338</v>
      </c>
      <c r="S18" s="230">
        <v>1.71</v>
      </c>
      <c r="T18" s="115">
        <v>117</v>
      </c>
      <c r="U18" s="109">
        <v>7785.2739000000001</v>
      </c>
      <c r="V18" s="118">
        <v>71.400000000000006</v>
      </c>
      <c r="W18" s="119">
        <v>14.526</v>
      </c>
      <c r="X18" s="121">
        <v>436</v>
      </c>
      <c r="Y18" s="108">
        <v>53.5</v>
      </c>
      <c r="Z18" s="119">
        <v>7785.27</v>
      </c>
      <c r="AA18" s="96">
        <v>167.52600000000001</v>
      </c>
      <c r="AB18" s="94">
        <v>371.68099999999998</v>
      </c>
      <c r="AC18" s="94">
        <v>9.4</v>
      </c>
      <c r="AD18" s="96">
        <v>97.876000000000005</v>
      </c>
    </row>
    <row r="19" spans="1:30">
      <c r="A19" s="109">
        <v>2</v>
      </c>
      <c r="B19" s="110" t="s">
        <v>50</v>
      </c>
      <c r="C19" s="110" t="s">
        <v>49</v>
      </c>
      <c r="D19" s="111">
        <v>2016</v>
      </c>
      <c r="E19" s="109">
        <v>29.2</v>
      </c>
      <c r="F19" s="93">
        <v>12.1319</v>
      </c>
      <c r="G19" s="93">
        <v>58000000000</v>
      </c>
      <c r="H19" s="94">
        <v>41172.9</v>
      </c>
      <c r="I19" s="96">
        <v>0.65</v>
      </c>
      <c r="J19" s="109">
        <v>14.007999999999999</v>
      </c>
      <c r="K19" s="112">
        <v>2.8933</v>
      </c>
      <c r="L19" s="109">
        <v>425</v>
      </c>
      <c r="M19" s="93">
        <v>53.5</v>
      </c>
      <c r="N19" s="114">
        <v>72.5</v>
      </c>
      <c r="O19" s="112">
        <v>18.100000000000001</v>
      </c>
      <c r="P19" s="115">
        <v>7861.7</v>
      </c>
      <c r="Q19" s="116">
        <v>7880</v>
      </c>
      <c r="R19" s="102">
        <v>61463</v>
      </c>
      <c r="S19" s="230">
        <v>1.43</v>
      </c>
      <c r="T19" s="115">
        <v>114</v>
      </c>
      <c r="U19" s="109">
        <v>7897.4214000000002</v>
      </c>
      <c r="V19" s="118">
        <v>72.900000000000006</v>
      </c>
      <c r="W19" s="119">
        <v>14.007999999999999</v>
      </c>
      <c r="X19" s="121">
        <v>425</v>
      </c>
      <c r="Y19" s="108">
        <v>53.5</v>
      </c>
      <c r="Z19" s="119">
        <v>7897.42</v>
      </c>
      <c r="AA19" s="96">
        <v>163.94499999999999</v>
      </c>
      <c r="AB19" s="94">
        <v>373.56700000000001</v>
      </c>
      <c r="AC19" s="94">
        <v>9.1999999999999993</v>
      </c>
      <c r="AD19" s="96">
        <v>97.918999999999997</v>
      </c>
    </row>
    <row r="20" spans="1:30">
      <c r="A20" s="109">
        <v>2</v>
      </c>
      <c r="B20" s="110" t="s">
        <v>50</v>
      </c>
      <c r="C20" s="110" t="s">
        <v>49</v>
      </c>
      <c r="D20" s="111">
        <v>2017</v>
      </c>
      <c r="E20" s="109">
        <v>30.2</v>
      </c>
      <c r="F20" s="93">
        <v>-7.4442399999999997</v>
      </c>
      <c r="G20" s="93">
        <v>-37000000000</v>
      </c>
      <c r="H20" s="94">
        <v>41619.300000000003</v>
      </c>
      <c r="I20" s="96">
        <v>0.7</v>
      </c>
      <c r="J20" s="109">
        <v>13.430999999999999</v>
      </c>
      <c r="K20" s="112">
        <v>2.8744000000000001</v>
      </c>
      <c r="L20" s="109">
        <v>412</v>
      </c>
      <c r="M20" s="93">
        <v>53.900002000000001</v>
      </c>
      <c r="N20" s="114">
        <v>75.099999999999994</v>
      </c>
      <c r="O20" s="112">
        <v>19</v>
      </c>
      <c r="P20" s="115">
        <v>9962.5</v>
      </c>
      <c r="Q20" s="116">
        <v>8166</v>
      </c>
      <c r="R20" s="102">
        <v>62281</v>
      </c>
      <c r="S20" s="230">
        <v>1.7</v>
      </c>
      <c r="T20" s="115">
        <v>119</v>
      </c>
      <c r="U20" s="109">
        <v>7861.9477999999999</v>
      </c>
      <c r="V20" s="118">
        <v>72</v>
      </c>
      <c r="W20" s="119">
        <v>13.430999999999999</v>
      </c>
      <c r="X20" s="121">
        <v>412</v>
      </c>
      <c r="Y20" s="108">
        <v>53.9</v>
      </c>
      <c r="Z20" s="119">
        <v>7861.95</v>
      </c>
      <c r="AA20" s="96">
        <v>167.46899999999999</v>
      </c>
      <c r="AB20" s="94">
        <v>375.00900000000001</v>
      </c>
      <c r="AC20" s="94">
        <v>9.6999999999999993</v>
      </c>
      <c r="AD20" s="96">
        <v>97.960999999999999</v>
      </c>
    </row>
    <row r="21" spans="1:30">
      <c r="A21" s="109">
        <v>2</v>
      </c>
      <c r="B21" s="110" t="s">
        <v>50</v>
      </c>
      <c r="C21" s="110" t="s">
        <v>49</v>
      </c>
      <c r="D21" s="111">
        <v>2018</v>
      </c>
      <c r="E21" s="109">
        <v>30.6</v>
      </c>
      <c r="F21" s="93">
        <v>-7.6665000000000001</v>
      </c>
      <c r="G21" s="93">
        <v>-42000000000</v>
      </c>
      <c r="H21" s="94">
        <v>42208.4</v>
      </c>
      <c r="I21" s="96">
        <v>0.66</v>
      </c>
      <c r="J21" s="109">
        <v>14.92</v>
      </c>
      <c r="K21" s="112">
        <v>3.0398000000000001</v>
      </c>
      <c r="L21" s="109">
        <v>419</v>
      </c>
      <c r="M21" s="93">
        <v>54.400002000000001</v>
      </c>
      <c r="N21" s="114">
        <v>72.5</v>
      </c>
      <c r="O21" s="112">
        <v>20.6</v>
      </c>
      <c r="P21" s="115">
        <v>11848.3</v>
      </c>
      <c r="Q21" s="116">
        <v>7614</v>
      </c>
      <c r="R21" s="102">
        <v>63234</v>
      </c>
      <c r="S21" s="230">
        <v>1.41</v>
      </c>
      <c r="T21" s="115">
        <v>116</v>
      </c>
      <c r="U21" s="109">
        <v>7215.5068000000001</v>
      </c>
      <c r="V21" s="118">
        <v>72.7</v>
      </c>
      <c r="W21" s="119">
        <v>14.92</v>
      </c>
      <c r="X21" s="121">
        <v>419</v>
      </c>
      <c r="Y21" s="108">
        <v>54.4</v>
      </c>
      <c r="Z21" s="119">
        <v>7215.51</v>
      </c>
      <c r="AA21" s="96">
        <v>170.16900000000001</v>
      </c>
      <c r="AB21" s="94">
        <v>374.74299999999999</v>
      </c>
      <c r="AC21" s="94">
        <v>10.7</v>
      </c>
      <c r="AD21" s="96">
        <v>98.001000000000005</v>
      </c>
    </row>
    <row r="22" spans="1:30">
      <c r="A22" s="109">
        <v>2</v>
      </c>
      <c r="B22" s="110" t="s">
        <v>50</v>
      </c>
      <c r="C22" s="110" t="s">
        <v>49</v>
      </c>
      <c r="D22" s="111">
        <v>2019</v>
      </c>
      <c r="E22" s="109">
        <v>31.6</v>
      </c>
      <c r="F22" s="93">
        <v>-1.9725299999999999</v>
      </c>
      <c r="G22" s="93">
        <v>-11000000000</v>
      </c>
      <c r="H22" s="94">
        <v>43006.400000000001</v>
      </c>
      <c r="I22" s="96">
        <v>0.66</v>
      </c>
      <c r="J22" s="109">
        <v>12.821999999999999</v>
      </c>
      <c r="K22" s="112">
        <v>2.9823</v>
      </c>
      <c r="L22" s="109">
        <v>411</v>
      </c>
      <c r="M22" s="93">
        <v>54.700001</v>
      </c>
      <c r="N22" s="114">
        <v>70.8</v>
      </c>
      <c r="O22" s="112">
        <v>20.5</v>
      </c>
      <c r="P22" s="115">
        <v>9433.7999999999993</v>
      </c>
      <c r="Q22" s="116">
        <v>8592</v>
      </c>
      <c r="R22" s="102">
        <v>62091</v>
      </c>
      <c r="S22" s="230">
        <v>1.36</v>
      </c>
      <c r="T22" s="115">
        <v>118</v>
      </c>
      <c r="U22" s="109">
        <v>6569.0658999999996</v>
      </c>
      <c r="V22" s="118">
        <v>72.5</v>
      </c>
      <c r="W22" s="119">
        <v>12.821999999999999</v>
      </c>
      <c r="X22" s="121">
        <v>411</v>
      </c>
      <c r="Y22" s="108">
        <v>54.7</v>
      </c>
      <c r="Z22" s="119">
        <v>0</v>
      </c>
      <c r="AA22" s="96">
        <v>163.172</v>
      </c>
      <c r="AB22" s="94">
        <v>376.762</v>
      </c>
      <c r="AC22" s="94">
        <v>10.199999999999999</v>
      </c>
      <c r="AD22" s="96">
        <v>98.040999999999997</v>
      </c>
    </row>
    <row r="23" spans="1:30">
      <c r="A23" s="109">
        <v>2</v>
      </c>
      <c r="B23" s="110" t="s">
        <v>50</v>
      </c>
      <c r="C23" s="110" t="s">
        <v>49</v>
      </c>
      <c r="D23" s="111">
        <v>2020</v>
      </c>
      <c r="E23" s="109">
        <v>32.200000000000003</v>
      </c>
      <c r="F23" s="93">
        <v>-5.7423500000000001</v>
      </c>
      <c r="G23" s="93">
        <v>-30000000000</v>
      </c>
      <c r="H23" s="94">
        <v>40769</v>
      </c>
      <c r="I23" s="96">
        <v>0.63</v>
      </c>
      <c r="J23" s="109">
        <v>12.984999999999999</v>
      </c>
      <c r="K23" s="112">
        <v>3.0830000000000002</v>
      </c>
      <c r="L23" s="109">
        <v>409</v>
      </c>
      <c r="M23" s="93">
        <v>51.400002000000001</v>
      </c>
      <c r="N23" s="114">
        <v>73.5</v>
      </c>
      <c r="O23" s="112">
        <v>22.9</v>
      </c>
      <c r="P23" s="115">
        <v>7318.9</v>
      </c>
      <c r="Q23" s="116">
        <v>8516</v>
      </c>
      <c r="R23" s="102">
        <v>63816</v>
      </c>
      <c r="S23" s="230">
        <v>0.48</v>
      </c>
      <c r="T23" s="115">
        <v>117</v>
      </c>
      <c r="U23" s="109">
        <v>5922.625</v>
      </c>
      <c r="V23" s="118">
        <v>72.3</v>
      </c>
      <c r="W23" s="119">
        <v>12.984999999999999</v>
      </c>
      <c r="X23" s="121">
        <v>409</v>
      </c>
      <c r="Y23" s="108">
        <v>51.4</v>
      </c>
      <c r="Z23" s="119">
        <v>0</v>
      </c>
      <c r="AA23" s="96">
        <v>154.56399999999999</v>
      </c>
      <c r="AB23" s="94">
        <v>378.38900000000001</v>
      </c>
      <c r="AC23" s="94">
        <v>12.3</v>
      </c>
      <c r="AD23" s="96">
        <v>98.078999999999994</v>
      </c>
    </row>
    <row r="24" spans="1:30">
      <c r="A24" s="109">
        <v>3</v>
      </c>
      <c r="B24" s="110" t="s">
        <v>48</v>
      </c>
      <c r="C24" s="110" t="s">
        <v>47</v>
      </c>
      <c r="D24" s="111">
        <v>2010</v>
      </c>
      <c r="E24" s="109">
        <v>13</v>
      </c>
      <c r="F24" s="93">
        <v>3.6305499999999999</v>
      </c>
      <c r="G24" s="93">
        <v>1800000000</v>
      </c>
      <c r="H24" s="94">
        <v>6434.55</v>
      </c>
      <c r="I24" s="96">
        <v>0.37</v>
      </c>
      <c r="J24" s="109">
        <v>13.522</v>
      </c>
      <c r="K24" s="112">
        <v>0.35520000000000002</v>
      </c>
      <c r="L24" s="109">
        <v>577</v>
      </c>
      <c r="M24" s="93">
        <v>24.5</v>
      </c>
      <c r="N24" s="114">
        <v>78.400000000000006</v>
      </c>
      <c r="O24" s="112">
        <v>2.1</v>
      </c>
      <c r="P24" s="115">
        <v>439.7</v>
      </c>
      <c r="Q24" s="116">
        <v>568</v>
      </c>
      <c r="R24" s="102">
        <v>49981</v>
      </c>
      <c r="S24" s="230">
        <v>0.14000000000000001</v>
      </c>
      <c r="T24" s="115">
        <v>100</v>
      </c>
      <c r="U24" s="109">
        <v>7811.9087</v>
      </c>
      <c r="V24" s="118">
        <v>15.9</v>
      </c>
      <c r="W24" s="119">
        <v>13.522</v>
      </c>
      <c r="X24" s="121">
        <v>577</v>
      </c>
      <c r="Y24" s="108">
        <v>24.5</v>
      </c>
      <c r="Z24" s="119">
        <v>7811.91</v>
      </c>
      <c r="AA24" s="96">
        <v>90.902600000000007</v>
      </c>
      <c r="AB24" s="94">
        <v>68.124499999999998</v>
      </c>
      <c r="AC24" s="94">
        <v>14.3</v>
      </c>
      <c r="AD24" s="96">
        <v>72.302000000000007</v>
      </c>
    </row>
    <row r="25" spans="1:30">
      <c r="A25" s="109">
        <v>3</v>
      </c>
      <c r="B25" s="110" t="s">
        <v>48</v>
      </c>
      <c r="C25" s="110" t="s">
        <v>47</v>
      </c>
      <c r="D25" s="111">
        <v>2011</v>
      </c>
      <c r="E25" s="109">
        <v>14.5</v>
      </c>
      <c r="F25" s="93">
        <v>3.64378</v>
      </c>
      <c r="G25" s="93">
        <v>2100000000</v>
      </c>
      <c r="H25" s="94">
        <v>6611.3</v>
      </c>
      <c r="I25" s="96">
        <v>0.36</v>
      </c>
      <c r="J25" s="109">
        <v>14.548</v>
      </c>
      <c r="K25" s="112">
        <v>0.32750000000000001</v>
      </c>
      <c r="L25" s="109">
        <v>553</v>
      </c>
      <c r="M25" s="93">
        <v>26.200001</v>
      </c>
      <c r="N25" s="114">
        <v>82.3</v>
      </c>
      <c r="O25" s="112">
        <v>1.8</v>
      </c>
      <c r="P25" s="115">
        <v>1111.5</v>
      </c>
      <c r="Q25" s="116">
        <v>572</v>
      </c>
      <c r="R25" s="102">
        <v>49886</v>
      </c>
      <c r="S25" s="230">
        <v>0.14000000000000001</v>
      </c>
      <c r="T25" s="115">
        <v>97</v>
      </c>
      <c r="U25" s="109">
        <v>7243.7046</v>
      </c>
      <c r="V25" s="118">
        <v>15</v>
      </c>
      <c r="W25" s="119">
        <v>14.548</v>
      </c>
      <c r="X25" s="121">
        <v>553</v>
      </c>
      <c r="Y25" s="108">
        <v>26.2</v>
      </c>
      <c r="Z25" s="119">
        <v>7243.7</v>
      </c>
      <c r="AA25" s="96">
        <v>105.288</v>
      </c>
      <c r="AB25" s="94">
        <v>67.689099999999996</v>
      </c>
      <c r="AC25" s="94">
        <v>13.2</v>
      </c>
      <c r="AD25" s="96">
        <v>72.638000000000005</v>
      </c>
    </row>
    <row r="26" spans="1:30">
      <c r="A26" s="109">
        <v>3</v>
      </c>
      <c r="B26" s="110" t="s">
        <v>48</v>
      </c>
      <c r="C26" s="110" t="s">
        <v>47</v>
      </c>
      <c r="D26" s="111">
        <v>2012</v>
      </c>
      <c r="E26" s="109">
        <v>17</v>
      </c>
      <c r="F26" s="93">
        <v>3.2937400000000001</v>
      </c>
      <c r="G26" s="93">
        <v>1800000000</v>
      </c>
      <c r="H26" s="94">
        <v>6699.5</v>
      </c>
      <c r="I26" s="96">
        <v>0.36</v>
      </c>
      <c r="J26" s="109">
        <v>14.429</v>
      </c>
      <c r="K26" s="112">
        <v>0.34329999999999999</v>
      </c>
      <c r="L26" s="109">
        <v>599</v>
      </c>
      <c r="M26" s="93">
        <v>25</v>
      </c>
      <c r="N26" s="114">
        <v>84</v>
      </c>
      <c r="O26" s="112">
        <v>1.8</v>
      </c>
      <c r="P26" s="115">
        <v>1490</v>
      </c>
      <c r="Q26" s="116">
        <v>591</v>
      </c>
      <c r="R26" s="102">
        <v>50643</v>
      </c>
      <c r="S26" s="230">
        <v>0</v>
      </c>
      <c r="T26" s="115">
        <v>99</v>
      </c>
      <c r="U26" s="109">
        <v>7807.1646000000001</v>
      </c>
      <c r="V26" s="118">
        <v>15.2</v>
      </c>
      <c r="W26" s="119">
        <v>14.429</v>
      </c>
      <c r="X26" s="121">
        <v>599</v>
      </c>
      <c r="Y26" s="108">
        <v>25</v>
      </c>
      <c r="Z26" s="119">
        <v>7807.16</v>
      </c>
      <c r="AA26" s="96">
        <v>109.40900000000001</v>
      </c>
      <c r="AB26" s="94">
        <v>67.298199999999994</v>
      </c>
      <c r="AC26" s="94">
        <v>15.6</v>
      </c>
      <c r="AD26" s="96">
        <v>72.974999999999994</v>
      </c>
    </row>
    <row r="27" spans="1:30">
      <c r="A27" s="109">
        <v>3</v>
      </c>
      <c r="B27" s="110" t="s">
        <v>48</v>
      </c>
      <c r="C27" s="110" t="s">
        <v>47</v>
      </c>
      <c r="D27" s="111">
        <v>2013</v>
      </c>
      <c r="E27" s="109">
        <v>17</v>
      </c>
      <c r="F27" s="93">
        <v>3.5612599999999999</v>
      </c>
      <c r="G27" s="93">
        <v>2000000000</v>
      </c>
      <c r="H27" s="94">
        <v>6700.54</v>
      </c>
      <c r="I27" s="96">
        <v>0.37</v>
      </c>
      <c r="J27" s="109">
        <v>15.289</v>
      </c>
      <c r="K27" s="112">
        <v>0.35360000000000003</v>
      </c>
      <c r="L27" s="109">
        <v>598</v>
      </c>
      <c r="M27" s="93">
        <v>28.5</v>
      </c>
      <c r="N27" s="114">
        <v>83.5</v>
      </c>
      <c r="O27" s="112">
        <v>2.5</v>
      </c>
      <c r="P27" s="115">
        <v>780.6</v>
      </c>
      <c r="Q27" s="116">
        <v>572</v>
      </c>
      <c r="R27" s="102">
        <v>49110</v>
      </c>
      <c r="S27" s="230">
        <v>0</v>
      </c>
      <c r="T27" s="115">
        <v>100</v>
      </c>
      <c r="U27" s="109">
        <v>8344.7471000000005</v>
      </c>
      <c r="V27" s="118">
        <v>15.7</v>
      </c>
      <c r="W27" s="119">
        <v>15.289</v>
      </c>
      <c r="X27" s="121">
        <v>598</v>
      </c>
      <c r="Y27" s="108">
        <v>28.5</v>
      </c>
      <c r="Z27" s="119">
        <v>8344.75</v>
      </c>
      <c r="AA27" s="96">
        <v>114.377</v>
      </c>
      <c r="AB27" s="94">
        <v>66.922600000000003</v>
      </c>
      <c r="AC27" s="94">
        <v>18.2</v>
      </c>
      <c r="AD27" s="96">
        <v>73.313000000000002</v>
      </c>
    </row>
    <row r="28" spans="1:30">
      <c r="A28" s="109">
        <v>3</v>
      </c>
      <c r="B28" s="110" t="s">
        <v>48</v>
      </c>
      <c r="C28" s="110" t="s">
        <v>47</v>
      </c>
      <c r="D28" s="111">
        <v>2014</v>
      </c>
      <c r="E28" s="109">
        <v>17.100000000000001</v>
      </c>
      <c r="F28" s="93">
        <v>1.9133</v>
      </c>
      <c r="G28" s="93">
        <v>1100000000</v>
      </c>
      <c r="H28" s="94">
        <v>6802.71</v>
      </c>
      <c r="I28" s="96">
        <v>0.35</v>
      </c>
      <c r="J28" s="109">
        <v>16.566998999999999</v>
      </c>
      <c r="K28" s="112">
        <v>0.32569999999999999</v>
      </c>
      <c r="L28" s="109">
        <v>554</v>
      </c>
      <c r="M28" s="93">
        <v>23.1</v>
      </c>
      <c r="N28" s="114">
        <v>84.9</v>
      </c>
      <c r="O28" s="112">
        <v>2.7</v>
      </c>
      <c r="P28" s="115">
        <v>1120.4000000000001</v>
      </c>
      <c r="Q28" s="116">
        <v>654</v>
      </c>
      <c r="R28" s="102">
        <v>48335</v>
      </c>
      <c r="S28" s="230">
        <v>0.21</v>
      </c>
      <c r="T28" s="115">
        <v>104</v>
      </c>
      <c r="U28" s="109">
        <v>8137.8334999999997</v>
      </c>
      <c r="V28" s="118">
        <v>14.5</v>
      </c>
      <c r="W28" s="119">
        <v>16.567</v>
      </c>
      <c r="X28" s="121">
        <v>554</v>
      </c>
      <c r="Y28" s="108">
        <v>23.1</v>
      </c>
      <c r="Z28" s="119">
        <v>8137.83</v>
      </c>
      <c r="AA28" s="96">
        <v>111.789</v>
      </c>
      <c r="AB28" s="94">
        <v>66.543300000000002</v>
      </c>
      <c r="AC28" s="94">
        <v>17.100000000000001</v>
      </c>
      <c r="AD28" s="96">
        <v>73.650999999999996</v>
      </c>
    </row>
    <row r="29" spans="1:30">
      <c r="A29" s="109">
        <v>3</v>
      </c>
      <c r="B29" s="110" t="s">
        <v>48</v>
      </c>
      <c r="C29" s="110" t="s">
        <v>47</v>
      </c>
      <c r="D29" s="111">
        <v>2015</v>
      </c>
      <c r="E29" s="109">
        <v>17.899999999999999</v>
      </c>
      <c r="F29" s="93">
        <v>4.3717800000000002</v>
      </c>
      <c r="G29" s="93">
        <v>2200000000</v>
      </c>
      <c r="H29" s="94">
        <v>7078.86</v>
      </c>
      <c r="I29" s="96">
        <v>0.36</v>
      </c>
      <c r="J29" s="109">
        <v>17.585999999999999</v>
      </c>
      <c r="K29" s="112">
        <v>0.29949999999999999</v>
      </c>
      <c r="L29" s="109">
        <v>508</v>
      </c>
      <c r="M29" s="93">
        <v>29.4</v>
      </c>
      <c r="N29" s="114">
        <v>85.6</v>
      </c>
      <c r="O29" s="112">
        <v>3.1</v>
      </c>
      <c r="P29" s="115">
        <v>1763.9</v>
      </c>
      <c r="Q29" s="116">
        <v>711</v>
      </c>
      <c r="R29" s="102">
        <v>48132</v>
      </c>
      <c r="S29" s="230">
        <v>7.0000000000000007E-2</v>
      </c>
      <c r="T29" s="115">
        <v>110</v>
      </c>
      <c r="U29" s="109">
        <v>8492.9014000000006</v>
      </c>
      <c r="V29" s="118">
        <v>14.1</v>
      </c>
      <c r="W29" s="119">
        <v>17.585999999999999</v>
      </c>
      <c r="X29" s="121">
        <v>508</v>
      </c>
      <c r="Y29" s="108">
        <v>29.4</v>
      </c>
      <c r="Z29" s="119">
        <v>8492.9</v>
      </c>
      <c r="AA29" s="96">
        <v>107.408</v>
      </c>
      <c r="AB29" s="94">
        <v>66.12</v>
      </c>
      <c r="AC29" s="94">
        <v>17.899999999999999</v>
      </c>
      <c r="AD29" s="96">
        <v>73.989999999999995</v>
      </c>
    </row>
    <row r="30" spans="1:30">
      <c r="A30" s="109">
        <v>3</v>
      </c>
      <c r="B30" s="110" t="s">
        <v>48</v>
      </c>
      <c r="C30" s="110" t="s">
        <v>47</v>
      </c>
      <c r="D30" s="111">
        <v>2016</v>
      </c>
      <c r="E30" s="109">
        <v>17.2</v>
      </c>
      <c r="F30" s="93">
        <v>2.7581799999999999</v>
      </c>
      <c r="G30" s="93">
        <v>1500000000</v>
      </c>
      <c r="H30" s="94">
        <v>7344.44</v>
      </c>
      <c r="I30" s="96">
        <v>0.37</v>
      </c>
      <c r="J30" s="109">
        <v>17.524000000000001</v>
      </c>
      <c r="K30" s="112">
        <v>0.3498</v>
      </c>
      <c r="L30" s="109">
        <v>460</v>
      </c>
      <c r="M30" s="93">
        <v>31.799999</v>
      </c>
      <c r="N30" s="114">
        <v>81.5</v>
      </c>
      <c r="O30" s="112">
        <v>4.3</v>
      </c>
      <c r="P30" s="115">
        <v>2970.3</v>
      </c>
      <c r="Q30" s="116">
        <v>730</v>
      </c>
      <c r="R30" s="102">
        <v>51013</v>
      </c>
      <c r="S30" s="230">
        <v>0.05</v>
      </c>
      <c r="T30" s="115">
        <v>112</v>
      </c>
      <c r="U30" s="109">
        <v>7944.9813999999997</v>
      </c>
      <c r="V30" s="118">
        <v>16.100000000000001</v>
      </c>
      <c r="W30" s="119">
        <v>17.524000000000001</v>
      </c>
      <c r="X30" s="121">
        <v>460</v>
      </c>
      <c r="Y30" s="108">
        <v>31.8</v>
      </c>
      <c r="Z30" s="119">
        <v>7944.98</v>
      </c>
      <c r="AA30" s="96">
        <v>102.855</v>
      </c>
      <c r="AB30" s="94">
        <v>65.657899999999998</v>
      </c>
      <c r="AC30" s="94">
        <v>17.7</v>
      </c>
      <c r="AD30" s="96">
        <v>74.328999999999994</v>
      </c>
    </row>
    <row r="31" spans="1:30">
      <c r="A31" s="109">
        <v>3</v>
      </c>
      <c r="B31" s="110" t="s">
        <v>48</v>
      </c>
      <c r="C31" s="110" t="s">
        <v>47</v>
      </c>
      <c r="D31" s="111">
        <v>2017</v>
      </c>
      <c r="E31" s="109">
        <v>17.899999999999999</v>
      </c>
      <c r="F31" s="93">
        <v>3.38442</v>
      </c>
      <c r="G31" s="93">
        <v>2000000000</v>
      </c>
      <c r="H31" s="94">
        <v>7601.44</v>
      </c>
      <c r="I31" s="96">
        <v>0.37</v>
      </c>
      <c r="J31" s="109">
        <v>17.308001000000001</v>
      </c>
      <c r="K31" s="112">
        <v>0.3483</v>
      </c>
      <c r="L31" s="109">
        <v>438</v>
      </c>
      <c r="M31" s="93">
        <v>34.599997999999999</v>
      </c>
      <c r="N31" s="114">
        <v>83.7</v>
      </c>
      <c r="O31" s="112">
        <v>3.4</v>
      </c>
      <c r="P31" s="115">
        <v>2539.8000000000002</v>
      </c>
      <c r="Q31" s="116">
        <v>885</v>
      </c>
      <c r="R31" s="102">
        <v>51855</v>
      </c>
      <c r="S31" s="230">
        <v>0.03</v>
      </c>
      <c r="T31" s="115">
        <v>112</v>
      </c>
      <c r="U31" s="109">
        <v>7863.5249000000003</v>
      </c>
      <c r="V31" s="118">
        <v>16.8</v>
      </c>
      <c r="W31" s="119">
        <v>17.308</v>
      </c>
      <c r="X31" s="121">
        <v>438</v>
      </c>
      <c r="Y31" s="108">
        <v>34.6</v>
      </c>
      <c r="Z31" s="119">
        <v>7863.52</v>
      </c>
      <c r="AA31" s="96">
        <v>110.643</v>
      </c>
      <c r="AB31" s="94">
        <v>65.180099999999996</v>
      </c>
      <c r="AC31" s="94">
        <v>17.100000000000001</v>
      </c>
      <c r="AD31" s="96">
        <v>74.668999999999997</v>
      </c>
    </row>
    <row r="32" spans="1:30">
      <c r="A32" s="109">
        <v>3</v>
      </c>
      <c r="B32" s="110" t="s">
        <v>48</v>
      </c>
      <c r="C32" s="110" t="s">
        <v>47</v>
      </c>
      <c r="D32" s="111">
        <v>2018</v>
      </c>
      <c r="E32" s="109">
        <v>18.3</v>
      </c>
      <c r="F32" s="93">
        <v>2.7302499999999998</v>
      </c>
      <c r="G32" s="93">
        <v>1800000000</v>
      </c>
      <c r="H32" s="94">
        <v>7851.73</v>
      </c>
      <c r="I32" s="96">
        <v>0.37</v>
      </c>
      <c r="J32" s="109">
        <v>19.405999999999999</v>
      </c>
      <c r="K32" s="112">
        <v>0.34870000000000001</v>
      </c>
      <c r="L32" s="109">
        <v>451</v>
      </c>
      <c r="M32" s="93">
        <v>31.5</v>
      </c>
      <c r="N32" s="114">
        <v>81</v>
      </c>
      <c r="O32" s="112">
        <v>2.4</v>
      </c>
      <c r="P32" s="115">
        <v>2798.1</v>
      </c>
      <c r="Q32" s="116">
        <v>909</v>
      </c>
      <c r="R32" s="102">
        <v>52418</v>
      </c>
      <c r="S32" s="230">
        <v>7.0000000000000007E-2</v>
      </c>
      <c r="T32" s="115">
        <v>117</v>
      </c>
      <c r="U32" s="109">
        <v>6967.8842999999997</v>
      </c>
      <c r="V32" s="118">
        <v>15.7</v>
      </c>
      <c r="W32" s="119">
        <v>19.405999999999999</v>
      </c>
      <c r="X32" s="121">
        <v>451</v>
      </c>
      <c r="Y32" s="108">
        <v>31.5</v>
      </c>
      <c r="Z32" s="119">
        <v>6967.88</v>
      </c>
      <c r="AA32" s="96">
        <v>107.82</v>
      </c>
      <c r="AB32" s="94">
        <v>64.711100000000002</v>
      </c>
      <c r="AC32" s="94">
        <v>19.600000000000001</v>
      </c>
      <c r="AD32" s="96">
        <v>75.007999999999996</v>
      </c>
    </row>
    <row r="33" spans="1:30">
      <c r="A33" s="109">
        <v>3</v>
      </c>
      <c r="B33" s="110" t="s">
        <v>48</v>
      </c>
      <c r="C33" s="110" t="s">
        <v>47</v>
      </c>
      <c r="D33" s="111">
        <v>2019</v>
      </c>
      <c r="E33" s="109">
        <v>18.8</v>
      </c>
      <c r="F33" s="93">
        <v>3.2364799999999998</v>
      </c>
      <c r="G33" s="93">
        <v>2200000000</v>
      </c>
      <c r="H33" s="94">
        <v>8206.7800000000007</v>
      </c>
      <c r="I33" s="96">
        <v>0.37</v>
      </c>
      <c r="J33" s="109">
        <v>20.239999999999998</v>
      </c>
      <c r="K33" s="112">
        <v>0.3599</v>
      </c>
      <c r="L33" s="109">
        <v>431</v>
      </c>
      <c r="M33" s="93">
        <v>34.599997999999999</v>
      </c>
      <c r="N33" s="114">
        <v>83</v>
      </c>
      <c r="O33" s="112">
        <v>4</v>
      </c>
      <c r="P33" s="115">
        <v>1686.4</v>
      </c>
      <c r="Q33" s="116">
        <v>1023</v>
      </c>
      <c r="R33" s="102">
        <v>53871</v>
      </c>
      <c r="S33" s="230">
        <v>0</v>
      </c>
      <c r="T33" s="115">
        <v>122</v>
      </c>
      <c r="U33" s="109">
        <v>6072.2437</v>
      </c>
      <c r="V33" s="118">
        <v>16.399999999999999</v>
      </c>
      <c r="W33" s="119">
        <v>20.239999999999998</v>
      </c>
      <c r="X33" s="121">
        <v>431</v>
      </c>
      <c r="Y33" s="108">
        <v>34.6</v>
      </c>
      <c r="Z33" s="119">
        <v>0</v>
      </c>
      <c r="AA33" s="96">
        <v>103.455</v>
      </c>
      <c r="AB33" s="94">
        <v>64.257199999999997</v>
      </c>
      <c r="AC33" s="94">
        <v>19.3</v>
      </c>
      <c r="AD33" s="96">
        <v>75.346999999999994</v>
      </c>
    </row>
    <row r="34" spans="1:30">
      <c r="A34" s="109">
        <v>3</v>
      </c>
      <c r="B34" s="110" t="s">
        <v>48</v>
      </c>
      <c r="C34" s="110" t="s">
        <v>47</v>
      </c>
      <c r="D34" s="111">
        <v>2020</v>
      </c>
      <c r="E34" s="109">
        <v>19.3</v>
      </c>
      <c r="F34" s="93">
        <v>4.6815699999999998</v>
      </c>
      <c r="G34" s="93">
        <v>3300000000</v>
      </c>
      <c r="H34" s="94">
        <v>7990.69</v>
      </c>
      <c r="I34" s="96">
        <v>0.38</v>
      </c>
      <c r="J34" s="109">
        <v>21.073999000000001</v>
      </c>
      <c r="K34" s="112">
        <v>0.35120000000000001</v>
      </c>
      <c r="L34" s="109">
        <v>418</v>
      </c>
      <c r="M34" s="93">
        <v>35.200001</v>
      </c>
      <c r="N34" s="114">
        <v>83.6</v>
      </c>
      <c r="O34" s="112">
        <v>5.8</v>
      </c>
      <c r="P34" s="115">
        <v>2309.1999999999998</v>
      </c>
      <c r="Q34" s="116">
        <v>955</v>
      </c>
      <c r="R34" s="102">
        <v>51751</v>
      </c>
      <c r="S34" s="230">
        <v>0</v>
      </c>
      <c r="T34" s="115">
        <v>117</v>
      </c>
      <c r="U34" s="109">
        <v>5176.6030000000001</v>
      </c>
      <c r="V34" s="118">
        <v>16</v>
      </c>
      <c r="W34" s="119">
        <v>0</v>
      </c>
      <c r="X34" s="121">
        <v>418</v>
      </c>
      <c r="Y34" s="108">
        <v>35.200000000000003</v>
      </c>
      <c r="Z34" s="119">
        <v>0</v>
      </c>
      <c r="AA34" s="96">
        <v>94.758200000000002</v>
      </c>
      <c r="AB34" s="94">
        <v>63.872700000000002</v>
      </c>
      <c r="AC34" s="94">
        <v>21.1</v>
      </c>
      <c r="AD34" s="96">
        <v>75.686000000000007</v>
      </c>
    </row>
    <row r="35" spans="1:30">
      <c r="A35" s="109">
        <v>4</v>
      </c>
      <c r="B35" s="110" t="s">
        <v>46</v>
      </c>
      <c r="C35" s="110" t="s">
        <v>45</v>
      </c>
      <c r="D35" s="111">
        <v>2010</v>
      </c>
      <c r="E35" s="109">
        <v>17.5</v>
      </c>
      <c r="F35" s="93">
        <v>120.279</v>
      </c>
      <c r="G35" s="93">
        <v>31000000000</v>
      </c>
      <c r="H35" s="94">
        <v>26090</v>
      </c>
      <c r="I35" s="96">
        <v>0.61</v>
      </c>
      <c r="J35" s="109">
        <v>31.122999</v>
      </c>
      <c r="K35" s="112">
        <v>0.84560000000000002</v>
      </c>
      <c r="L35" s="109">
        <v>684</v>
      </c>
      <c r="M35" s="93">
        <v>11.2</v>
      </c>
      <c r="N35" s="114">
        <v>71.599999999999994</v>
      </c>
      <c r="O35" s="112">
        <v>2</v>
      </c>
      <c r="P35" s="115">
        <v>17.600000000000001</v>
      </c>
      <c r="Q35" s="116">
        <v>269</v>
      </c>
      <c r="R35" s="102">
        <v>6003</v>
      </c>
      <c r="S35" s="230">
        <v>0</v>
      </c>
      <c r="T35" s="115">
        <v>100</v>
      </c>
      <c r="U35" s="109">
        <v>8046.9683000000005</v>
      </c>
      <c r="V35" s="118">
        <v>24.7</v>
      </c>
      <c r="W35" s="119">
        <v>31.123000000000001</v>
      </c>
      <c r="X35" s="121">
        <v>684</v>
      </c>
      <c r="Y35" s="108">
        <v>11.2</v>
      </c>
      <c r="Z35" s="119">
        <v>8046.97</v>
      </c>
      <c r="AA35" s="96">
        <v>38.647399999999998</v>
      </c>
      <c r="AB35" s="94">
        <v>122.05800000000001</v>
      </c>
      <c r="AC35" s="94">
        <v>6.5</v>
      </c>
      <c r="AD35" s="96">
        <v>67.551000000000002</v>
      </c>
    </row>
    <row r="36" spans="1:30">
      <c r="A36" s="109">
        <v>4</v>
      </c>
      <c r="B36" s="110" t="s">
        <v>46</v>
      </c>
      <c r="C36" s="110" t="s">
        <v>45</v>
      </c>
      <c r="D36" s="111">
        <v>2011</v>
      </c>
      <c r="E36" s="109">
        <v>18.5</v>
      </c>
      <c r="F36" s="93">
        <v>146.32300000000001</v>
      </c>
      <c r="G36" s="93">
        <v>40000000000</v>
      </c>
      <c r="H36" s="94">
        <v>25538.799999999999</v>
      </c>
      <c r="I36" s="96">
        <v>0.56999999999999995</v>
      </c>
      <c r="J36" s="109">
        <v>28.802</v>
      </c>
      <c r="K36" s="112">
        <v>0.86499999999999999</v>
      </c>
      <c r="L36" s="109">
        <v>688</v>
      </c>
      <c r="M36" s="93">
        <v>11.2</v>
      </c>
      <c r="N36" s="114">
        <v>78.900000000000006</v>
      </c>
      <c r="O36" s="112">
        <v>1.9</v>
      </c>
      <c r="P36" s="115">
        <v>5.4</v>
      </c>
      <c r="Q36" s="116">
        <v>251</v>
      </c>
      <c r="R36" s="102">
        <v>5625</v>
      </c>
      <c r="S36" s="230">
        <v>2.12</v>
      </c>
      <c r="T36" s="115">
        <v>102</v>
      </c>
      <c r="U36" s="109">
        <v>7326.9228999999996</v>
      </c>
      <c r="V36" s="118">
        <v>22.5</v>
      </c>
      <c r="W36" s="119">
        <v>28.802</v>
      </c>
      <c r="X36" s="121">
        <v>688</v>
      </c>
      <c r="Y36" s="108">
        <v>11.2</v>
      </c>
      <c r="Z36" s="119">
        <v>7326.92</v>
      </c>
      <c r="AA36" s="96">
        <v>37.971800000000002</v>
      </c>
      <c r="AB36" s="94">
        <v>124.07899999999999</v>
      </c>
      <c r="AC36" s="94">
        <v>7.6</v>
      </c>
      <c r="AD36" s="96">
        <v>67.406000000000006</v>
      </c>
    </row>
    <row r="37" spans="1:30">
      <c r="A37" s="109">
        <v>4</v>
      </c>
      <c r="B37" s="110" t="s">
        <v>46</v>
      </c>
      <c r="C37" s="110" t="s">
        <v>45</v>
      </c>
      <c r="D37" s="111">
        <v>2012</v>
      </c>
      <c r="E37" s="109">
        <v>20.5</v>
      </c>
      <c r="F37" s="93">
        <v>279.36099999999999</v>
      </c>
      <c r="G37" s="93">
        <v>70000000000</v>
      </c>
      <c r="H37" s="94">
        <v>24285.5</v>
      </c>
      <c r="I37" s="96">
        <v>0.55000000000000004</v>
      </c>
      <c r="J37" s="109">
        <v>20.693999999999999</v>
      </c>
      <c r="K37" s="112">
        <v>1.1384000000000001</v>
      </c>
      <c r="L37" s="109">
        <v>695</v>
      </c>
      <c r="M37" s="93">
        <v>12.8</v>
      </c>
      <c r="N37" s="114">
        <v>86.6</v>
      </c>
      <c r="O37" s="112">
        <v>2</v>
      </c>
      <c r="P37" s="115">
        <v>0</v>
      </c>
      <c r="Q37" s="116">
        <v>254</v>
      </c>
      <c r="R37" s="102">
        <v>5582</v>
      </c>
      <c r="S37" s="230">
        <v>0</v>
      </c>
      <c r="T37" s="115">
        <v>104</v>
      </c>
      <c r="U37" s="109">
        <v>7812.5293000000001</v>
      </c>
      <c r="V37" s="118">
        <v>26.5</v>
      </c>
      <c r="W37" s="119">
        <v>20.693999999999999</v>
      </c>
      <c r="X37" s="121">
        <v>695</v>
      </c>
      <c r="Y37" s="108">
        <v>12.8</v>
      </c>
      <c r="Z37" s="119">
        <v>7812.53</v>
      </c>
      <c r="AA37" s="96">
        <v>36.075499999999998</v>
      </c>
      <c r="AB37" s="94">
        <v>126.125</v>
      </c>
      <c r="AC37" s="94">
        <v>8.6</v>
      </c>
      <c r="AD37" s="96">
        <v>67.260999999999996</v>
      </c>
    </row>
    <row r="38" spans="1:30">
      <c r="A38" s="109">
        <v>4</v>
      </c>
      <c r="B38" s="110" t="s">
        <v>46</v>
      </c>
      <c r="C38" s="110" t="s">
        <v>45</v>
      </c>
      <c r="D38" s="111">
        <v>2013</v>
      </c>
      <c r="E38" s="109">
        <v>20.5</v>
      </c>
      <c r="F38" s="93">
        <v>108.375</v>
      </c>
      <c r="G38" s="93">
        <v>26000000000</v>
      </c>
      <c r="H38" s="94">
        <v>22738.5</v>
      </c>
      <c r="I38" s="96">
        <v>0.49</v>
      </c>
      <c r="J38" s="109">
        <v>15.271000000000001</v>
      </c>
      <c r="K38" s="112">
        <v>1.4731000000000001</v>
      </c>
      <c r="L38" s="109">
        <v>704</v>
      </c>
      <c r="M38" s="93">
        <v>13.9</v>
      </c>
      <c r="N38" s="114">
        <v>80.3</v>
      </c>
      <c r="O38" s="112">
        <v>2.4</v>
      </c>
      <c r="P38" s="115">
        <v>4.5</v>
      </c>
      <c r="Q38" s="116">
        <v>242</v>
      </c>
      <c r="R38" s="102">
        <v>5391</v>
      </c>
      <c r="S38" s="230">
        <v>0</v>
      </c>
      <c r="T38" s="115">
        <v>101</v>
      </c>
      <c r="U38" s="109">
        <v>7647.4579999999996</v>
      </c>
      <c r="V38" s="118">
        <v>29.2</v>
      </c>
      <c r="W38" s="119">
        <v>15.271000000000001</v>
      </c>
      <c r="X38" s="121">
        <v>704</v>
      </c>
      <c r="Y38" s="108">
        <v>13.9</v>
      </c>
      <c r="Z38" s="119">
        <v>7647.46</v>
      </c>
      <c r="AA38" s="96">
        <v>34.779200000000003</v>
      </c>
      <c r="AB38" s="94">
        <v>128.12700000000001</v>
      </c>
      <c r="AC38" s="94">
        <v>9.6999999999999993</v>
      </c>
      <c r="AD38" s="96">
        <v>67.137</v>
      </c>
    </row>
    <row r="39" spans="1:30">
      <c r="A39" s="109">
        <v>4</v>
      </c>
      <c r="B39" s="110" t="s">
        <v>46</v>
      </c>
      <c r="C39" s="110" t="s">
        <v>45</v>
      </c>
      <c r="D39" s="111">
        <v>2014</v>
      </c>
      <c r="E39" s="109">
        <v>20.8</v>
      </c>
      <c r="F39" s="93">
        <v>222.76400000000001</v>
      </c>
      <c r="G39" s="93">
        <v>52000000000</v>
      </c>
      <c r="H39" s="94">
        <v>22581.8</v>
      </c>
      <c r="I39" s="96">
        <v>0.48</v>
      </c>
      <c r="J39" s="109">
        <v>15.134</v>
      </c>
      <c r="K39" s="112">
        <v>1.4573</v>
      </c>
      <c r="L39" s="109">
        <v>729</v>
      </c>
      <c r="M39" s="93">
        <v>14.8</v>
      </c>
      <c r="N39" s="114">
        <v>89.4</v>
      </c>
      <c r="O39" s="112">
        <v>2.2000000000000002</v>
      </c>
      <c r="P39" s="115">
        <v>4.7</v>
      </c>
      <c r="Q39" s="116">
        <v>248</v>
      </c>
      <c r="R39" s="102">
        <v>5515</v>
      </c>
      <c r="S39" s="230">
        <v>0</v>
      </c>
      <c r="T39" s="115">
        <v>102</v>
      </c>
      <c r="U39" s="109">
        <v>8058.0087999999996</v>
      </c>
      <c r="V39" s="118">
        <v>30.8</v>
      </c>
      <c r="W39" s="119">
        <v>15.134</v>
      </c>
      <c r="X39" s="121">
        <v>729</v>
      </c>
      <c r="Y39" s="108">
        <v>14.8</v>
      </c>
      <c r="Z39" s="119">
        <v>8058.01</v>
      </c>
      <c r="AA39" s="96">
        <v>48.045499999999997</v>
      </c>
      <c r="AB39" s="94">
        <v>130.065</v>
      </c>
      <c r="AC39" s="94">
        <v>9.5</v>
      </c>
      <c r="AD39" s="96">
        <v>67.031000000000006</v>
      </c>
    </row>
    <row r="40" spans="1:30">
      <c r="A40" s="109">
        <v>4</v>
      </c>
      <c r="B40" s="110" t="s">
        <v>46</v>
      </c>
      <c r="C40" s="110" t="s">
        <v>45</v>
      </c>
      <c r="D40" s="111">
        <v>2015</v>
      </c>
      <c r="E40" s="109">
        <v>21.5</v>
      </c>
      <c r="F40" s="93">
        <v>145.46199999999999</v>
      </c>
      <c r="G40" s="93">
        <v>29000000000</v>
      </c>
      <c r="H40" s="94">
        <v>23487.200000000001</v>
      </c>
      <c r="I40" s="96">
        <v>0.47</v>
      </c>
      <c r="J40" s="109">
        <v>15.362</v>
      </c>
      <c r="K40" s="112">
        <v>1.4997</v>
      </c>
      <c r="L40" s="109">
        <v>729</v>
      </c>
      <c r="M40" s="93">
        <v>16.700001</v>
      </c>
      <c r="N40" s="114">
        <v>91</v>
      </c>
      <c r="O40" s="112">
        <v>2.4</v>
      </c>
      <c r="P40" s="115">
        <v>15.2</v>
      </c>
      <c r="Q40" s="116">
        <v>265</v>
      </c>
      <c r="R40" s="102">
        <v>6120</v>
      </c>
      <c r="S40" s="230">
        <v>1.18</v>
      </c>
      <c r="T40" s="115">
        <v>102</v>
      </c>
      <c r="U40" s="109">
        <v>8295.8438000000006</v>
      </c>
      <c r="V40" s="118">
        <v>32.799999999999997</v>
      </c>
      <c r="W40" s="119">
        <v>15.362</v>
      </c>
      <c r="X40" s="121">
        <v>729</v>
      </c>
      <c r="Y40" s="108">
        <v>16.7</v>
      </c>
      <c r="Z40" s="119">
        <v>8295.84</v>
      </c>
      <c r="AA40" s="96">
        <v>51.825099999999999</v>
      </c>
      <c r="AB40" s="94">
        <v>131.98099999999999</v>
      </c>
      <c r="AC40" s="94">
        <v>10.4</v>
      </c>
      <c r="AD40" s="96">
        <v>66.945999999999998</v>
      </c>
    </row>
    <row r="41" spans="1:30">
      <c r="A41" s="109">
        <v>4</v>
      </c>
      <c r="B41" s="110" t="s">
        <v>46</v>
      </c>
      <c r="C41" s="110" t="s">
        <v>45</v>
      </c>
      <c r="D41" s="111">
        <v>2016</v>
      </c>
      <c r="E41" s="109">
        <v>20.399999999999999</v>
      </c>
      <c r="F41" s="93">
        <v>40.425800000000002</v>
      </c>
      <c r="G41" s="93">
        <v>8500000000</v>
      </c>
      <c r="H41" s="94">
        <v>24916.6</v>
      </c>
      <c r="I41" s="96">
        <v>0.47</v>
      </c>
      <c r="J41" s="109">
        <v>16.966999000000001</v>
      </c>
      <c r="K41" s="112">
        <v>1.4369000000000001</v>
      </c>
      <c r="L41" s="109">
        <v>711</v>
      </c>
      <c r="M41" s="93">
        <v>16.299999</v>
      </c>
      <c r="N41" s="114">
        <v>87.8</v>
      </c>
      <c r="O41" s="112">
        <v>2.4</v>
      </c>
      <c r="P41" s="115">
        <v>6.6</v>
      </c>
      <c r="Q41" s="116">
        <v>294</v>
      </c>
      <c r="R41" s="102">
        <v>6840</v>
      </c>
      <c r="S41" s="230">
        <v>0</v>
      </c>
      <c r="T41" s="115">
        <v>106</v>
      </c>
      <c r="U41" s="109">
        <v>8283.5663999999997</v>
      </c>
      <c r="V41" s="118">
        <v>33.6</v>
      </c>
      <c r="W41" s="119">
        <v>16.966999999999999</v>
      </c>
      <c r="X41" s="121">
        <v>711</v>
      </c>
      <c r="Y41" s="108">
        <v>16.3</v>
      </c>
      <c r="Z41" s="119">
        <v>8283.57</v>
      </c>
      <c r="AA41" s="96">
        <v>51.2913</v>
      </c>
      <c r="AB41" s="94">
        <v>133.887</v>
      </c>
      <c r="AC41" s="94">
        <v>10.3</v>
      </c>
      <c r="AD41" s="96">
        <v>66.881</v>
      </c>
    </row>
    <row r="42" spans="1:30">
      <c r="A42" s="109">
        <v>4</v>
      </c>
      <c r="B42" s="110" t="s">
        <v>46</v>
      </c>
      <c r="C42" s="110" t="s">
        <v>45</v>
      </c>
      <c r="D42" s="111">
        <v>2017</v>
      </c>
      <c r="E42" s="109">
        <v>20.9</v>
      </c>
      <c r="F42" s="93">
        <v>62.783099999999997</v>
      </c>
      <c r="G42" s="93">
        <v>14000000000</v>
      </c>
      <c r="H42" s="94">
        <v>26105.599999999999</v>
      </c>
      <c r="I42" s="96">
        <v>0.55000000000000004</v>
      </c>
      <c r="J42" s="109">
        <v>20.197001</v>
      </c>
      <c r="K42" s="112">
        <v>1.2815000000000001</v>
      </c>
      <c r="L42" s="109">
        <v>692</v>
      </c>
      <c r="M42" s="93">
        <v>16.5</v>
      </c>
      <c r="N42" s="114">
        <v>78.3</v>
      </c>
      <c r="O42" s="112">
        <v>2.4</v>
      </c>
      <c r="P42" s="115">
        <v>8.5</v>
      </c>
      <c r="Q42" s="116">
        <v>333</v>
      </c>
      <c r="R42" s="102">
        <v>7449</v>
      </c>
      <c r="S42" s="230">
        <v>0</v>
      </c>
      <c r="T42" s="115">
        <v>110</v>
      </c>
      <c r="U42" s="109">
        <v>7971.4116000000004</v>
      </c>
      <c r="V42" s="118">
        <v>33.299999999999997</v>
      </c>
      <c r="W42" s="119">
        <v>20.196999999999999</v>
      </c>
      <c r="X42" s="121">
        <v>692</v>
      </c>
      <c r="Y42" s="108">
        <v>16.5</v>
      </c>
      <c r="Z42" s="119">
        <v>7971.41</v>
      </c>
      <c r="AA42" s="96">
        <v>54.557200000000002</v>
      </c>
      <c r="AB42" s="94">
        <v>135.744</v>
      </c>
      <c r="AC42" s="94">
        <v>10.9</v>
      </c>
      <c r="AD42" s="96">
        <v>66.835999999999999</v>
      </c>
    </row>
    <row r="43" spans="1:30">
      <c r="A43" s="109">
        <v>4</v>
      </c>
      <c r="B43" s="110" t="s">
        <v>46</v>
      </c>
      <c r="C43" s="110" t="s">
        <v>45</v>
      </c>
      <c r="D43" s="111">
        <v>2018</v>
      </c>
      <c r="E43" s="109">
        <v>21.2</v>
      </c>
      <c r="F43" s="93">
        <v>-4.3110200000000001</v>
      </c>
      <c r="G43" s="93">
        <v>-1100000000</v>
      </c>
      <c r="H43" s="94">
        <v>27406.5</v>
      </c>
      <c r="I43" s="96">
        <v>0.54</v>
      </c>
      <c r="J43" s="109">
        <v>19.367999999999999</v>
      </c>
      <c r="K43" s="112">
        <v>1.3594999999999999</v>
      </c>
      <c r="L43" s="109">
        <v>681</v>
      </c>
      <c r="M43" s="93">
        <v>16.799999</v>
      </c>
      <c r="N43" s="114">
        <v>90.6</v>
      </c>
      <c r="O43" s="112">
        <v>2.8</v>
      </c>
      <c r="P43" s="115">
        <v>29.4</v>
      </c>
      <c r="Q43" s="116">
        <v>367</v>
      </c>
      <c r="R43" s="102">
        <v>8291</v>
      </c>
      <c r="S43" s="230">
        <v>0</v>
      </c>
      <c r="T43" s="115">
        <v>109</v>
      </c>
      <c r="U43" s="109">
        <v>7773.4263000000001</v>
      </c>
      <c r="V43" s="118">
        <v>34</v>
      </c>
      <c r="W43" s="119">
        <v>19.367999999999999</v>
      </c>
      <c r="X43" s="121">
        <v>681</v>
      </c>
      <c r="Y43" s="108">
        <v>16.8</v>
      </c>
      <c r="Z43" s="119">
        <v>7773.43</v>
      </c>
      <c r="AA43" s="96">
        <v>61.6098</v>
      </c>
      <c r="AB43" s="94">
        <v>137.52600000000001</v>
      </c>
      <c r="AC43" s="94">
        <v>12</v>
      </c>
      <c r="AD43" s="96">
        <v>66.81</v>
      </c>
    </row>
    <row r="44" spans="1:30">
      <c r="A44" s="109">
        <v>4</v>
      </c>
      <c r="B44" s="110" t="s">
        <v>46</v>
      </c>
      <c r="C44" s="110" t="s">
        <v>45</v>
      </c>
      <c r="D44" s="111">
        <v>2019</v>
      </c>
      <c r="E44" s="109">
        <v>22</v>
      </c>
      <c r="F44" s="93">
        <v>201.685</v>
      </c>
      <c r="G44" s="93">
        <v>53000000000</v>
      </c>
      <c r="H44" s="94">
        <v>28625.8</v>
      </c>
      <c r="I44" s="96">
        <v>0.52</v>
      </c>
      <c r="J44" s="109">
        <v>20.504999000000002</v>
      </c>
      <c r="K44" s="112">
        <v>1.3320000000000001</v>
      </c>
      <c r="L44" s="109">
        <v>635</v>
      </c>
      <c r="M44" s="93">
        <v>16.899999999999999</v>
      </c>
      <c r="N44" s="114">
        <v>81.400000000000006</v>
      </c>
      <c r="O44" s="112">
        <v>3.2</v>
      </c>
      <c r="P44" s="115">
        <v>16.600000000000001</v>
      </c>
      <c r="Q44" s="116">
        <v>403</v>
      </c>
      <c r="R44" s="102">
        <v>8664</v>
      </c>
      <c r="S44" s="230">
        <v>0</v>
      </c>
      <c r="T44" s="115">
        <v>110</v>
      </c>
      <c r="U44" s="109">
        <v>7575.4408999999996</v>
      </c>
      <c r="V44" s="118">
        <v>31.4</v>
      </c>
      <c r="W44" s="119">
        <v>20.504999999999999</v>
      </c>
      <c r="X44" s="121">
        <v>635</v>
      </c>
      <c r="Y44" s="108">
        <v>16.899999999999999</v>
      </c>
      <c r="Z44" s="119">
        <v>0</v>
      </c>
      <c r="AA44" s="96">
        <v>48.0214</v>
      </c>
      <c r="AB44" s="94">
        <v>139.25</v>
      </c>
      <c r="AC44" s="94">
        <v>12</v>
      </c>
      <c r="AD44" s="96">
        <v>66.805000000000007</v>
      </c>
    </row>
    <row r="45" spans="1:30">
      <c r="A45" s="109">
        <v>4</v>
      </c>
      <c r="B45" s="110" t="s">
        <v>46</v>
      </c>
      <c r="C45" s="110" t="s">
        <v>45</v>
      </c>
      <c r="D45" s="111">
        <v>2020</v>
      </c>
      <c r="E45" s="109">
        <v>22.4</v>
      </c>
      <c r="F45" s="93">
        <v>-101.833</v>
      </c>
      <c r="G45" s="93">
        <v>-26000000000</v>
      </c>
      <c r="H45" s="94">
        <v>27391.599999999999</v>
      </c>
      <c r="I45" s="96">
        <v>0.5</v>
      </c>
      <c r="J45" s="109">
        <v>19.562999999999999</v>
      </c>
      <c r="K45" s="112">
        <v>1.3385</v>
      </c>
      <c r="L45" s="109">
        <v>619</v>
      </c>
      <c r="M45" s="93">
        <v>17</v>
      </c>
      <c r="N45" s="114">
        <v>90.9</v>
      </c>
      <c r="O45" s="112">
        <v>3.8</v>
      </c>
      <c r="P45" s="115">
        <v>9</v>
      </c>
      <c r="Q45" s="116">
        <v>364</v>
      </c>
      <c r="R45" s="102">
        <v>8348</v>
      </c>
      <c r="S45" s="230">
        <v>0</v>
      </c>
      <c r="T45" s="115">
        <v>98</v>
      </c>
      <c r="U45" s="109">
        <v>7377.4556000000002</v>
      </c>
      <c r="V45" s="118">
        <v>32.4</v>
      </c>
      <c r="W45" s="119">
        <v>19.562999999999999</v>
      </c>
      <c r="X45" s="121">
        <v>619</v>
      </c>
      <c r="Y45" s="108">
        <v>17</v>
      </c>
      <c r="Z45" s="119">
        <v>0</v>
      </c>
      <c r="AA45" s="96">
        <v>46.268700000000003</v>
      </c>
      <c r="AB45" s="94">
        <v>140.93600000000001</v>
      </c>
      <c r="AC45" s="94">
        <v>15</v>
      </c>
      <c r="AD45" s="96">
        <v>66.820999999999998</v>
      </c>
    </row>
    <row r="46" spans="1:30">
      <c r="A46" s="109">
        <v>5</v>
      </c>
      <c r="B46" s="110" t="s">
        <v>44</v>
      </c>
      <c r="C46" s="110" t="s">
        <v>43</v>
      </c>
      <c r="D46" s="111">
        <v>2010</v>
      </c>
      <c r="E46" s="109">
        <v>21</v>
      </c>
      <c r="F46" s="93">
        <v>4.8150300000000001</v>
      </c>
      <c r="G46" s="93">
        <v>10000000000</v>
      </c>
      <c r="H46" s="94">
        <v>16665.900000000001</v>
      </c>
      <c r="I46" s="96">
        <v>0.45</v>
      </c>
      <c r="J46" s="109">
        <v>17.002001</v>
      </c>
      <c r="K46" s="112">
        <v>0.93799999999999994</v>
      </c>
      <c r="L46" s="109">
        <v>279</v>
      </c>
      <c r="M46" s="93">
        <v>15.8</v>
      </c>
      <c r="N46" s="114">
        <v>86.7</v>
      </c>
      <c r="O46" s="112">
        <v>5.3</v>
      </c>
      <c r="P46" s="115">
        <v>7435.2</v>
      </c>
      <c r="Q46" s="116">
        <v>2123</v>
      </c>
      <c r="R46" s="102">
        <v>114395</v>
      </c>
      <c r="S46" s="230">
        <v>0.73</v>
      </c>
      <c r="T46" s="115">
        <v>100</v>
      </c>
      <c r="U46" s="109">
        <v>10601.975</v>
      </c>
      <c r="V46" s="118">
        <v>29.3</v>
      </c>
      <c r="W46" s="119">
        <v>17.001999999999999</v>
      </c>
      <c r="X46" s="121">
        <v>279</v>
      </c>
      <c r="Y46" s="108">
        <v>15.8</v>
      </c>
      <c r="Z46" s="119">
        <v>10602</v>
      </c>
      <c r="AA46" s="96">
        <v>122.95099999999999</v>
      </c>
      <c r="AB46" s="94">
        <v>135.626</v>
      </c>
      <c r="AC46" s="94">
        <v>10.9</v>
      </c>
      <c r="AD46" s="96">
        <v>73.254999999999995</v>
      </c>
    </row>
    <row r="47" spans="1:30">
      <c r="A47" s="109">
        <v>5</v>
      </c>
      <c r="B47" s="110" t="s">
        <v>44</v>
      </c>
      <c r="C47" s="110" t="s">
        <v>43</v>
      </c>
      <c r="D47" s="111">
        <v>2011</v>
      </c>
      <c r="E47" s="109">
        <v>22.5</v>
      </c>
      <c r="F47" s="93">
        <v>1.8099400000000001</v>
      </c>
      <c r="G47" s="93">
        <v>4200000000</v>
      </c>
      <c r="H47" s="94">
        <v>16926.3</v>
      </c>
      <c r="I47" s="96">
        <v>0.45</v>
      </c>
      <c r="J47" s="109">
        <v>17.271000000000001</v>
      </c>
      <c r="K47" s="112">
        <v>0.90429999999999999</v>
      </c>
      <c r="L47" s="109">
        <v>280</v>
      </c>
      <c r="M47" s="93">
        <v>16.899999999999999</v>
      </c>
      <c r="N47" s="114">
        <v>86.8</v>
      </c>
      <c r="O47" s="112">
        <v>5.4</v>
      </c>
      <c r="P47" s="115">
        <v>9869.4</v>
      </c>
      <c r="Q47" s="116">
        <v>2267</v>
      </c>
      <c r="R47" s="102">
        <v>117602</v>
      </c>
      <c r="S47" s="230">
        <v>0.42</v>
      </c>
      <c r="T47" s="115">
        <v>101</v>
      </c>
      <c r="U47" s="109">
        <v>10130.85</v>
      </c>
      <c r="V47" s="118">
        <v>29.1</v>
      </c>
      <c r="W47" s="119">
        <v>17.271000000000001</v>
      </c>
      <c r="X47" s="121">
        <v>280</v>
      </c>
      <c r="Y47" s="108">
        <v>16.899999999999999</v>
      </c>
      <c r="Z47" s="119">
        <v>10130.799999999999</v>
      </c>
      <c r="AA47" s="96">
        <v>136.13800000000001</v>
      </c>
      <c r="AB47" s="94">
        <v>135.90700000000001</v>
      </c>
      <c r="AC47" s="94">
        <v>12.2</v>
      </c>
      <c r="AD47" s="96">
        <v>73.185000000000002</v>
      </c>
    </row>
    <row r="48" spans="1:30">
      <c r="A48" s="109">
        <v>5</v>
      </c>
      <c r="B48" s="110" t="s">
        <v>44</v>
      </c>
      <c r="C48" s="110" t="s">
        <v>43</v>
      </c>
      <c r="D48" s="111">
        <v>2012</v>
      </c>
      <c r="E48" s="109">
        <v>24.5</v>
      </c>
      <c r="F48" s="93">
        <v>4.4842399999999998</v>
      </c>
      <c r="G48" s="93">
        <v>9400000000</v>
      </c>
      <c r="H48" s="94">
        <v>16772.400000000001</v>
      </c>
      <c r="I48" s="96">
        <v>0.46</v>
      </c>
      <c r="J48" s="109">
        <v>14.981999999999999</v>
      </c>
      <c r="K48" s="112">
        <v>1.0089999999999999</v>
      </c>
      <c r="L48" s="109">
        <v>279</v>
      </c>
      <c r="M48" s="93">
        <v>23.200001</v>
      </c>
      <c r="N48" s="114">
        <v>80.599999999999994</v>
      </c>
      <c r="O48" s="112">
        <v>6.3</v>
      </c>
      <c r="P48" s="115">
        <v>9845.5</v>
      </c>
      <c r="Q48" s="116">
        <v>2263</v>
      </c>
      <c r="R48" s="102">
        <v>119217</v>
      </c>
      <c r="S48" s="230">
        <v>0.7</v>
      </c>
      <c r="T48" s="115">
        <v>95</v>
      </c>
      <c r="U48" s="109">
        <v>10059.413</v>
      </c>
      <c r="V48" s="118">
        <v>29.9</v>
      </c>
      <c r="W48" s="119">
        <v>14.981999999999999</v>
      </c>
      <c r="X48" s="121">
        <v>279</v>
      </c>
      <c r="Y48" s="108">
        <v>23.2</v>
      </c>
      <c r="Z48" s="119">
        <v>10059.4</v>
      </c>
      <c r="AA48" s="96">
        <v>141.875</v>
      </c>
      <c r="AB48" s="94">
        <v>136.09700000000001</v>
      </c>
      <c r="AC48" s="94">
        <v>12.8</v>
      </c>
      <c r="AD48" s="96">
        <v>73.197000000000003</v>
      </c>
    </row>
    <row r="49" spans="1:30">
      <c r="A49" s="109">
        <v>5</v>
      </c>
      <c r="B49" s="110" t="s">
        <v>44</v>
      </c>
      <c r="C49" s="110" t="s">
        <v>43</v>
      </c>
      <c r="D49" s="111">
        <v>2013</v>
      </c>
      <c r="E49" s="109">
        <v>24</v>
      </c>
      <c r="F49" s="93">
        <v>3.4538700000000002</v>
      </c>
      <c r="G49" s="93">
        <v>7400000000</v>
      </c>
      <c r="H49" s="94">
        <v>16759.8</v>
      </c>
      <c r="I49" s="96">
        <v>0.48</v>
      </c>
      <c r="J49" s="109">
        <v>15.314</v>
      </c>
      <c r="K49" s="112">
        <v>1.0245</v>
      </c>
      <c r="L49" s="109">
        <v>289</v>
      </c>
      <c r="M49" s="93">
        <v>24.200001</v>
      </c>
      <c r="N49" s="114">
        <v>91.1</v>
      </c>
      <c r="O49" s="112">
        <v>6.7</v>
      </c>
      <c r="P49" s="115">
        <v>9709.4</v>
      </c>
      <c r="Q49" s="116">
        <v>2232</v>
      </c>
      <c r="R49" s="102">
        <v>116448</v>
      </c>
      <c r="S49" s="230">
        <v>0.67</v>
      </c>
      <c r="T49" s="115">
        <v>93</v>
      </c>
      <c r="U49" s="109">
        <v>10009.271000000001</v>
      </c>
      <c r="V49" s="118">
        <v>31.8</v>
      </c>
      <c r="W49" s="119">
        <v>15.314</v>
      </c>
      <c r="X49" s="121">
        <v>289</v>
      </c>
      <c r="Y49" s="108">
        <v>24.2</v>
      </c>
      <c r="Z49" s="119">
        <v>10009.299999999999</v>
      </c>
      <c r="AA49" s="96">
        <v>143.89599999999999</v>
      </c>
      <c r="AB49" s="94">
        <v>136.16</v>
      </c>
      <c r="AC49" s="94">
        <v>13.9</v>
      </c>
      <c r="AD49" s="96">
        <v>73.290000000000006</v>
      </c>
    </row>
    <row r="50" spans="1:30">
      <c r="A50" s="109">
        <v>5</v>
      </c>
      <c r="B50" s="110" t="s">
        <v>44</v>
      </c>
      <c r="C50" s="110" t="s">
        <v>43</v>
      </c>
      <c r="D50" s="111">
        <v>2014</v>
      </c>
      <c r="E50" s="109">
        <v>24</v>
      </c>
      <c r="F50" s="93">
        <v>3.8351000000000002</v>
      </c>
      <c r="G50" s="93">
        <v>8100000000</v>
      </c>
      <c r="H50" s="94">
        <v>17118</v>
      </c>
      <c r="I50" s="96">
        <v>0.47</v>
      </c>
      <c r="J50" s="109">
        <v>16.141000999999999</v>
      </c>
      <c r="K50" s="112">
        <v>1.0129999999999999</v>
      </c>
      <c r="L50" s="109">
        <v>297</v>
      </c>
      <c r="M50" s="93">
        <v>25.4</v>
      </c>
      <c r="N50" s="114">
        <v>85.5</v>
      </c>
      <c r="O50" s="112">
        <v>6.8</v>
      </c>
      <c r="P50" s="115">
        <v>11381.9</v>
      </c>
      <c r="Q50" s="116">
        <v>2244</v>
      </c>
      <c r="R50" s="102">
        <v>114863</v>
      </c>
      <c r="S50" s="230">
        <v>0.41</v>
      </c>
      <c r="T50" s="115">
        <v>94</v>
      </c>
      <c r="U50" s="109">
        <v>10178.439</v>
      </c>
      <c r="V50" s="118">
        <v>31.8</v>
      </c>
      <c r="W50" s="119">
        <v>16.140999999999998</v>
      </c>
      <c r="X50" s="121">
        <v>297</v>
      </c>
      <c r="Y50" s="108">
        <v>25.4</v>
      </c>
      <c r="Z50" s="119">
        <v>10178.4</v>
      </c>
      <c r="AA50" s="96">
        <v>156.11199999999999</v>
      </c>
      <c r="AB50" s="94">
        <v>136.303</v>
      </c>
      <c r="AC50" s="94">
        <v>14.8</v>
      </c>
      <c r="AD50" s="96">
        <v>73.384</v>
      </c>
    </row>
    <row r="51" spans="1:30">
      <c r="A51" s="109">
        <v>5</v>
      </c>
      <c r="B51" s="110" t="s">
        <v>44</v>
      </c>
      <c r="C51" s="110" t="s">
        <v>43</v>
      </c>
      <c r="D51" s="111">
        <v>2015</v>
      </c>
      <c r="E51" s="109">
        <v>25</v>
      </c>
      <c r="F51" s="93">
        <v>0.89891399999999999</v>
      </c>
      <c r="G51" s="93">
        <v>1700000000</v>
      </c>
      <c r="H51" s="94">
        <v>17931.599999999999</v>
      </c>
      <c r="I51" s="96">
        <v>0.48</v>
      </c>
      <c r="J51" s="109">
        <v>16.988001000000001</v>
      </c>
      <c r="K51" s="112">
        <v>1.02</v>
      </c>
      <c r="L51" s="109">
        <v>294</v>
      </c>
      <c r="M51" s="93">
        <v>29.700001</v>
      </c>
      <c r="N51" s="114">
        <v>82.5</v>
      </c>
      <c r="O51" s="112">
        <v>6.9</v>
      </c>
      <c r="P51" s="115">
        <v>11821.4</v>
      </c>
      <c r="Q51" s="116">
        <v>2441</v>
      </c>
      <c r="R51" s="102">
        <v>117124</v>
      </c>
      <c r="S51" s="230">
        <v>0.25</v>
      </c>
      <c r="T51" s="115">
        <v>98</v>
      </c>
      <c r="U51" s="109">
        <v>9968.3369000000002</v>
      </c>
      <c r="V51" s="118">
        <v>33</v>
      </c>
      <c r="W51" s="119">
        <v>16.988</v>
      </c>
      <c r="X51" s="121">
        <v>294</v>
      </c>
      <c r="Y51" s="108">
        <v>29.7</v>
      </c>
      <c r="Z51" s="119">
        <v>9968.34</v>
      </c>
      <c r="AA51" s="96">
        <v>158.239</v>
      </c>
      <c r="AB51" s="94">
        <v>136.589</v>
      </c>
      <c r="AC51" s="94">
        <v>14.8</v>
      </c>
      <c r="AD51" s="96">
        <v>73.477000000000004</v>
      </c>
    </row>
    <row r="52" spans="1:30">
      <c r="A52" s="109">
        <v>5</v>
      </c>
      <c r="B52" s="110" t="s">
        <v>44</v>
      </c>
      <c r="C52" s="110" t="s">
        <v>43</v>
      </c>
      <c r="D52" s="111">
        <v>2016</v>
      </c>
      <c r="E52" s="109">
        <v>23.9</v>
      </c>
      <c r="F52" s="93">
        <v>5.4756600000000004</v>
      </c>
      <c r="G52" s="93">
        <v>11000000000</v>
      </c>
      <c r="H52" s="94">
        <v>18359.099999999999</v>
      </c>
      <c r="I52" s="96">
        <v>0.47</v>
      </c>
      <c r="J52" s="109">
        <v>16.687999999999999</v>
      </c>
      <c r="K52" s="112">
        <v>1.0606</v>
      </c>
      <c r="L52" s="109">
        <v>306</v>
      </c>
      <c r="M52" s="93">
        <v>33.599997999999999</v>
      </c>
      <c r="N52" s="114">
        <v>90</v>
      </c>
      <c r="O52" s="112">
        <v>7.5</v>
      </c>
      <c r="P52" s="115">
        <v>11743.5</v>
      </c>
      <c r="Q52" s="116">
        <v>2554</v>
      </c>
      <c r="R52" s="102">
        <v>120738</v>
      </c>
      <c r="S52" s="230">
        <v>0.17</v>
      </c>
      <c r="T52" s="115">
        <v>102</v>
      </c>
      <c r="U52" s="109">
        <v>10018.364</v>
      </c>
      <c r="V52" s="118">
        <v>32.299999999999997</v>
      </c>
      <c r="W52" s="119">
        <v>16.687999999999999</v>
      </c>
      <c r="X52" s="121">
        <v>306</v>
      </c>
      <c r="Y52" s="108">
        <v>33.6</v>
      </c>
      <c r="Z52" s="119">
        <v>10018.4</v>
      </c>
      <c r="AA52" s="96">
        <v>154.285</v>
      </c>
      <c r="AB52" s="94">
        <v>136.852</v>
      </c>
      <c r="AC52" s="94">
        <v>14.8</v>
      </c>
      <c r="AD52" s="96">
        <v>73.569999999999993</v>
      </c>
    </row>
    <row r="53" spans="1:30">
      <c r="A53" s="109">
        <v>5</v>
      </c>
      <c r="B53" s="110" t="s">
        <v>44</v>
      </c>
      <c r="C53" s="110" t="s">
        <v>43</v>
      </c>
      <c r="D53" s="111">
        <v>2017</v>
      </c>
      <c r="E53" s="109">
        <v>24.7</v>
      </c>
      <c r="F53" s="93">
        <v>5.0706600000000002</v>
      </c>
      <c r="G53" s="93">
        <v>11000000000</v>
      </c>
      <c r="H53" s="94">
        <v>19257.7</v>
      </c>
      <c r="I53" s="96">
        <v>0.47</v>
      </c>
      <c r="J53" s="109">
        <v>17.850000000000001</v>
      </c>
      <c r="K53" s="112">
        <v>1.0991</v>
      </c>
      <c r="L53" s="109">
        <v>317</v>
      </c>
      <c r="M53" s="93">
        <v>32.099997999999999</v>
      </c>
      <c r="N53" s="114">
        <v>86.9</v>
      </c>
      <c r="O53" s="112">
        <v>9.1</v>
      </c>
      <c r="P53" s="115">
        <v>11740.6</v>
      </c>
      <c r="Q53" s="116">
        <v>2744</v>
      </c>
      <c r="R53" s="102">
        <v>120430</v>
      </c>
      <c r="S53" s="230">
        <v>0.6</v>
      </c>
      <c r="T53" s="115">
        <v>103</v>
      </c>
      <c r="U53" s="109">
        <v>9457.3232000000007</v>
      </c>
      <c r="V53" s="118">
        <v>32.9</v>
      </c>
      <c r="W53" s="119">
        <v>17.850000000000001</v>
      </c>
      <c r="X53" s="121">
        <v>317</v>
      </c>
      <c r="Y53" s="108">
        <v>32.1</v>
      </c>
      <c r="Z53" s="119">
        <v>9457.32</v>
      </c>
      <c r="AA53" s="96">
        <v>155.934</v>
      </c>
      <c r="AB53" s="94">
        <v>137.21600000000001</v>
      </c>
      <c r="AC53" s="94">
        <v>14.5</v>
      </c>
      <c r="AD53" s="96">
        <v>73.674999999999997</v>
      </c>
    </row>
    <row r="54" spans="1:30">
      <c r="A54" s="109">
        <v>5</v>
      </c>
      <c r="B54" s="110" t="s">
        <v>44</v>
      </c>
      <c r="C54" s="110" t="s">
        <v>43</v>
      </c>
      <c r="D54" s="111">
        <v>2018</v>
      </c>
      <c r="E54" s="109">
        <v>24.7</v>
      </c>
      <c r="F54" s="93">
        <v>3.3035399999999999</v>
      </c>
      <c r="G54" s="93">
        <v>8300000000</v>
      </c>
      <c r="H54" s="94">
        <v>19736.599999999999</v>
      </c>
      <c r="I54" s="96">
        <v>0.47</v>
      </c>
      <c r="J54" s="109">
        <v>17.829999999999998</v>
      </c>
      <c r="K54" s="112">
        <v>1.1122000000000001</v>
      </c>
      <c r="L54" s="109">
        <v>318</v>
      </c>
      <c r="M54" s="93">
        <v>32.200001</v>
      </c>
      <c r="N54" s="114">
        <v>84.7</v>
      </c>
      <c r="O54" s="112">
        <v>10.5</v>
      </c>
      <c r="P54" s="115">
        <v>12059.6</v>
      </c>
      <c r="Q54" s="116">
        <v>2974</v>
      </c>
      <c r="R54" s="102">
        <v>120905</v>
      </c>
      <c r="S54" s="230">
        <v>0.44</v>
      </c>
      <c r="T54" s="115">
        <v>104</v>
      </c>
      <c r="U54" s="109">
        <v>8455.7724999999991</v>
      </c>
      <c r="V54" s="118">
        <v>32.799999999999997</v>
      </c>
      <c r="W54" s="119">
        <v>17.829999999999998</v>
      </c>
      <c r="X54" s="121">
        <v>318</v>
      </c>
      <c r="Y54" s="108">
        <v>32.200000000000003</v>
      </c>
      <c r="Z54" s="119">
        <v>8455.77</v>
      </c>
      <c r="AA54" s="96">
        <v>153.535</v>
      </c>
      <c r="AB54" s="94">
        <v>137.67599999999999</v>
      </c>
      <c r="AC54" s="94">
        <v>14.7</v>
      </c>
      <c r="AD54" s="96">
        <v>73.792000000000002</v>
      </c>
    </row>
    <row r="55" spans="1:30">
      <c r="A55" s="109">
        <v>5</v>
      </c>
      <c r="B55" s="110" t="s">
        <v>44</v>
      </c>
      <c r="C55" s="110" t="s">
        <v>43</v>
      </c>
      <c r="D55" s="111">
        <v>2019</v>
      </c>
      <c r="E55" s="109">
        <v>25.3</v>
      </c>
      <c r="F55" s="93">
        <v>4.1870599999999998</v>
      </c>
      <c r="G55" s="93">
        <v>11000000000</v>
      </c>
      <c r="H55" s="94">
        <v>20360.099999999999</v>
      </c>
      <c r="I55" s="96">
        <v>0.33</v>
      </c>
      <c r="J55" s="109">
        <v>17.335999999999999</v>
      </c>
      <c r="K55" s="112">
        <v>1.1414</v>
      </c>
      <c r="L55" s="109">
        <v>320</v>
      </c>
      <c r="M55" s="93">
        <v>33.299999</v>
      </c>
      <c r="N55" s="114">
        <v>92.6</v>
      </c>
      <c r="O55" s="112">
        <v>10.6</v>
      </c>
      <c r="P55" s="115">
        <v>13898.1</v>
      </c>
      <c r="Q55" s="116">
        <v>3225</v>
      </c>
      <c r="R55" s="102">
        <v>125173</v>
      </c>
      <c r="S55" s="230">
        <v>0.89</v>
      </c>
      <c r="T55" s="115">
        <v>106</v>
      </c>
      <c r="U55" s="109">
        <v>7454.2217000000001</v>
      </c>
      <c r="V55" s="118">
        <v>32.700000000000003</v>
      </c>
      <c r="W55" s="119">
        <v>17.335999999999999</v>
      </c>
      <c r="X55" s="121">
        <v>320</v>
      </c>
      <c r="Y55" s="108">
        <v>33.299999999999997</v>
      </c>
      <c r="Z55" s="119">
        <v>0</v>
      </c>
      <c r="AA55" s="96">
        <v>147.26499999999999</v>
      </c>
      <c r="AB55" s="94">
        <v>138.227</v>
      </c>
      <c r="AC55" s="94">
        <v>15.9</v>
      </c>
      <c r="AD55" s="96">
        <v>73.921000000000006</v>
      </c>
    </row>
    <row r="56" spans="1:30">
      <c r="A56" s="109">
        <v>5</v>
      </c>
      <c r="B56" s="110" t="s">
        <v>44</v>
      </c>
      <c r="C56" s="110" t="s">
        <v>43</v>
      </c>
      <c r="D56" s="111">
        <v>2020</v>
      </c>
      <c r="E56" s="109">
        <v>25.7</v>
      </c>
      <c r="F56" s="93">
        <v>3.39114</v>
      </c>
      <c r="G56" s="93">
        <v>8500000000</v>
      </c>
      <c r="H56" s="94">
        <v>19233.099999999999</v>
      </c>
      <c r="I56" s="96">
        <v>0.32</v>
      </c>
      <c r="J56" s="109">
        <v>16.042000000000002</v>
      </c>
      <c r="K56" s="112">
        <v>1.1672</v>
      </c>
      <c r="L56" s="109">
        <v>308</v>
      </c>
      <c r="M56" s="93">
        <v>40.5</v>
      </c>
      <c r="N56" s="114">
        <v>88.8</v>
      </c>
      <c r="O56" s="112">
        <v>11.5</v>
      </c>
      <c r="P56" s="115">
        <v>13085</v>
      </c>
      <c r="Q56" s="116">
        <v>3144</v>
      </c>
      <c r="R56" s="102">
        <v>123938</v>
      </c>
      <c r="S56" s="230">
        <v>0.67</v>
      </c>
      <c r="T56" s="115">
        <v>103</v>
      </c>
      <c r="U56" s="109">
        <v>6452.6709000000001</v>
      </c>
      <c r="V56" s="118">
        <v>31.1</v>
      </c>
      <c r="W56" s="119">
        <v>16.042000000000002</v>
      </c>
      <c r="X56" s="121">
        <v>308</v>
      </c>
      <c r="Y56" s="108">
        <v>40.5</v>
      </c>
      <c r="Z56" s="119">
        <v>0</v>
      </c>
      <c r="AA56" s="96">
        <v>144.56299999999999</v>
      </c>
      <c r="AB56" s="94">
        <v>138.57599999999999</v>
      </c>
      <c r="AC56" s="94">
        <v>17</v>
      </c>
      <c r="AD56" s="96">
        <v>74.061000000000007</v>
      </c>
    </row>
    <row r="57" spans="1:30">
      <c r="A57" s="109">
        <v>6</v>
      </c>
      <c r="B57" s="110" t="s">
        <v>42</v>
      </c>
      <c r="C57" s="110" t="s">
        <v>41</v>
      </c>
      <c r="D57" s="111">
        <v>2010</v>
      </c>
      <c r="E57" s="109">
        <v>29</v>
      </c>
      <c r="F57" s="93">
        <v>2.4807899999999998</v>
      </c>
      <c r="G57" s="93">
        <v>86000000000</v>
      </c>
      <c r="H57" s="94">
        <v>38517.4</v>
      </c>
      <c r="I57" s="96">
        <v>0.74</v>
      </c>
      <c r="J57" s="109">
        <v>15.398999999999999</v>
      </c>
      <c r="K57" s="112">
        <v>2.2462</v>
      </c>
      <c r="L57" s="109">
        <v>642</v>
      </c>
      <c r="M57" s="93">
        <v>62.5</v>
      </c>
      <c r="N57" s="114">
        <v>82.8</v>
      </c>
      <c r="O57" s="112">
        <v>11.2</v>
      </c>
      <c r="P57" s="115">
        <v>7078.4</v>
      </c>
      <c r="Q57" s="116">
        <v>46909</v>
      </c>
      <c r="R57" s="102">
        <v>583392</v>
      </c>
      <c r="S57" s="230">
        <v>1.1299999999999999</v>
      </c>
      <c r="T57" s="115">
        <v>100</v>
      </c>
      <c r="U57" s="109">
        <v>9782.7178000000004</v>
      </c>
      <c r="V57" s="118">
        <v>38</v>
      </c>
      <c r="W57" s="119">
        <v>15.398999999999999</v>
      </c>
      <c r="X57" s="121">
        <v>642</v>
      </c>
      <c r="Y57" s="108">
        <v>62.5</v>
      </c>
      <c r="Z57" s="119">
        <v>9782.7199999999993</v>
      </c>
      <c r="AA57" s="96">
        <v>66.713800000000006</v>
      </c>
      <c r="AB57" s="94">
        <v>234.607</v>
      </c>
      <c r="AC57" s="94">
        <v>11.6</v>
      </c>
      <c r="AD57" s="96">
        <v>76.965999999999994</v>
      </c>
    </row>
    <row r="58" spans="1:30">
      <c r="A58" s="109">
        <v>6</v>
      </c>
      <c r="B58" s="110" t="s">
        <v>42</v>
      </c>
      <c r="C58" s="110" t="s">
        <v>41</v>
      </c>
      <c r="D58" s="111">
        <v>2011</v>
      </c>
      <c r="E58" s="109">
        <v>30</v>
      </c>
      <c r="F58" s="93">
        <v>2.5500600000000002</v>
      </c>
      <c r="G58" s="93">
        <v>98000000000</v>
      </c>
      <c r="H58" s="94">
        <v>40712.699999999997</v>
      </c>
      <c r="I58" s="96">
        <v>0.72</v>
      </c>
      <c r="J58" s="109">
        <v>0</v>
      </c>
      <c r="K58" s="112">
        <v>2.1867999999999999</v>
      </c>
      <c r="L58" s="109">
        <v>632</v>
      </c>
      <c r="M58" s="93">
        <v>63</v>
      </c>
      <c r="N58" s="114">
        <v>83.9</v>
      </c>
      <c r="O58" s="112">
        <v>10.6</v>
      </c>
      <c r="P58" s="115">
        <v>8983.4</v>
      </c>
      <c r="Q58" s="116">
        <v>47950</v>
      </c>
      <c r="R58" s="102">
        <v>596629</v>
      </c>
      <c r="S58" s="230">
        <v>1.37</v>
      </c>
      <c r="T58" s="115">
        <v>102</v>
      </c>
      <c r="U58" s="109">
        <v>9873.4853999999996</v>
      </c>
      <c r="V58" s="118">
        <v>37.1</v>
      </c>
      <c r="W58" s="119">
        <v>0</v>
      </c>
      <c r="X58" s="121">
        <v>632</v>
      </c>
      <c r="Y58" s="108">
        <v>63</v>
      </c>
      <c r="Z58" s="119">
        <v>9873.49</v>
      </c>
      <c r="AA58" s="96">
        <v>71.345799999999997</v>
      </c>
      <c r="AB58" s="94">
        <v>230.30500000000001</v>
      </c>
      <c r="AC58" s="94">
        <v>12.5</v>
      </c>
      <c r="AD58" s="96">
        <v>77.16</v>
      </c>
    </row>
    <row r="59" spans="1:30">
      <c r="A59" s="109">
        <v>6</v>
      </c>
      <c r="B59" s="110" t="s">
        <v>42</v>
      </c>
      <c r="C59" s="110" t="s">
        <v>41</v>
      </c>
      <c r="D59" s="111">
        <v>2012</v>
      </c>
      <c r="E59" s="109">
        <v>31.5</v>
      </c>
      <c r="F59" s="93">
        <v>1.8189299999999999</v>
      </c>
      <c r="G59" s="93">
        <v>65000000000</v>
      </c>
      <c r="H59" s="94">
        <v>40829</v>
      </c>
      <c r="I59" s="96">
        <v>0.74</v>
      </c>
      <c r="J59" s="109">
        <v>16.007000000000001</v>
      </c>
      <c r="K59" s="112">
        <v>2.2747999999999999</v>
      </c>
      <c r="L59" s="109">
        <v>640</v>
      </c>
      <c r="M59" s="93">
        <v>65.199996999999996</v>
      </c>
      <c r="N59" s="114">
        <v>83.5</v>
      </c>
      <c r="O59" s="112">
        <v>11</v>
      </c>
      <c r="P59" s="115">
        <v>10636.4</v>
      </c>
      <c r="Q59" s="116">
        <v>46894</v>
      </c>
      <c r="R59" s="102">
        <v>617452</v>
      </c>
      <c r="S59" s="230">
        <v>1.1399999999999999</v>
      </c>
      <c r="T59" s="115">
        <v>103</v>
      </c>
      <c r="U59" s="109">
        <v>9321.4696999999996</v>
      </c>
      <c r="V59" s="118">
        <v>36.799999999999997</v>
      </c>
      <c r="W59" s="119">
        <v>16.007000000000001</v>
      </c>
      <c r="X59" s="121">
        <v>640</v>
      </c>
      <c r="Y59" s="108">
        <v>65.2</v>
      </c>
      <c r="Z59" s="119">
        <v>9321.4699999999993</v>
      </c>
      <c r="AA59" s="96">
        <v>71.040499999999994</v>
      </c>
      <c r="AB59" s="94">
        <v>230.751</v>
      </c>
      <c r="AC59" s="94">
        <v>13.6</v>
      </c>
      <c r="AD59" s="96">
        <v>77.17</v>
      </c>
    </row>
    <row r="60" spans="1:30">
      <c r="A60" s="109">
        <v>6</v>
      </c>
      <c r="B60" s="110" t="s">
        <v>42</v>
      </c>
      <c r="C60" s="110" t="s">
        <v>41</v>
      </c>
      <c r="D60" s="111">
        <v>2013</v>
      </c>
      <c r="E60" s="109">
        <v>31.5</v>
      </c>
      <c r="F60" s="93">
        <v>1.7646599999999999</v>
      </c>
      <c r="G60" s="93">
        <v>67000000000</v>
      </c>
      <c r="H60" s="94">
        <v>40875</v>
      </c>
      <c r="I60" s="96">
        <v>0.72</v>
      </c>
      <c r="J60" s="109">
        <v>15.949</v>
      </c>
      <c r="K60" s="112">
        <v>2.2837000000000001</v>
      </c>
      <c r="L60" s="109">
        <v>601</v>
      </c>
      <c r="M60" s="93">
        <v>63.799999</v>
      </c>
      <c r="N60" s="114">
        <v>82.8</v>
      </c>
      <c r="O60" s="112">
        <v>11.1</v>
      </c>
      <c r="P60" s="115">
        <v>12487.7</v>
      </c>
      <c r="Q60" s="116">
        <v>48203</v>
      </c>
      <c r="R60" s="102">
        <v>611082</v>
      </c>
      <c r="S60" s="230">
        <v>1.07</v>
      </c>
      <c r="T60" s="115">
        <v>104</v>
      </c>
      <c r="U60" s="109">
        <v>9288.0547000000006</v>
      </c>
      <c r="V60" s="118">
        <v>37.9</v>
      </c>
      <c r="W60" s="119">
        <v>15.949</v>
      </c>
      <c r="X60" s="121">
        <v>601</v>
      </c>
      <c r="Y60" s="108">
        <v>63.8</v>
      </c>
      <c r="Z60" s="119">
        <v>9288.0499999999993</v>
      </c>
      <c r="AA60" s="96">
        <v>68.966399999999993</v>
      </c>
      <c r="AB60" s="94">
        <v>231.15600000000001</v>
      </c>
      <c r="AC60" s="94">
        <v>13.6</v>
      </c>
      <c r="AD60" s="96">
        <v>77.180000000000007</v>
      </c>
    </row>
    <row r="61" spans="1:30">
      <c r="A61" s="109">
        <v>6</v>
      </c>
      <c r="B61" s="110" t="s">
        <v>42</v>
      </c>
      <c r="C61" s="110" t="s">
        <v>41</v>
      </c>
      <c r="D61" s="111">
        <v>2014</v>
      </c>
      <c r="E61" s="109">
        <v>30.5</v>
      </c>
      <c r="F61" s="93">
        <v>0.43765999999999999</v>
      </c>
      <c r="G61" s="93">
        <v>17000000000</v>
      </c>
      <c r="H61" s="94">
        <v>41588.1</v>
      </c>
      <c r="I61" s="96">
        <v>0.72</v>
      </c>
      <c r="J61" s="109">
        <v>16.059000000000001</v>
      </c>
      <c r="K61" s="112">
        <v>2.3123999999999998</v>
      </c>
      <c r="L61" s="109">
        <v>587</v>
      </c>
      <c r="M61" s="93">
        <v>65.599997999999999</v>
      </c>
      <c r="N61" s="114">
        <v>84.2</v>
      </c>
      <c r="O61" s="112">
        <v>11.2</v>
      </c>
      <c r="P61" s="115">
        <v>13520.5</v>
      </c>
      <c r="Q61" s="116">
        <v>51337</v>
      </c>
      <c r="R61" s="102">
        <v>657563</v>
      </c>
      <c r="S61" s="230">
        <v>1.1100000000000001</v>
      </c>
      <c r="T61" s="115">
        <v>107</v>
      </c>
      <c r="U61" s="109">
        <v>9087.3153999999995</v>
      </c>
      <c r="V61" s="118">
        <v>38</v>
      </c>
      <c r="W61" s="119">
        <v>16.059000000000001</v>
      </c>
      <c r="X61" s="121">
        <v>587</v>
      </c>
      <c r="Y61" s="108">
        <v>65.599999999999994</v>
      </c>
      <c r="Z61" s="119">
        <v>9087.32</v>
      </c>
      <c r="AA61" s="96">
        <v>68.117599999999996</v>
      </c>
      <c r="AB61" s="94">
        <v>232.108</v>
      </c>
      <c r="AC61" s="94">
        <v>14</v>
      </c>
      <c r="AD61" s="96">
        <v>77.19</v>
      </c>
    </row>
    <row r="62" spans="1:30">
      <c r="A62" s="109">
        <v>6</v>
      </c>
      <c r="B62" s="110" t="s">
        <v>42</v>
      </c>
      <c r="C62" s="110" t="s">
        <v>41</v>
      </c>
      <c r="D62" s="111">
        <v>2015</v>
      </c>
      <c r="E62" s="109">
        <v>31.7</v>
      </c>
      <c r="F62" s="93">
        <v>1.82321</v>
      </c>
      <c r="G62" s="93">
        <v>62000000000</v>
      </c>
      <c r="H62" s="94">
        <v>41911</v>
      </c>
      <c r="I62" s="96">
        <v>0.74</v>
      </c>
      <c r="J62" s="109">
        <v>15.316000000000001</v>
      </c>
      <c r="K62" s="112">
        <v>2.4224999999999999</v>
      </c>
      <c r="L62" s="109">
        <v>565</v>
      </c>
      <c r="M62" s="93">
        <v>66.699996999999996</v>
      </c>
      <c r="N62" s="114">
        <v>79.3</v>
      </c>
      <c r="O62" s="112">
        <v>11.6</v>
      </c>
      <c r="P62" s="115">
        <v>16300.1</v>
      </c>
      <c r="Q62" s="116">
        <v>56939</v>
      </c>
      <c r="R62" s="102">
        <v>651777</v>
      </c>
      <c r="S62" s="230">
        <v>1.1000000000000001</v>
      </c>
      <c r="T62" s="115">
        <v>107</v>
      </c>
      <c r="U62" s="109">
        <v>8939.5781000000006</v>
      </c>
      <c r="V62" s="118">
        <v>40</v>
      </c>
      <c r="W62" s="119">
        <v>15.316000000000001</v>
      </c>
      <c r="X62" s="121">
        <v>565</v>
      </c>
      <c r="Y62" s="108">
        <v>66.7</v>
      </c>
      <c r="Z62" s="119">
        <v>8939.58</v>
      </c>
      <c r="AA62" s="96">
        <v>69.440399999999997</v>
      </c>
      <c r="AB62" s="94">
        <v>234.15299999999999</v>
      </c>
      <c r="AC62" s="94">
        <v>14.6</v>
      </c>
      <c r="AD62" s="96">
        <v>77.2</v>
      </c>
    </row>
    <row r="63" spans="1:30">
      <c r="A63" s="109">
        <v>6</v>
      </c>
      <c r="B63" s="110" t="s">
        <v>42</v>
      </c>
      <c r="C63" s="110" t="s">
        <v>41</v>
      </c>
      <c r="D63" s="111">
        <v>2016</v>
      </c>
      <c r="E63" s="109">
        <v>30.7</v>
      </c>
      <c r="F63" s="93">
        <v>1.6432</v>
      </c>
      <c r="G63" s="93">
        <v>58000000000</v>
      </c>
      <c r="H63" s="94">
        <v>42528.1</v>
      </c>
      <c r="I63" s="96">
        <v>0.69</v>
      </c>
      <c r="J63" s="109">
        <v>15.664999999999999</v>
      </c>
      <c r="K63" s="112">
        <v>2.4466000000000001</v>
      </c>
      <c r="L63" s="109">
        <v>564</v>
      </c>
      <c r="M63" s="93">
        <v>67.099997999999999</v>
      </c>
      <c r="N63" s="114">
        <v>86.7</v>
      </c>
      <c r="O63" s="112">
        <v>11.8</v>
      </c>
      <c r="P63" s="115">
        <v>18016.7</v>
      </c>
      <c r="Q63" s="116">
        <v>61079</v>
      </c>
      <c r="R63" s="102">
        <v>677723</v>
      </c>
      <c r="S63" s="230">
        <v>1</v>
      </c>
      <c r="T63" s="115">
        <v>110</v>
      </c>
      <c r="U63" s="109">
        <v>8613.6347999999998</v>
      </c>
      <c r="V63" s="118">
        <v>40</v>
      </c>
      <c r="W63" s="119">
        <v>15.664999999999999</v>
      </c>
      <c r="X63" s="121">
        <v>564</v>
      </c>
      <c r="Y63" s="108">
        <v>67.099999999999994</v>
      </c>
      <c r="Z63" s="119">
        <v>8613.6299999999992</v>
      </c>
      <c r="AA63" s="96">
        <v>67.547399999999996</v>
      </c>
      <c r="AB63" s="94">
        <v>235.71299999999999</v>
      </c>
      <c r="AC63" s="94">
        <v>14.2</v>
      </c>
      <c r="AD63" s="96">
        <v>77.224000000000004</v>
      </c>
    </row>
    <row r="64" spans="1:30">
      <c r="A64" s="109">
        <v>6</v>
      </c>
      <c r="B64" s="110" t="s">
        <v>42</v>
      </c>
      <c r="C64" s="110" t="s">
        <v>41</v>
      </c>
      <c r="D64" s="111">
        <v>2017</v>
      </c>
      <c r="E64" s="109">
        <v>31.3</v>
      </c>
      <c r="F64" s="93">
        <v>2.8908800000000001</v>
      </c>
      <c r="G64" s="93">
        <v>110000000000</v>
      </c>
      <c r="H64" s="94">
        <v>43520.2</v>
      </c>
      <c r="I64" s="96">
        <v>0.68</v>
      </c>
      <c r="J64" s="109">
        <v>16.089001</v>
      </c>
      <c r="K64" s="112">
        <v>2.4775999999999998</v>
      </c>
      <c r="L64" s="109">
        <v>582</v>
      </c>
      <c r="M64" s="93">
        <v>67.199996999999996</v>
      </c>
      <c r="N64" s="114">
        <v>85.8</v>
      </c>
      <c r="O64" s="112">
        <v>11.6</v>
      </c>
      <c r="P64" s="115">
        <v>15734.1</v>
      </c>
      <c r="Q64" s="116">
        <v>67752</v>
      </c>
      <c r="R64" s="102">
        <v>700179</v>
      </c>
      <c r="S64" s="230">
        <v>0.86</v>
      </c>
      <c r="T64" s="115">
        <v>110</v>
      </c>
      <c r="U64" s="109">
        <v>7787.9727000000003</v>
      </c>
      <c r="V64" s="118">
        <v>39.1</v>
      </c>
      <c r="W64" s="119">
        <v>16.088999999999999</v>
      </c>
      <c r="X64" s="121">
        <v>582</v>
      </c>
      <c r="Y64" s="108">
        <v>67.2</v>
      </c>
      <c r="Z64" s="119">
        <v>7787.97</v>
      </c>
      <c r="AA64" s="96">
        <v>69.387</v>
      </c>
      <c r="AB64" s="94">
        <v>236.589</v>
      </c>
      <c r="AC64" s="94">
        <v>15.2</v>
      </c>
      <c r="AD64" s="96">
        <v>77.260999999999996</v>
      </c>
    </row>
    <row r="65" spans="1:30">
      <c r="A65" s="109">
        <v>6</v>
      </c>
      <c r="B65" s="110" t="s">
        <v>42</v>
      </c>
      <c r="C65" s="110" t="s">
        <v>41</v>
      </c>
      <c r="D65" s="111">
        <v>2018</v>
      </c>
      <c r="E65" s="109">
        <v>31.5</v>
      </c>
      <c r="F65" s="93">
        <v>4.0042099999999996</v>
      </c>
      <c r="G65" s="93">
        <v>160000000000</v>
      </c>
      <c r="H65" s="94">
        <v>43874</v>
      </c>
      <c r="I65" s="96">
        <v>0.7</v>
      </c>
      <c r="J65" s="109">
        <v>16.209999</v>
      </c>
      <c r="K65" s="112">
        <v>2.5867</v>
      </c>
      <c r="L65" s="109">
        <v>589</v>
      </c>
      <c r="M65" s="93">
        <v>67.099997999999999</v>
      </c>
      <c r="N65" s="114">
        <v>85.6</v>
      </c>
      <c r="O65" s="112">
        <v>12</v>
      </c>
      <c r="P65" s="115">
        <v>18920.8</v>
      </c>
      <c r="Q65" s="116">
        <v>75559</v>
      </c>
      <c r="R65" s="102">
        <v>744774</v>
      </c>
      <c r="S65" s="230">
        <v>1.02</v>
      </c>
      <c r="T65" s="115">
        <v>112</v>
      </c>
      <c r="U65" s="109">
        <v>6885.7271000000001</v>
      </c>
      <c r="V65" s="118">
        <v>40</v>
      </c>
      <c r="W65" s="119">
        <v>16.21</v>
      </c>
      <c r="X65" s="121">
        <v>589</v>
      </c>
      <c r="Y65" s="108">
        <v>67.099999999999994</v>
      </c>
      <c r="Z65" s="119">
        <v>6885.73</v>
      </c>
      <c r="AA65" s="96">
        <v>70.209400000000002</v>
      </c>
      <c r="AB65" s="94">
        <v>237.29400000000001</v>
      </c>
      <c r="AC65" s="94">
        <v>16</v>
      </c>
      <c r="AD65" s="96">
        <v>77.311999999999998</v>
      </c>
    </row>
    <row r="66" spans="1:30">
      <c r="A66" s="109">
        <v>6</v>
      </c>
      <c r="B66" s="110" t="s">
        <v>42</v>
      </c>
      <c r="C66" s="110" t="s">
        <v>41</v>
      </c>
      <c r="D66" s="111">
        <v>2019</v>
      </c>
      <c r="E66" s="109">
        <v>32.200000000000003</v>
      </c>
      <c r="F66" s="93">
        <v>1.90699</v>
      </c>
      <c r="G66" s="93">
        <v>75000000000</v>
      </c>
      <c r="H66" s="94">
        <v>44207.6</v>
      </c>
      <c r="I66" s="96">
        <v>0.67</v>
      </c>
      <c r="J66" s="109">
        <v>15.981999999999999</v>
      </c>
      <c r="K66" s="112">
        <v>2.7054999999999998</v>
      </c>
      <c r="L66" s="109">
        <v>592</v>
      </c>
      <c r="M66" s="93">
        <v>66.699996999999996</v>
      </c>
      <c r="N66" s="114">
        <v>85.4</v>
      </c>
      <c r="O66" s="112">
        <v>12.4</v>
      </c>
      <c r="P66" s="115">
        <v>17948.900000000001</v>
      </c>
      <c r="Q66" s="116">
        <v>79177</v>
      </c>
      <c r="R66" s="102">
        <v>739622</v>
      </c>
      <c r="S66" s="230">
        <v>1.25</v>
      </c>
      <c r="T66" s="115">
        <v>113</v>
      </c>
      <c r="U66" s="109">
        <v>15576.141</v>
      </c>
      <c r="V66" s="118">
        <v>41.4</v>
      </c>
      <c r="W66" s="119">
        <v>15.981999999999999</v>
      </c>
      <c r="X66" s="121">
        <v>592</v>
      </c>
      <c r="Y66" s="108">
        <v>66.7</v>
      </c>
      <c r="Z66" s="119">
        <v>15576.1</v>
      </c>
      <c r="AA66" s="96">
        <v>68.820999999999998</v>
      </c>
      <c r="AB66" s="94">
        <v>237.82300000000001</v>
      </c>
      <c r="AC66" s="94">
        <v>17.100000000000001</v>
      </c>
      <c r="AD66" s="96">
        <v>77.376000000000005</v>
      </c>
    </row>
    <row r="67" spans="1:30">
      <c r="A67" s="109">
        <v>6</v>
      </c>
      <c r="B67" s="110" t="s">
        <v>42</v>
      </c>
      <c r="C67" s="110" t="s">
        <v>41</v>
      </c>
      <c r="D67" s="111">
        <v>2020</v>
      </c>
      <c r="E67" s="109">
        <v>32.799999999999997</v>
      </c>
      <c r="F67" s="93">
        <v>4.4866700000000002</v>
      </c>
      <c r="G67" s="93">
        <v>180000000000</v>
      </c>
      <c r="H67" s="94">
        <v>42362.6</v>
      </c>
      <c r="I67" s="96">
        <v>0.71</v>
      </c>
      <c r="J67" s="109">
        <v>15.271000000000001</v>
      </c>
      <c r="K67" s="112">
        <v>2.6840000000000002</v>
      </c>
      <c r="L67" s="109">
        <v>602</v>
      </c>
      <c r="M67" s="93">
        <v>70.300003000000004</v>
      </c>
      <c r="N67" s="114">
        <v>86.7</v>
      </c>
      <c r="O67" s="112">
        <v>12.8</v>
      </c>
      <c r="P67" s="115">
        <v>20307.7</v>
      </c>
      <c r="Q67" s="116">
        <v>76089</v>
      </c>
      <c r="R67" s="102">
        <v>764770</v>
      </c>
      <c r="S67" s="230">
        <v>0.55000000000000004</v>
      </c>
      <c r="T67" s="115">
        <v>111</v>
      </c>
      <c r="U67" s="109">
        <v>15617.64</v>
      </c>
      <c r="V67" s="118">
        <v>39.700000000000003</v>
      </c>
      <c r="W67" s="119">
        <v>15.271000000000001</v>
      </c>
      <c r="X67" s="121">
        <v>602</v>
      </c>
      <c r="Y67" s="108">
        <v>70.3</v>
      </c>
      <c r="Z67" s="119">
        <v>15617.6</v>
      </c>
      <c r="AA67" s="96">
        <v>64.828000000000003</v>
      </c>
      <c r="AB67" s="94">
        <v>238.017</v>
      </c>
      <c r="AC67" s="94">
        <v>18.5</v>
      </c>
      <c r="AD67" s="96">
        <v>77.453000000000003</v>
      </c>
    </row>
    <row r="68" spans="1:30">
      <c r="A68" s="109">
        <v>7</v>
      </c>
      <c r="B68" s="110" t="s">
        <v>40</v>
      </c>
      <c r="C68" s="110" t="s">
        <v>39</v>
      </c>
      <c r="D68" s="111">
        <v>2010</v>
      </c>
      <c r="E68" s="109">
        <v>29.5</v>
      </c>
      <c r="F68" s="93">
        <v>-3.6507000000000001</v>
      </c>
      <c r="G68" s="93">
        <v>-12000000000</v>
      </c>
      <c r="H68" s="94">
        <v>51209.4</v>
      </c>
      <c r="I68" s="96">
        <v>0.74</v>
      </c>
      <c r="J68" s="109">
        <v>18.150998999999999</v>
      </c>
      <c r="K68" s="112">
        <v>2.1768999999999998</v>
      </c>
      <c r="L68" s="109">
        <v>651</v>
      </c>
      <c r="M68" s="93">
        <v>42.300002999999997</v>
      </c>
      <c r="N68" s="114">
        <v>83.5</v>
      </c>
      <c r="O68" s="112">
        <v>8</v>
      </c>
      <c r="P68" s="115">
        <v>2061.6</v>
      </c>
      <c r="Q68" s="116">
        <v>3926</v>
      </c>
      <c r="R68" s="102">
        <v>33681</v>
      </c>
      <c r="S68" s="230">
        <v>0.06</v>
      </c>
      <c r="T68" s="115">
        <v>100</v>
      </c>
      <c r="U68" s="109">
        <v>15406.038</v>
      </c>
      <c r="V68" s="118">
        <v>35.200000000000003</v>
      </c>
      <c r="W68" s="119">
        <v>18.151</v>
      </c>
      <c r="X68" s="121">
        <v>651</v>
      </c>
      <c r="Y68" s="108"/>
      <c r="Z68" s="119">
        <v>15406</v>
      </c>
      <c r="AA68" s="96">
        <v>55.683100000000003</v>
      </c>
      <c r="AB68" s="94">
        <v>138.69200000000001</v>
      </c>
      <c r="AC68" s="94">
        <v>21.2</v>
      </c>
      <c r="AD68" s="96">
        <v>86.795000000000002</v>
      </c>
    </row>
    <row r="69" spans="1:30">
      <c r="A69" s="109">
        <v>7</v>
      </c>
      <c r="B69" s="110" t="s">
        <v>40</v>
      </c>
      <c r="C69" s="110" t="s">
        <v>39</v>
      </c>
      <c r="D69" s="111">
        <v>2011</v>
      </c>
      <c r="E69" s="109">
        <v>30.5</v>
      </c>
      <c r="F69" s="93">
        <v>3.9379300000000002</v>
      </c>
      <c r="G69" s="93">
        <v>14000000000</v>
      </c>
      <c r="H69" s="94">
        <v>51667.5</v>
      </c>
      <c r="I69" s="96">
        <v>0.69</v>
      </c>
      <c r="J69" s="109">
        <v>21.297001000000002</v>
      </c>
      <c r="K69" s="112">
        <v>1.9789000000000001</v>
      </c>
      <c r="L69" s="109">
        <v>606</v>
      </c>
      <c r="M69" s="93">
        <v>42.400002000000001</v>
      </c>
      <c r="N69" s="114">
        <v>92</v>
      </c>
      <c r="O69" s="112">
        <v>7</v>
      </c>
      <c r="P69" s="115">
        <v>2654.5</v>
      </c>
      <c r="Q69" s="116">
        <v>4266</v>
      </c>
      <c r="R69" s="102">
        <v>34410</v>
      </c>
      <c r="S69" s="230">
        <v>0.9</v>
      </c>
      <c r="T69" s="115">
        <v>102</v>
      </c>
      <c r="U69" s="109">
        <v>15012.806</v>
      </c>
      <c r="V69" s="118">
        <v>36</v>
      </c>
      <c r="W69" s="119">
        <v>21.297000000000001</v>
      </c>
      <c r="X69" s="121">
        <v>606</v>
      </c>
      <c r="Y69" s="108">
        <v>42.4</v>
      </c>
      <c r="Z69" s="119">
        <v>15012.8</v>
      </c>
      <c r="AA69" s="96">
        <v>60.272300000000001</v>
      </c>
      <c r="AB69" s="94">
        <v>139.26400000000001</v>
      </c>
      <c r="AC69" s="94">
        <v>23.8</v>
      </c>
      <c r="AD69" s="96">
        <v>86.956999999999994</v>
      </c>
    </row>
    <row r="70" spans="1:30">
      <c r="A70" s="109">
        <v>7</v>
      </c>
      <c r="B70" s="110" t="s">
        <v>40</v>
      </c>
      <c r="C70" s="110" t="s">
        <v>39</v>
      </c>
      <c r="D70" s="111">
        <v>2012</v>
      </c>
      <c r="E70" s="109">
        <v>32</v>
      </c>
      <c r="F70" s="93">
        <v>-5.00312</v>
      </c>
      <c r="G70" s="93">
        <v>-16000000000</v>
      </c>
      <c r="H70" s="94">
        <v>51470.7</v>
      </c>
      <c r="I70" s="96">
        <v>0.72</v>
      </c>
      <c r="J70" s="109">
        <v>22.580998999999998</v>
      </c>
      <c r="K70" s="112">
        <v>1.9710000000000001</v>
      </c>
      <c r="L70" s="109">
        <v>664</v>
      </c>
      <c r="M70" s="93">
        <v>42.5</v>
      </c>
      <c r="N70" s="114">
        <v>84.4</v>
      </c>
      <c r="O70" s="112">
        <v>6.4</v>
      </c>
      <c r="P70" s="115">
        <v>2399.6999999999998</v>
      </c>
      <c r="Q70" s="116">
        <v>4315</v>
      </c>
      <c r="R70" s="102">
        <v>33009</v>
      </c>
      <c r="S70" s="230">
        <v>0.77</v>
      </c>
      <c r="T70" s="115">
        <v>106</v>
      </c>
      <c r="U70" s="109">
        <v>14013.514999999999</v>
      </c>
      <c r="V70" s="118">
        <v>34.799999999999997</v>
      </c>
      <c r="W70" s="119">
        <v>22.581</v>
      </c>
      <c r="X70" s="121">
        <v>664</v>
      </c>
      <c r="Y70" s="108">
        <v>42.5</v>
      </c>
      <c r="Z70" s="119">
        <v>14013.5</v>
      </c>
      <c r="AA70" s="96">
        <v>60.403500000000001</v>
      </c>
      <c r="AB70" s="94">
        <v>139.78899999999999</v>
      </c>
      <c r="AC70" s="94">
        <v>26.9</v>
      </c>
      <c r="AD70" s="96">
        <v>87.141999999999996</v>
      </c>
    </row>
    <row r="71" spans="1:30">
      <c r="A71" s="109">
        <v>7</v>
      </c>
      <c r="B71" s="110" t="s">
        <v>40</v>
      </c>
      <c r="C71" s="110" t="s">
        <v>39</v>
      </c>
      <c r="D71" s="111">
        <v>2013</v>
      </c>
      <c r="E71" s="109">
        <v>32</v>
      </c>
      <c r="F71" s="93">
        <v>0.197411</v>
      </c>
      <c r="G71" s="93">
        <v>680000000</v>
      </c>
      <c r="H71" s="94">
        <v>51970.400000000001</v>
      </c>
      <c r="I71" s="96">
        <v>0.72</v>
      </c>
      <c r="J71" s="109">
        <v>21.364999999999998</v>
      </c>
      <c r="K71" s="112">
        <v>2.1162000000000001</v>
      </c>
      <c r="L71" s="109">
        <v>657</v>
      </c>
      <c r="M71" s="93">
        <v>43.299999</v>
      </c>
      <c r="N71" s="114">
        <v>82.6</v>
      </c>
      <c r="O71" s="112">
        <v>7.7</v>
      </c>
      <c r="P71" s="115">
        <v>1812.9</v>
      </c>
      <c r="Q71" s="116">
        <v>4414</v>
      </c>
      <c r="R71" s="102">
        <v>32705</v>
      </c>
      <c r="S71" s="230">
        <v>1.24</v>
      </c>
      <c r="T71" s="115">
        <v>104</v>
      </c>
      <c r="U71" s="109">
        <v>14513.152</v>
      </c>
      <c r="V71" s="118">
        <v>38.799999999999997</v>
      </c>
      <c r="W71" s="119">
        <v>21.364999999999998</v>
      </c>
      <c r="X71" s="121">
        <v>657</v>
      </c>
      <c r="Y71" s="108">
        <v>43.3</v>
      </c>
      <c r="Z71" s="119">
        <v>14513.2</v>
      </c>
      <c r="AA71" s="96">
        <v>60.440600000000003</v>
      </c>
      <c r="AB71" s="94">
        <v>140.37299999999999</v>
      </c>
      <c r="AC71" s="94">
        <v>27</v>
      </c>
      <c r="AD71" s="96">
        <v>87.292000000000002</v>
      </c>
    </row>
    <row r="72" spans="1:30">
      <c r="A72" s="109">
        <v>7</v>
      </c>
      <c r="B72" s="110" t="s">
        <v>40</v>
      </c>
      <c r="C72" s="110" t="s">
        <v>39</v>
      </c>
      <c r="D72" s="111">
        <v>2014</v>
      </c>
      <c r="E72" s="109">
        <v>31.3</v>
      </c>
      <c r="F72" s="93">
        <v>1.86416</v>
      </c>
      <c r="G72" s="93">
        <v>6600000000</v>
      </c>
      <c r="H72" s="94">
        <v>52368.4</v>
      </c>
      <c r="I72" s="96">
        <v>0.7</v>
      </c>
      <c r="J72" s="109">
        <v>21.128</v>
      </c>
      <c r="K72" s="112">
        <v>2.1328999999999998</v>
      </c>
      <c r="L72" s="109">
        <v>664</v>
      </c>
      <c r="M72" s="93">
        <v>45.400002000000001</v>
      </c>
      <c r="N72" s="114">
        <v>83</v>
      </c>
      <c r="O72" s="112">
        <v>9</v>
      </c>
      <c r="P72" s="115">
        <v>2575.6999999999998</v>
      </c>
      <c r="Q72" s="116">
        <v>4648</v>
      </c>
      <c r="R72" s="102">
        <v>33351</v>
      </c>
      <c r="S72" s="230">
        <v>1.78</v>
      </c>
      <c r="T72" s="115">
        <v>111</v>
      </c>
      <c r="U72" s="109">
        <v>15344.65</v>
      </c>
      <c r="V72" s="118">
        <v>37.1</v>
      </c>
      <c r="W72" s="119">
        <v>21.128</v>
      </c>
      <c r="X72" s="121">
        <v>664</v>
      </c>
      <c r="Y72" s="108">
        <v>45.4</v>
      </c>
      <c r="Z72" s="119">
        <v>15344.7</v>
      </c>
      <c r="AA72" s="96">
        <v>59.8202</v>
      </c>
      <c r="AB72" s="94">
        <v>141.08699999999999</v>
      </c>
      <c r="AC72" s="94">
        <v>30.2</v>
      </c>
      <c r="AD72" s="96">
        <v>87.41</v>
      </c>
    </row>
    <row r="73" spans="1:30">
      <c r="A73" s="109">
        <v>7</v>
      </c>
      <c r="B73" s="110" t="s">
        <v>40</v>
      </c>
      <c r="C73" s="110" t="s">
        <v>39</v>
      </c>
      <c r="D73" s="111">
        <v>2015</v>
      </c>
      <c r="E73" s="109">
        <v>32.1</v>
      </c>
      <c r="F73" s="93">
        <v>0.61075100000000004</v>
      </c>
      <c r="G73" s="93">
        <v>1800000000</v>
      </c>
      <c r="H73" s="94">
        <v>53094</v>
      </c>
      <c r="I73" s="96">
        <v>0.7</v>
      </c>
      <c r="J73" s="109">
        <v>23.101998999999999</v>
      </c>
      <c r="K73" s="112">
        <v>2.0924</v>
      </c>
      <c r="L73" s="109">
        <v>671</v>
      </c>
      <c r="M73" s="93">
        <v>47.400002000000001</v>
      </c>
      <c r="N73" s="114">
        <v>84.2</v>
      </c>
      <c r="O73" s="112">
        <v>8.3000000000000007</v>
      </c>
      <c r="P73" s="115">
        <v>2832.1</v>
      </c>
      <c r="Q73" s="116">
        <v>4809</v>
      </c>
      <c r="R73" s="102">
        <v>32930</v>
      </c>
      <c r="S73" s="230">
        <v>1.01</v>
      </c>
      <c r="T73" s="115">
        <v>115</v>
      </c>
      <c r="U73" s="109">
        <v>15101.9</v>
      </c>
      <c r="V73" s="118">
        <v>35.9</v>
      </c>
      <c r="W73" s="119">
        <v>23.102</v>
      </c>
      <c r="X73" s="121">
        <v>671</v>
      </c>
      <c r="Y73" s="108">
        <v>47.4</v>
      </c>
      <c r="Z73" s="119">
        <v>15101.9</v>
      </c>
      <c r="AA73" s="96">
        <v>60.008200000000002</v>
      </c>
      <c r="AB73" s="94">
        <v>142.08699999999999</v>
      </c>
      <c r="AC73" s="94">
        <v>32.5</v>
      </c>
      <c r="AD73" s="96">
        <v>87.525999999999996</v>
      </c>
    </row>
    <row r="74" spans="1:30">
      <c r="A74" s="109">
        <v>7</v>
      </c>
      <c r="B74" s="110" t="s">
        <v>40</v>
      </c>
      <c r="C74" s="110" t="s">
        <v>39</v>
      </c>
      <c r="D74" s="111">
        <v>2016</v>
      </c>
      <c r="E74" s="109">
        <v>31</v>
      </c>
      <c r="F74" s="93">
        <v>2.4998300000000002</v>
      </c>
      <c r="G74" s="93">
        <v>7800000000</v>
      </c>
      <c r="H74" s="94">
        <v>54300.2</v>
      </c>
      <c r="I74" s="96">
        <v>0.67</v>
      </c>
      <c r="J74" s="109">
        <v>23.334999</v>
      </c>
      <c r="K74" s="112">
        <v>2.0947</v>
      </c>
      <c r="L74" s="109">
        <v>695</v>
      </c>
      <c r="M74" s="93">
        <v>48.299999</v>
      </c>
      <c r="N74" s="114">
        <v>86.4</v>
      </c>
      <c r="O74" s="112">
        <v>8</v>
      </c>
      <c r="P74" s="115">
        <v>3009</v>
      </c>
      <c r="Q74" s="116">
        <v>5056</v>
      </c>
      <c r="R74" s="102">
        <v>33435</v>
      </c>
      <c r="S74" s="230">
        <v>1.25</v>
      </c>
      <c r="T74" s="115">
        <v>118</v>
      </c>
      <c r="U74" s="109">
        <v>15143.965</v>
      </c>
      <c r="V74" s="118">
        <v>35.4</v>
      </c>
      <c r="W74" s="119">
        <v>23.335000000000001</v>
      </c>
      <c r="X74" s="121">
        <v>695</v>
      </c>
      <c r="Y74" s="108">
        <v>48.3</v>
      </c>
      <c r="Z74" s="119">
        <v>15144</v>
      </c>
      <c r="AA74" s="96">
        <v>57.927500000000002</v>
      </c>
      <c r="AB74" s="94">
        <v>143.19999999999999</v>
      </c>
      <c r="AC74" s="94">
        <v>32</v>
      </c>
      <c r="AD74" s="96">
        <v>87.641999999999996</v>
      </c>
    </row>
    <row r="75" spans="1:30">
      <c r="A75" s="109">
        <v>7</v>
      </c>
      <c r="B75" s="110" t="s">
        <v>40</v>
      </c>
      <c r="C75" s="110" t="s">
        <v>39</v>
      </c>
      <c r="D75" s="111">
        <v>2017</v>
      </c>
      <c r="E75" s="109">
        <v>31.7</v>
      </c>
      <c r="F75" s="93">
        <v>1.0878000000000001</v>
      </c>
      <c r="G75" s="93">
        <v>3600000000</v>
      </c>
      <c r="H75" s="94">
        <v>55601</v>
      </c>
      <c r="I75" s="96">
        <v>0.69</v>
      </c>
      <c r="J75" s="109">
        <v>22.867000999999998</v>
      </c>
      <c r="K75" s="112">
        <v>2.0831</v>
      </c>
      <c r="L75" s="109">
        <v>736</v>
      </c>
      <c r="M75" s="93">
        <v>47.599997999999999</v>
      </c>
      <c r="N75" s="114">
        <v>85.8</v>
      </c>
      <c r="O75" s="112">
        <v>7.9</v>
      </c>
      <c r="P75" s="115">
        <v>2274.4</v>
      </c>
      <c r="Q75" s="116">
        <v>4924</v>
      </c>
      <c r="R75" s="102">
        <v>34814</v>
      </c>
      <c r="S75" s="230">
        <v>1.1000000000000001</v>
      </c>
      <c r="T75" s="115">
        <v>118</v>
      </c>
      <c r="U75" s="109">
        <v>14518.353999999999</v>
      </c>
      <c r="V75" s="118">
        <v>36</v>
      </c>
      <c r="W75" s="119">
        <v>22.867000000000001</v>
      </c>
      <c r="X75" s="121">
        <v>736</v>
      </c>
      <c r="Y75" s="108">
        <v>47.6</v>
      </c>
      <c r="Z75" s="119">
        <v>14518.4</v>
      </c>
      <c r="AA75" s="96">
        <v>58.9435</v>
      </c>
      <c r="AB75" s="94">
        <v>144.124</v>
      </c>
      <c r="AC75" s="94">
        <v>35</v>
      </c>
      <c r="AD75" s="96">
        <v>87.757000000000005</v>
      </c>
    </row>
    <row r="76" spans="1:30">
      <c r="A76" s="109">
        <v>7</v>
      </c>
      <c r="B76" s="110" t="s">
        <v>40</v>
      </c>
      <c r="C76" s="110" t="s">
        <v>39</v>
      </c>
      <c r="D76" s="111">
        <v>2018</v>
      </c>
      <c r="E76" s="109">
        <v>31.4</v>
      </c>
      <c r="F76" s="93">
        <v>2.4666999999999999</v>
      </c>
      <c r="G76" s="93">
        <v>8800000000</v>
      </c>
      <c r="H76" s="94">
        <v>56355.1</v>
      </c>
      <c r="I76" s="96">
        <v>0.67</v>
      </c>
      <c r="J76" s="109">
        <v>23.184000000000001</v>
      </c>
      <c r="K76" s="112">
        <v>2.1135999999999999</v>
      </c>
      <c r="L76" s="109">
        <v>740</v>
      </c>
      <c r="M76" s="93">
        <v>49.900002000000001</v>
      </c>
      <c r="N76" s="114">
        <v>80.7</v>
      </c>
      <c r="O76" s="112">
        <v>8.1</v>
      </c>
      <c r="P76" s="115">
        <v>2672</v>
      </c>
      <c r="Q76" s="116">
        <v>5564</v>
      </c>
      <c r="R76" s="102">
        <v>36639</v>
      </c>
      <c r="S76" s="230">
        <v>0.97</v>
      </c>
      <c r="T76" s="115">
        <v>119</v>
      </c>
      <c r="U76" s="109">
        <v>12752.816999999999</v>
      </c>
      <c r="V76" s="118">
        <v>38.1</v>
      </c>
      <c r="W76" s="119">
        <v>23.184000000000001</v>
      </c>
      <c r="X76" s="121">
        <v>740</v>
      </c>
      <c r="Y76" s="108">
        <v>49.9</v>
      </c>
      <c r="Z76" s="119">
        <v>12752.8</v>
      </c>
      <c r="AA76" s="96">
        <v>59.795699999999997</v>
      </c>
      <c r="AB76" s="94">
        <v>144.84100000000001</v>
      </c>
      <c r="AC76" s="94">
        <v>34.6</v>
      </c>
      <c r="AD76" s="96">
        <v>87.873999999999995</v>
      </c>
    </row>
    <row r="77" spans="1:30">
      <c r="A77" s="109">
        <v>7</v>
      </c>
      <c r="B77" s="110" t="s">
        <v>40</v>
      </c>
      <c r="C77" s="110" t="s">
        <v>39</v>
      </c>
      <c r="D77" s="111">
        <v>2019</v>
      </c>
      <c r="E77" s="109">
        <v>32.4</v>
      </c>
      <c r="F77" s="93">
        <v>-1.10067</v>
      </c>
      <c r="G77" s="93">
        <v>-3800000000</v>
      </c>
      <c r="H77" s="94">
        <v>57114.6</v>
      </c>
      <c r="I77" s="96">
        <v>0.69</v>
      </c>
      <c r="J77" s="109">
        <v>24.236999999999998</v>
      </c>
      <c r="K77" s="112">
        <v>2.1276000000000002</v>
      </c>
      <c r="L77" s="109">
        <v>790</v>
      </c>
      <c r="M77" s="93">
        <v>51.5</v>
      </c>
      <c r="N77" s="114">
        <v>83.7</v>
      </c>
      <c r="O77" s="112">
        <v>7.6</v>
      </c>
      <c r="P77" s="115">
        <v>2876</v>
      </c>
      <c r="Q77" s="116">
        <v>5289</v>
      </c>
      <c r="R77" s="102">
        <v>36394</v>
      </c>
      <c r="S77" s="230">
        <v>1.44</v>
      </c>
      <c r="T77" s="115">
        <v>119</v>
      </c>
      <c r="U77" s="109">
        <v>10987.281000000001</v>
      </c>
      <c r="V77" s="118">
        <v>37.1</v>
      </c>
      <c r="W77" s="119">
        <v>24.236999999999998</v>
      </c>
      <c r="X77" s="121">
        <v>790</v>
      </c>
      <c r="Y77" s="108">
        <v>51.5</v>
      </c>
      <c r="Z77" s="119">
        <v>0</v>
      </c>
      <c r="AA77" s="96">
        <v>60.584600000000002</v>
      </c>
      <c r="AB77" s="94">
        <v>145.36099999999999</v>
      </c>
      <c r="AC77" s="94">
        <v>37.200000000000003</v>
      </c>
      <c r="AD77" s="96">
        <v>87.994</v>
      </c>
    </row>
    <row r="78" spans="1:30">
      <c r="A78" s="109">
        <v>7</v>
      </c>
      <c r="B78" s="110" t="s">
        <v>40</v>
      </c>
      <c r="C78" s="110" t="s">
        <v>39</v>
      </c>
      <c r="D78" s="111">
        <v>2020</v>
      </c>
      <c r="E78" s="109">
        <v>33</v>
      </c>
      <c r="F78" s="93">
        <v>0.363875</v>
      </c>
      <c r="G78" s="93">
        <v>1300000000</v>
      </c>
      <c r="H78" s="94">
        <v>55934.6</v>
      </c>
      <c r="I78" s="96">
        <v>0.68</v>
      </c>
      <c r="J78" s="109">
        <v>22.957001000000002</v>
      </c>
      <c r="K78" s="112">
        <v>2.1474000000000002</v>
      </c>
      <c r="L78" s="109">
        <v>830</v>
      </c>
      <c r="M78" s="93">
        <v>45</v>
      </c>
      <c r="N78" s="114">
        <v>84.1</v>
      </c>
      <c r="O78" s="112">
        <v>7.6</v>
      </c>
      <c r="P78" s="115">
        <v>2435.6999999999998</v>
      </c>
      <c r="Q78" s="116">
        <v>5885</v>
      </c>
      <c r="R78" s="102">
        <v>35758</v>
      </c>
      <c r="S78" s="230">
        <v>0.49</v>
      </c>
      <c r="T78" s="115">
        <v>116</v>
      </c>
      <c r="U78" s="109">
        <v>9221.7451000000001</v>
      </c>
      <c r="V78" s="118">
        <v>37</v>
      </c>
      <c r="W78" s="119">
        <v>22.957000000000001</v>
      </c>
      <c r="X78" s="121">
        <v>830</v>
      </c>
      <c r="Y78" s="108">
        <v>45</v>
      </c>
      <c r="Z78" s="119">
        <v>0</v>
      </c>
      <c r="AA78" s="96">
        <v>58.136699999999998</v>
      </c>
      <c r="AB78" s="94">
        <v>145.785</v>
      </c>
      <c r="AC78" s="94">
        <v>39.5</v>
      </c>
      <c r="AD78" s="96">
        <v>88.116</v>
      </c>
    </row>
    <row r="79" spans="1:30">
      <c r="A79" s="109">
        <v>8</v>
      </c>
      <c r="B79" s="110" t="s">
        <v>38</v>
      </c>
      <c r="C79" s="110" t="s">
        <v>37</v>
      </c>
      <c r="D79" s="111">
        <v>2010</v>
      </c>
      <c r="E79" s="109">
        <v>32.5</v>
      </c>
      <c r="F79" s="93">
        <v>13.276999999999999</v>
      </c>
      <c r="G79" s="93">
        <v>2600000000</v>
      </c>
      <c r="H79" s="94">
        <v>14657.9</v>
      </c>
      <c r="I79" s="96">
        <v>0.31</v>
      </c>
      <c r="J79" s="109">
        <v>23.652999999999999</v>
      </c>
      <c r="K79" s="112">
        <v>0.54020000000000001</v>
      </c>
      <c r="L79" s="109">
        <v>844</v>
      </c>
      <c r="M79" s="93">
        <v>18</v>
      </c>
      <c r="N79" s="114">
        <v>82.7</v>
      </c>
      <c r="O79" s="112">
        <v>9</v>
      </c>
      <c r="P79" s="115">
        <v>18.2</v>
      </c>
      <c r="Q79" s="116">
        <v>278</v>
      </c>
      <c r="R79" s="102">
        <v>9288</v>
      </c>
      <c r="S79" s="230">
        <v>0.19</v>
      </c>
      <c r="T79" s="115">
        <v>100</v>
      </c>
      <c r="U79" s="109">
        <v>14918.12</v>
      </c>
      <c r="V79" s="118">
        <v>21.5</v>
      </c>
      <c r="W79" s="119">
        <v>23.652999999999999</v>
      </c>
      <c r="X79" s="121">
        <v>844</v>
      </c>
      <c r="Y79" s="108">
        <v>18</v>
      </c>
      <c r="Z79" s="119">
        <v>14918.1</v>
      </c>
      <c r="AA79" s="96">
        <v>122.29900000000001</v>
      </c>
      <c r="AB79" s="94">
        <v>31.4101</v>
      </c>
      <c r="AC79" s="94">
        <v>25.3</v>
      </c>
      <c r="AD79" s="96">
        <v>68.093999999999994</v>
      </c>
    </row>
    <row r="80" spans="1:30">
      <c r="A80" s="109">
        <v>8</v>
      </c>
      <c r="B80" s="110" t="s">
        <v>38</v>
      </c>
      <c r="C80" s="110" t="s">
        <v>37</v>
      </c>
      <c r="D80" s="111">
        <v>2011</v>
      </c>
      <c r="E80" s="109">
        <v>34</v>
      </c>
      <c r="F80" s="93">
        <v>4.8023999999999996</v>
      </c>
      <c r="G80" s="93">
        <v>1100000000</v>
      </c>
      <c r="H80" s="94">
        <v>15820.9</v>
      </c>
      <c r="I80" s="96">
        <v>0.31</v>
      </c>
      <c r="J80" s="109">
        <v>26.240998999999999</v>
      </c>
      <c r="K80" s="112">
        <v>0.53749999999999998</v>
      </c>
      <c r="L80" s="109">
        <v>814</v>
      </c>
      <c r="M80" s="93">
        <v>23.299999</v>
      </c>
      <c r="N80" s="114">
        <v>69.5</v>
      </c>
      <c r="O80" s="112">
        <v>14.5</v>
      </c>
      <c r="P80" s="115">
        <v>24.1</v>
      </c>
      <c r="Q80" s="116">
        <v>322</v>
      </c>
      <c r="R80" s="102">
        <v>9860</v>
      </c>
      <c r="S80" s="230">
        <v>0</v>
      </c>
      <c r="T80" s="115">
        <v>98</v>
      </c>
      <c r="U80" s="109">
        <v>16336.708000000001</v>
      </c>
      <c r="V80" s="118">
        <v>21.8</v>
      </c>
      <c r="W80" s="119">
        <v>26.241</v>
      </c>
      <c r="X80" s="121">
        <v>814</v>
      </c>
      <c r="Y80" s="108">
        <v>23.3</v>
      </c>
      <c r="Z80" s="119">
        <v>16336.7</v>
      </c>
      <c r="AA80" s="96">
        <v>146.619</v>
      </c>
      <c r="AB80" s="94">
        <v>31.314900000000002</v>
      </c>
      <c r="AC80" s="94">
        <v>25.2</v>
      </c>
      <c r="AD80" s="96">
        <v>67.965000000000003</v>
      </c>
    </row>
    <row r="81" spans="1:30">
      <c r="A81" s="109">
        <v>8</v>
      </c>
      <c r="B81" s="110" t="s">
        <v>38</v>
      </c>
      <c r="C81" s="110" t="s">
        <v>37</v>
      </c>
      <c r="D81" s="111">
        <v>2012</v>
      </c>
      <c r="E81" s="109">
        <v>35.5</v>
      </c>
      <c r="F81" s="93">
        <v>7.6916599999999997</v>
      </c>
      <c r="G81" s="93">
        <v>1800000000</v>
      </c>
      <c r="H81" s="94">
        <v>16460.7</v>
      </c>
      <c r="I81" s="96">
        <v>0.3</v>
      </c>
      <c r="J81" s="109">
        <v>27.187999999999999</v>
      </c>
      <c r="K81" s="112">
        <v>0.5464</v>
      </c>
      <c r="L81" s="109">
        <v>769</v>
      </c>
      <c r="M81" s="93">
        <v>19.100000000000001</v>
      </c>
      <c r="N81" s="114">
        <v>80.400000000000006</v>
      </c>
      <c r="O81" s="112">
        <v>19.2</v>
      </c>
      <c r="P81" s="115">
        <v>93.6</v>
      </c>
      <c r="Q81" s="116">
        <v>367</v>
      </c>
      <c r="R81" s="102">
        <v>10687</v>
      </c>
      <c r="S81" s="230">
        <v>0.19</v>
      </c>
      <c r="T81" s="115">
        <v>94</v>
      </c>
      <c r="U81" s="109">
        <v>15694.669</v>
      </c>
      <c r="V81" s="118">
        <v>20.7</v>
      </c>
      <c r="W81" s="119">
        <v>27.187999999999999</v>
      </c>
      <c r="X81" s="121">
        <v>769</v>
      </c>
      <c r="Y81" s="108">
        <v>19.100000000000001</v>
      </c>
      <c r="Z81" s="119">
        <v>15694.7</v>
      </c>
      <c r="AA81" s="96">
        <v>147.05600000000001</v>
      </c>
      <c r="AB81" s="94">
        <v>31.202999999999999</v>
      </c>
      <c r="AC81" s="94">
        <v>25</v>
      </c>
      <c r="AD81" s="96">
        <v>67.974000000000004</v>
      </c>
    </row>
    <row r="82" spans="1:30">
      <c r="A82" s="109">
        <v>8</v>
      </c>
      <c r="B82" s="110" t="s">
        <v>38</v>
      </c>
      <c r="C82" s="110" t="s">
        <v>37</v>
      </c>
      <c r="D82" s="111">
        <v>2013</v>
      </c>
      <c r="E82" s="109">
        <v>35</v>
      </c>
      <c r="F82" s="93">
        <v>4.3139399999999997</v>
      </c>
      <c r="G82" s="93">
        <v>1100000000</v>
      </c>
      <c r="H82" s="94">
        <v>16809.5</v>
      </c>
      <c r="I82" s="96">
        <v>0.28999999999999998</v>
      </c>
      <c r="J82" s="109">
        <v>26.624001</v>
      </c>
      <c r="K82" s="112">
        <v>0.52439999999999998</v>
      </c>
      <c r="L82" s="109">
        <v>802</v>
      </c>
      <c r="M82" s="93">
        <v>17.600000000000001</v>
      </c>
      <c r="N82" s="114">
        <v>66</v>
      </c>
      <c r="O82" s="112">
        <v>14.7</v>
      </c>
      <c r="P82" s="115">
        <v>444.3</v>
      </c>
      <c r="Q82" s="116">
        <v>375</v>
      </c>
      <c r="R82" s="102">
        <v>11229</v>
      </c>
      <c r="S82" s="230">
        <v>0</v>
      </c>
      <c r="T82" s="115">
        <v>93</v>
      </c>
      <c r="U82" s="109">
        <v>13195.241</v>
      </c>
      <c r="V82" s="118">
        <v>19.3</v>
      </c>
      <c r="W82" s="119">
        <v>26.623999999999999</v>
      </c>
      <c r="X82" s="121">
        <v>802</v>
      </c>
      <c r="Y82" s="108">
        <v>17.600000000000001</v>
      </c>
      <c r="Z82" s="119">
        <v>13195.2</v>
      </c>
      <c r="AA82" s="96">
        <v>136.66999999999999</v>
      </c>
      <c r="AB82" s="94">
        <v>30.319700000000001</v>
      </c>
      <c r="AC82" s="94">
        <v>24.5</v>
      </c>
      <c r="AD82" s="96">
        <v>68.122</v>
      </c>
    </row>
    <row r="83" spans="1:30">
      <c r="A83" s="109">
        <v>8</v>
      </c>
      <c r="B83" s="110" t="s">
        <v>38</v>
      </c>
      <c r="C83" s="110" t="s">
        <v>37</v>
      </c>
      <c r="D83" s="111">
        <v>2014</v>
      </c>
      <c r="E83" s="109">
        <v>35.299999999999997</v>
      </c>
      <c r="F83" s="93">
        <v>6.5851199999999999</v>
      </c>
      <c r="G83" s="93">
        <v>1800000000</v>
      </c>
      <c r="H83" s="94">
        <v>17413.7</v>
      </c>
      <c r="I83" s="96">
        <v>0.28000000000000003</v>
      </c>
      <c r="J83" s="109">
        <v>24.298999999999999</v>
      </c>
      <c r="K83" s="112">
        <v>0.56769999999999998</v>
      </c>
      <c r="L83" s="109">
        <v>453</v>
      </c>
      <c r="M83" s="93">
        <v>31.1</v>
      </c>
      <c r="N83" s="114">
        <v>85.1</v>
      </c>
      <c r="O83" s="112">
        <v>11.3</v>
      </c>
      <c r="P83" s="115">
        <v>452.9</v>
      </c>
      <c r="Q83" s="116">
        <v>395</v>
      </c>
      <c r="R83" s="102">
        <v>11944</v>
      </c>
      <c r="S83" s="230">
        <v>2.2799999999999998</v>
      </c>
      <c r="T83" s="115">
        <v>95</v>
      </c>
      <c r="U83" s="109">
        <v>14436.199000000001</v>
      </c>
      <c r="V83" s="118">
        <v>20.2</v>
      </c>
      <c r="W83" s="119">
        <v>24.298999999999999</v>
      </c>
      <c r="X83" s="121">
        <v>453</v>
      </c>
      <c r="Y83" s="108">
        <v>31.1</v>
      </c>
      <c r="Z83" s="119">
        <v>14436.2</v>
      </c>
      <c r="AA83" s="96">
        <v>126.916</v>
      </c>
      <c r="AB83" s="94">
        <v>30.240300000000001</v>
      </c>
      <c r="AC83" s="94">
        <v>25.3</v>
      </c>
      <c r="AD83" s="96">
        <v>68.269000000000005</v>
      </c>
    </row>
    <row r="84" spans="1:30">
      <c r="A84" s="109">
        <v>8</v>
      </c>
      <c r="B84" s="110" t="s">
        <v>38</v>
      </c>
      <c r="C84" s="110" t="s">
        <v>37</v>
      </c>
      <c r="D84" s="111">
        <v>2015</v>
      </c>
      <c r="E84" s="109">
        <v>36.200000000000003</v>
      </c>
      <c r="F84" s="93">
        <v>-3.0691099999999998</v>
      </c>
      <c r="G84" s="93">
        <v>-720000000</v>
      </c>
      <c r="H84" s="94">
        <v>17722.2</v>
      </c>
      <c r="I84" s="96">
        <v>0.28999999999999998</v>
      </c>
      <c r="J84" s="109">
        <v>25.447001</v>
      </c>
      <c r="K84" s="112">
        <v>0.58350000000000002</v>
      </c>
      <c r="L84" s="109">
        <v>366</v>
      </c>
      <c r="M84" s="93">
        <v>28.299999</v>
      </c>
      <c r="N84" s="114">
        <v>86.7</v>
      </c>
      <c r="O84" s="112">
        <v>11.4</v>
      </c>
      <c r="P84" s="115">
        <v>374.7</v>
      </c>
      <c r="Q84" s="116">
        <v>395</v>
      </c>
      <c r="R84" s="102">
        <v>12174</v>
      </c>
      <c r="S84" s="230">
        <v>0</v>
      </c>
      <c r="T84" s="115">
        <v>100</v>
      </c>
      <c r="U84" s="109">
        <v>15279.905000000001</v>
      </c>
      <c r="V84" s="118">
        <v>19.7</v>
      </c>
      <c r="W84" s="119">
        <v>25.446999999999999</v>
      </c>
      <c r="X84" s="121">
        <v>366</v>
      </c>
      <c r="Y84" s="108">
        <v>28.3</v>
      </c>
      <c r="Z84" s="119">
        <v>15279.9</v>
      </c>
      <c r="AA84" s="96">
        <v>117.352</v>
      </c>
      <c r="AB84" s="94">
        <v>30.260100000000001</v>
      </c>
      <c r="AC84" s="94">
        <v>28.2</v>
      </c>
      <c r="AD84" s="96">
        <v>68.415999999999997</v>
      </c>
    </row>
    <row r="85" spans="1:30">
      <c r="A85" s="109">
        <v>8</v>
      </c>
      <c r="B85" s="110" t="s">
        <v>38</v>
      </c>
      <c r="C85" s="110" t="s">
        <v>37</v>
      </c>
      <c r="D85" s="111">
        <v>2016</v>
      </c>
      <c r="E85" s="109">
        <v>35.200000000000003</v>
      </c>
      <c r="F85" s="93">
        <v>3.7692299999999999</v>
      </c>
      <c r="G85" s="93">
        <v>930000000</v>
      </c>
      <c r="H85" s="94">
        <v>18265</v>
      </c>
      <c r="I85" s="96">
        <v>0.28000000000000003</v>
      </c>
      <c r="J85" s="109">
        <v>24.549999</v>
      </c>
      <c r="K85" s="112">
        <v>0.62239999999999995</v>
      </c>
      <c r="L85" s="109">
        <v>401</v>
      </c>
      <c r="M85" s="93">
        <v>27.9</v>
      </c>
      <c r="N85" s="114">
        <v>86.7</v>
      </c>
      <c r="O85" s="112">
        <v>11.9</v>
      </c>
      <c r="P85" s="115">
        <v>1027.3</v>
      </c>
      <c r="Q85" s="116">
        <v>409</v>
      </c>
      <c r="R85" s="102">
        <v>11644</v>
      </c>
      <c r="S85" s="230">
        <v>0.76</v>
      </c>
      <c r="T85" s="115">
        <v>108</v>
      </c>
      <c r="U85" s="109">
        <v>14529.228999999999</v>
      </c>
      <c r="V85" s="118">
        <v>22.3</v>
      </c>
      <c r="W85" s="119">
        <v>24.55</v>
      </c>
      <c r="X85" s="121">
        <v>401</v>
      </c>
      <c r="Y85" s="108">
        <v>27.9</v>
      </c>
      <c r="Z85" s="119">
        <v>14529.2</v>
      </c>
      <c r="AA85" s="96">
        <v>114.53100000000001</v>
      </c>
      <c r="AB85" s="94">
        <v>30.268899999999999</v>
      </c>
      <c r="AC85" s="94">
        <v>27.2</v>
      </c>
      <c r="AD85" s="96">
        <v>68.563000000000002</v>
      </c>
    </row>
    <row r="86" spans="1:30">
      <c r="A86" s="109">
        <v>8</v>
      </c>
      <c r="B86" s="110" t="s">
        <v>38</v>
      </c>
      <c r="C86" s="110" t="s">
        <v>37</v>
      </c>
      <c r="D86" s="111">
        <v>2017</v>
      </c>
      <c r="E86" s="109">
        <v>36</v>
      </c>
      <c r="F86" s="93">
        <v>6.3189299999999999</v>
      </c>
      <c r="G86" s="93">
        <v>1700000000</v>
      </c>
      <c r="H86" s="94">
        <v>19270.8</v>
      </c>
      <c r="I86" s="96">
        <v>0.27</v>
      </c>
      <c r="J86" s="109">
        <v>28.867000999999998</v>
      </c>
      <c r="K86" s="112">
        <v>0.55489999999999995</v>
      </c>
      <c r="L86" s="109">
        <v>414</v>
      </c>
      <c r="M86" s="93">
        <v>28.200001</v>
      </c>
      <c r="N86" s="114">
        <v>85.7</v>
      </c>
      <c r="O86" s="112">
        <v>12.5</v>
      </c>
      <c r="P86" s="115">
        <v>947.8</v>
      </c>
      <c r="Q86" s="116">
        <v>471</v>
      </c>
      <c r="R86" s="102">
        <v>12372</v>
      </c>
      <c r="S86" s="230">
        <v>0</v>
      </c>
      <c r="T86" s="115">
        <v>107</v>
      </c>
      <c r="U86" s="109">
        <v>10611.668</v>
      </c>
      <c r="V86" s="118">
        <v>20.9</v>
      </c>
      <c r="W86" s="119">
        <v>28.867000000000001</v>
      </c>
      <c r="X86" s="121">
        <v>414</v>
      </c>
      <c r="Y86" s="108">
        <v>28.2</v>
      </c>
      <c r="Z86" s="119">
        <v>10611.7</v>
      </c>
      <c r="AA86" s="96">
        <v>113.70099999999999</v>
      </c>
      <c r="AB86" s="94">
        <v>30.815999999999999</v>
      </c>
      <c r="AC86" s="94">
        <v>27.5</v>
      </c>
      <c r="AD86" s="96">
        <v>68.716999999999999</v>
      </c>
    </row>
    <row r="87" spans="1:30">
      <c r="A87" s="109">
        <v>8</v>
      </c>
      <c r="B87" s="110" t="s">
        <v>38</v>
      </c>
      <c r="C87" s="110" t="s">
        <v>37</v>
      </c>
      <c r="D87" s="111">
        <v>2018</v>
      </c>
      <c r="E87" s="109">
        <v>36.1</v>
      </c>
      <c r="F87" s="93">
        <v>4.0801600000000002</v>
      </c>
      <c r="G87" s="93">
        <v>1300000000</v>
      </c>
      <c r="H87" s="94">
        <v>19914.3</v>
      </c>
      <c r="I87" s="96">
        <v>0.28000000000000003</v>
      </c>
      <c r="J87" s="109">
        <v>30.579000000000001</v>
      </c>
      <c r="K87" s="112">
        <v>0.55489999999999995</v>
      </c>
      <c r="L87" s="109">
        <v>445</v>
      </c>
      <c r="M87" s="93">
        <v>28</v>
      </c>
      <c r="N87" s="114">
        <v>85.7</v>
      </c>
      <c r="O87" s="112">
        <v>13.8</v>
      </c>
      <c r="P87" s="115">
        <v>818.2</v>
      </c>
      <c r="Q87" s="116">
        <v>554</v>
      </c>
      <c r="R87" s="102">
        <v>13829</v>
      </c>
      <c r="S87" s="230">
        <v>0</v>
      </c>
      <c r="T87" s="115">
        <v>105</v>
      </c>
      <c r="U87" s="109">
        <v>7940.9921999999997</v>
      </c>
      <c r="V87" s="118">
        <v>23.4</v>
      </c>
      <c r="W87" s="119">
        <v>30.579000000000001</v>
      </c>
      <c r="X87" s="121">
        <v>445</v>
      </c>
      <c r="Y87" s="108">
        <v>28</v>
      </c>
      <c r="Z87" s="119">
        <v>7940.99</v>
      </c>
      <c r="AA87" s="96">
        <v>115.804</v>
      </c>
      <c r="AB87" s="94">
        <v>30.923400000000001</v>
      </c>
      <c r="AC87" s="94">
        <v>28.6</v>
      </c>
      <c r="AD87" s="96">
        <v>68.88</v>
      </c>
    </row>
    <row r="88" spans="1:30">
      <c r="A88" s="109">
        <v>8</v>
      </c>
      <c r="B88" s="110" t="s">
        <v>38</v>
      </c>
      <c r="C88" s="110" t="s">
        <v>37</v>
      </c>
      <c r="D88" s="111">
        <v>2019</v>
      </c>
      <c r="E88" s="109">
        <v>37.1</v>
      </c>
      <c r="F88" s="93">
        <v>9.7681900000000006</v>
      </c>
      <c r="G88" s="93">
        <v>3100000000</v>
      </c>
      <c r="H88" s="94">
        <v>20579.900000000001</v>
      </c>
      <c r="I88" s="96">
        <v>0.26</v>
      </c>
      <c r="J88" s="109">
        <v>28.676000999999999</v>
      </c>
      <c r="K88" s="112">
        <v>0.64059999999999995</v>
      </c>
      <c r="L88" s="109">
        <v>433</v>
      </c>
      <c r="M88" s="93">
        <v>30.799999</v>
      </c>
      <c r="N88" s="114">
        <v>80.599999999999994</v>
      </c>
      <c r="O88" s="112">
        <v>15.3</v>
      </c>
      <c r="P88" s="115">
        <v>462.9</v>
      </c>
      <c r="Q88" s="116">
        <v>543</v>
      </c>
      <c r="R88" s="102">
        <v>13343</v>
      </c>
      <c r="S88" s="230">
        <v>0</v>
      </c>
      <c r="T88" s="115">
        <v>108</v>
      </c>
      <c r="U88" s="109">
        <v>5270.3163999999997</v>
      </c>
      <c r="V88" s="118">
        <v>24.4</v>
      </c>
      <c r="W88" s="119">
        <v>28.675999999999998</v>
      </c>
      <c r="X88" s="121">
        <v>433</v>
      </c>
      <c r="Y88" s="108">
        <v>30.8</v>
      </c>
      <c r="Z88" s="119">
        <v>0</v>
      </c>
      <c r="AA88" s="96">
        <v>107.066</v>
      </c>
      <c r="AB88" s="94">
        <v>31.038499999999999</v>
      </c>
      <c r="AC88" s="94">
        <v>31.3</v>
      </c>
      <c r="AD88" s="96">
        <v>69.051000000000002</v>
      </c>
    </row>
    <row r="89" spans="1:30">
      <c r="A89" s="109">
        <v>8</v>
      </c>
      <c r="B89" s="110" t="s">
        <v>38</v>
      </c>
      <c r="C89" s="110" t="s">
        <v>37</v>
      </c>
      <c r="D89" s="111">
        <v>2020</v>
      </c>
      <c r="E89" s="109">
        <v>37.6</v>
      </c>
      <c r="F89" s="93">
        <v>12.014799999999999</v>
      </c>
      <c r="G89" s="93">
        <v>3800000000</v>
      </c>
      <c r="H89" s="94">
        <v>19946.900000000001</v>
      </c>
      <c r="I89" s="96">
        <v>0.28000000000000003</v>
      </c>
      <c r="J89" s="109">
        <v>28.365998999999999</v>
      </c>
      <c r="K89" s="112">
        <v>0.66400000000000003</v>
      </c>
      <c r="L89" s="109">
        <v>398</v>
      </c>
      <c r="M89" s="93">
        <v>28.9</v>
      </c>
      <c r="N89" s="114">
        <v>81.599999999999994</v>
      </c>
      <c r="O89" s="112">
        <v>16.399999999999999</v>
      </c>
      <c r="P89" s="115">
        <v>1789.7</v>
      </c>
      <c r="Q89" s="116">
        <v>564</v>
      </c>
      <c r="R89" s="102">
        <v>13810</v>
      </c>
      <c r="S89" s="230">
        <v>0</v>
      </c>
      <c r="T89" s="115">
        <v>105</v>
      </c>
      <c r="U89" s="109">
        <v>2599.6406000000002</v>
      </c>
      <c r="V89" s="118">
        <v>26.7</v>
      </c>
      <c r="W89" s="119">
        <v>28.366</v>
      </c>
      <c r="X89" s="121">
        <v>398</v>
      </c>
      <c r="Y89" s="108">
        <v>28.9</v>
      </c>
      <c r="Z89" s="119">
        <v>0</v>
      </c>
      <c r="AA89" s="96">
        <v>105.79300000000001</v>
      </c>
      <c r="AB89" s="94">
        <v>31.099900000000002</v>
      </c>
      <c r="AC89" s="94">
        <v>40.4</v>
      </c>
      <c r="AD89" s="96">
        <v>69.228999999999999</v>
      </c>
    </row>
    <row r="90" spans="1:30">
      <c r="A90" s="109">
        <v>9</v>
      </c>
      <c r="B90" s="110" t="s">
        <v>36</v>
      </c>
      <c r="C90" s="110" t="s">
        <v>35</v>
      </c>
      <c r="D90" s="111">
        <v>2010</v>
      </c>
      <c r="E90" s="109">
        <v>30</v>
      </c>
      <c r="F90" s="93">
        <v>0.179789</v>
      </c>
      <c r="G90" s="93">
        <v>530000000</v>
      </c>
      <c r="H90" s="94">
        <v>21547.7</v>
      </c>
      <c r="I90" s="96">
        <v>0.63</v>
      </c>
      <c r="J90" s="109">
        <v>18.785</v>
      </c>
      <c r="K90" s="112">
        <v>1.1411</v>
      </c>
      <c r="L90" s="109">
        <v>390</v>
      </c>
      <c r="M90" s="93">
        <v>17.100000000000001</v>
      </c>
      <c r="N90" s="114">
        <v>98</v>
      </c>
      <c r="O90" s="112">
        <v>2.5</v>
      </c>
      <c r="P90" s="115">
        <v>19.3</v>
      </c>
      <c r="Q90" s="116">
        <v>1717</v>
      </c>
      <c r="R90" s="102">
        <v>75071</v>
      </c>
      <c r="S90" s="230">
        <v>0.12</v>
      </c>
      <c r="T90" s="115">
        <v>100</v>
      </c>
      <c r="U90" s="109">
        <v>9565.6455000000005</v>
      </c>
      <c r="V90" s="118">
        <v>23.2</v>
      </c>
      <c r="W90" s="119">
        <v>18.785</v>
      </c>
      <c r="X90" s="121">
        <v>390</v>
      </c>
      <c r="Y90" s="108">
        <v>17.100000000000001</v>
      </c>
      <c r="Z90" s="119">
        <v>9565.65</v>
      </c>
      <c r="AA90" s="96">
        <v>31.686399999999999</v>
      </c>
      <c r="AB90" s="94">
        <v>86.278800000000004</v>
      </c>
      <c r="AC90" s="94">
        <v>11.4</v>
      </c>
      <c r="AD90" s="96">
        <v>76.292000000000002</v>
      </c>
    </row>
    <row r="91" spans="1:30">
      <c r="A91" s="109">
        <v>9</v>
      </c>
      <c r="B91" s="110" t="s">
        <v>36</v>
      </c>
      <c r="C91" s="110" t="s">
        <v>35</v>
      </c>
      <c r="D91" s="111">
        <v>2011</v>
      </c>
      <c r="E91" s="109">
        <v>31.5</v>
      </c>
      <c r="F91" s="93">
        <v>0.38562299999999999</v>
      </c>
      <c r="G91" s="93">
        <v>1100000000</v>
      </c>
      <c r="H91" s="94">
        <v>19448.3</v>
      </c>
      <c r="I91" s="96">
        <v>0.63</v>
      </c>
      <c r="J91" s="109">
        <v>16.914000000000001</v>
      </c>
      <c r="K91" s="112">
        <v>1.1249</v>
      </c>
      <c r="L91" s="109">
        <v>405</v>
      </c>
      <c r="M91" s="93">
        <v>17.799999</v>
      </c>
      <c r="N91" s="114">
        <v>90.9</v>
      </c>
      <c r="O91" s="112">
        <v>2</v>
      </c>
      <c r="P91" s="115">
        <v>37.200000000000003</v>
      </c>
      <c r="Q91" s="116">
        <v>1433</v>
      </c>
      <c r="R91" s="102">
        <v>70588</v>
      </c>
      <c r="S91" s="230">
        <v>0</v>
      </c>
      <c r="T91" s="115">
        <v>97</v>
      </c>
      <c r="U91" s="109">
        <v>8901.4570000000003</v>
      </c>
      <c r="V91" s="118">
        <v>24.2</v>
      </c>
      <c r="W91" s="119">
        <v>16.914000000000001</v>
      </c>
      <c r="X91" s="121">
        <v>405</v>
      </c>
      <c r="Y91" s="108">
        <v>17.8</v>
      </c>
      <c r="Z91" s="119">
        <v>8901.4599999999991</v>
      </c>
      <c r="AA91" s="96">
        <v>35.478099999999998</v>
      </c>
      <c r="AB91" s="94">
        <v>86.151300000000006</v>
      </c>
      <c r="AC91" s="94">
        <v>11.4</v>
      </c>
      <c r="AD91" s="96">
        <v>76.649000000000001</v>
      </c>
    </row>
    <row r="92" spans="1:30">
      <c r="A92" s="109">
        <v>9</v>
      </c>
      <c r="B92" s="110" t="s">
        <v>36</v>
      </c>
      <c r="C92" s="110" t="s">
        <v>35</v>
      </c>
      <c r="D92" s="111">
        <v>2012</v>
      </c>
      <c r="E92" s="109">
        <v>33</v>
      </c>
      <c r="F92" s="93">
        <v>0.69589800000000002</v>
      </c>
      <c r="G92" s="93">
        <v>1700000000</v>
      </c>
      <c r="H92" s="94">
        <v>17924.7</v>
      </c>
      <c r="I92" s="96">
        <v>0.54</v>
      </c>
      <c r="J92" s="109">
        <v>15.516999999999999</v>
      </c>
      <c r="K92" s="112">
        <v>1.1342000000000001</v>
      </c>
      <c r="L92" s="109">
        <v>369</v>
      </c>
      <c r="M92" s="93">
        <v>17</v>
      </c>
      <c r="N92" s="114">
        <v>90.2</v>
      </c>
      <c r="O92" s="112">
        <v>1.8</v>
      </c>
      <c r="P92" s="115">
        <v>71.400000000000006</v>
      </c>
      <c r="Q92" s="116">
        <v>1376</v>
      </c>
      <c r="R92" s="102">
        <v>60948</v>
      </c>
      <c r="S92" s="230">
        <v>0</v>
      </c>
      <c r="T92" s="115">
        <v>91</v>
      </c>
      <c r="U92" s="109">
        <v>8711.7528999999995</v>
      </c>
      <c r="V92" s="118">
        <v>25</v>
      </c>
      <c r="W92" s="119">
        <v>15.516999999999999</v>
      </c>
      <c r="X92" s="121">
        <v>369</v>
      </c>
      <c r="Y92" s="108">
        <v>17</v>
      </c>
      <c r="Z92" s="119">
        <v>8711.75</v>
      </c>
      <c r="AA92" s="96">
        <v>40.616999999999997</v>
      </c>
      <c r="AB92" s="94">
        <v>85.686700000000002</v>
      </c>
      <c r="AC92" s="94">
        <v>14.2</v>
      </c>
      <c r="AD92" s="96">
        <v>77.004000000000005</v>
      </c>
    </row>
    <row r="93" spans="1:30">
      <c r="A93" s="109">
        <v>9</v>
      </c>
      <c r="B93" s="110" t="s">
        <v>36</v>
      </c>
      <c r="C93" s="110" t="s">
        <v>35</v>
      </c>
      <c r="D93" s="111">
        <v>2013</v>
      </c>
      <c r="E93" s="109">
        <v>33</v>
      </c>
      <c r="F93" s="93">
        <v>1.2450600000000001</v>
      </c>
      <c r="G93" s="93">
        <v>2900000000</v>
      </c>
      <c r="H93" s="94">
        <v>17644.900000000001</v>
      </c>
      <c r="I93" s="96">
        <v>0.59</v>
      </c>
      <c r="J93" s="109">
        <v>14.483000000000001</v>
      </c>
      <c r="K93" s="112">
        <v>1.1910000000000001</v>
      </c>
      <c r="L93" s="109">
        <v>383</v>
      </c>
      <c r="M93" s="93">
        <v>15.8</v>
      </c>
      <c r="N93" s="114">
        <v>91</v>
      </c>
      <c r="O93" s="112">
        <v>1.7</v>
      </c>
      <c r="P93" s="115">
        <v>64.5</v>
      </c>
      <c r="Q93" s="116">
        <v>981</v>
      </c>
      <c r="R93" s="102">
        <v>56493</v>
      </c>
      <c r="S93" s="230">
        <v>0</v>
      </c>
      <c r="T93" s="115">
        <v>89</v>
      </c>
      <c r="U93" s="109">
        <v>8431.8984</v>
      </c>
      <c r="V93" s="118">
        <v>26.2</v>
      </c>
      <c r="W93" s="119">
        <v>14.483000000000001</v>
      </c>
      <c r="X93" s="121">
        <v>383</v>
      </c>
      <c r="Y93" s="108">
        <v>15.8</v>
      </c>
      <c r="Z93" s="119">
        <v>8431.9</v>
      </c>
      <c r="AA93" s="96">
        <v>41.004600000000003</v>
      </c>
      <c r="AB93" s="94">
        <v>85.067599999999999</v>
      </c>
      <c r="AC93" s="94">
        <v>16.600000000000001</v>
      </c>
      <c r="AD93" s="96">
        <v>77.355000000000004</v>
      </c>
    </row>
    <row r="94" spans="1:30">
      <c r="A94" s="109">
        <v>9</v>
      </c>
      <c r="B94" s="110" t="s">
        <v>36</v>
      </c>
      <c r="C94" s="110" t="s">
        <v>35</v>
      </c>
      <c r="D94" s="111">
        <v>2014</v>
      </c>
      <c r="E94" s="109">
        <v>32.200000000000003</v>
      </c>
      <c r="F94" s="93">
        <v>1.1531400000000001</v>
      </c>
      <c r="G94" s="93">
        <v>2700000000</v>
      </c>
      <c r="H94" s="94">
        <v>17903.5</v>
      </c>
      <c r="I94" s="96">
        <v>0.62</v>
      </c>
      <c r="J94" s="109">
        <v>15.148</v>
      </c>
      <c r="K94" s="112">
        <v>1.163</v>
      </c>
      <c r="L94" s="109">
        <v>395</v>
      </c>
      <c r="M94" s="93">
        <v>15.4</v>
      </c>
      <c r="N94" s="114">
        <v>84</v>
      </c>
      <c r="O94" s="112">
        <v>1.3</v>
      </c>
      <c r="P94" s="115">
        <v>68</v>
      </c>
      <c r="Q94" s="116">
        <v>1104</v>
      </c>
      <c r="R94" s="102">
        <v>64608</v>
      </c>
      <c r="S94" s="230">
        <v>0.09</v>
      </c>
      <c r="T94" s="115">
        <v>86</v>
      </c>
      <c r="U94" s="109">
        <v>8276.6327999999994</v>
      </c>
      <c r="V94" s="118">
        <v>26.3</v>
      </c>
      <c r="W94" s="119">
        <v>15.148</v>
      </c>
      <c r="X94" s="121">
        <v>395</v>
      </c>
      <c r="Y94" s="108">
        <v>15.4</v>
      </c>
      <c r="Z94" s="119">
        <v>8276.6299999999992</v>
      </c>
      <c r="AA94" s="96">
        <v>41.8718</v>
      </c>
      <c r="AB94" s="94">
        <v>84.502799999999993</v>
      </c>
      <c r="AC94" s="94">
        <v>16.399999999999999</v>
      </c>
      <c r="AD94" s="96">
        <v>77.701999999999998</v>
      </c>
    </row>
    <row r="95" spans="1:30">
      <c r="A95" s="109">
        <v>9</v>
      </c>
      <c r="B95" s="110" t="s">
        <v>36</v>
      </c>
      <c r="C95" s="110" t="s">
        <v>35</v>
      </c>
      <c r="D95" s="111">
        <v>2015</v>
      </c>
      <c r="E95" s="109">
        <v>33.4</v>
      </c>
      <c r="F95" s="93">
        <v>0.65218500000000001</v>
      </c>
      <c r="G95" s="93">
        <v>1300000000</v>
      </c>
      <c r="H95" s="94">
        <v>17980.7</v>
      </c>
      <c r="I95" s="96">
        <v>0.55000000000000004</v>
      </c>
      <c r="J95" s="109">
        <v>14.628</v>
      </c>
      <c r="K95" s="112">
        <v>1.2181999999999999</v>
      </c>
      <c r="L95" s="109">
        <v>373</v>
      </c>
      <c r="M95" s="93">
        <v>15.8</v>
      </c>
      <c r="N95" s="114">
        <v>89.6</v>
      </c>
      <c r="O95" s="112">
        <v>1.8</v>
      </c>
      <c r="P95" s="115">
        <v>15.8</v>
      </c>
      <c r="Q95" s="116">
        <v>1077</v>
      </c>
      <c r="R95" s="102">
        <v>55509</v>
      </c>
      <c r="S95" s="230">
        <v>0.32</v>
      </c>
      <c r="T95" s="115">
        <v>84</v>
      </c>
      <c r="U95" s="109">
        <v>8837.6190999999999</v>
      </c>
      <c r="V95" s="118">
        <v>29.5</v>
      </c>
      <c r="W95" s="119">
        <v>14.628</v>
      </c>
      <c r="X95" s="121">
        <v>373</v>
      </c>
      <c r="Y95" s="108">
        <v>15.8</v>
      </c>
      <c r="Z95" s="119">
        <v>8837.6200000000008</v>
      </c>
      <c r="AA95" s="96">
        <v>38.721800000000002</v>
      </c>
      <c r="AB95" s="94">
        <v>83.947900000000004</v>
      </c>
      <c r="AC95" s="94">
        <v>17.5</v>
      </c>
      <c r="AD95" s="96">
        <v>78.046000000000006</v>
      </c>
    </row>
    <row r="96" spans="1:30">
      <c r="A96" s="109">
        <v>9</v>
      </c>
      <c r="B96" s="110" t="s">
        <v>36</v>
      </c>
      <c r="C96" s="110" t="s">
        <v>35</v>
      </c>
      <c r="D96" s="111">
        <v>2016</v>
      </c>
      <c r="E96" s="109">
        <v>32.299999999999997</v>
      </c>
      <c r="F96" s="93">
        <v>1.39751</v>
      </c>
      <c r="G96" s="93">
        <v>2700000000</v>
      </c>
      <c r="H96" s="94">
        <v>18049.900000000001</v>
      </c>
      <c r="I96" s="96">
        <v>0.52</v>
      </c>
      <c r="J96" s="109">
        <v>13.941000000000001</v>
      </c>
      <c r="K96" s="112">
        <v>1.2839</v>
      </c>
      <c r="L96" s="109">
        <v>412</v>
      </c>
      <c r="M96" s="93">
        <v>17.200001</v>
      </c>
      <c r="N96" s="114">
        <v>85.4</v>
      </c>
      <c r="O96" s="112">
        <v>2.1</v>
      </c>
      <c r="P96" s="115">
        <v>52.2</v>
      </c>
      <c r="Q96" s="116">
        <v>1016</v>
      </c>
      <c r="R96" s="102">
        <v>66723</v>
      </c>
      <c r="S96" s="230">
        <v>0.09</v>
      </c>
      <c r="T96" s="115">
        <v>84</v>
      </c>
      <c r="U96" s="109">
        <v>8811.1337999999996</v>
      </c>
      <c r="V96" s="118">
        <v>32.5</v>
      </c>
      <c r="W96" s="119">
        <v>13.941000000000001</v>
      </c>
      <c r="X96" s="121">
        <v>412</v>
      </c>
      <c r="Y96" s="108">
        <v>17.2</v>
      </c>
      <c r="Z96" s="119">
        <v>8811.1299999999992</v>
      </c>
      <c r="AA96" s="96">
        <v>38.819800000000001</v>
      </c>
      <c r="AB96" s="94">
        <v>83.599500000000006</v>
      </c>
      <c r="AC96" s="94">
        <v>16.399999999999999</v>
      </c>
      <c r="AD96" s="96">
        <v>78.387</v>
      </c>
    </row>
    <row r="97" spans="1:30">
      <c r="A97" s="109">
        <v>9</v>
      </c>
      <c r="B97" s="110" t="s">
        <v>36</v>
      </c>
      <c r="C97" s="110" t="s">
        <v>35</v>
      </c>
      <c r="D97" s="111">
        <v>2017</v>
      </c>
      <c r="E97" s="109">
        <v>33.200000000000003</v>
      </c>
      <c r="F97" s="93">
        <v>1.7162999999999999</v>
      </c>
      <c r="G97" s="93">
        <v>3400000000</v>
      </c>
      <c r="H97" s="94">
        <v>18352.099999999999</v>
      </c>
      <c r="I97" s="96">
        <v>0.53</v>
      </c>
      <c r="J97" s="109">
        <v>13.236000000000001</v>
      </c>
      <c r="K97" s="112">
        <v>1.3152999999999999</v>
      </c>
      <c r="L97" s="109">
        <v>420</v>
      </c>
      <c r="M97" s="93">
        <v>18.899999999999999</v>
      </c>
      <c r="N97" s="114">
        <v>78.8</v>
      </c>
      <c r="O97" s="112">
        <v>2.5</v>
      </c>
      <c r="P97" s="115">
        <v>15.5</v>
      </c>
      <c r="Q97" s="116">
        <v>1144</v>
      </c>
      <c r="R97" s="102">
        <v>61594</v>
      </c>
      <c r="S97" s="230">
        <v>0.21</v>
      </c>
      <c r="T97" s="115">
        <v>88</v>
      </c>
      <c r="U97" s="109">
        <v>8258.8798999999999</v>
      </c>
      <c r="V97" s="118">
        <v>33.799999999999997</v>
      </c>
      <c r="W97" s="119">
        <v>13.236000000000001</v>
      </c>
      <c r="X97" s="121">
        <v>420</v>
      </c>
      <c r="Y97" s="108">
        <v>18.899999999999999</v>
      </c>
      <c r="Z97" s="119">
        <v>8258.8799999999992</v>
      </c>
      <c r="AA97" s="96">
        <v>42.979100000000003</v>
      </c>
      <c r="AB97" s="94">
        <v>83.434299999999993</v>
      </c>
      <c r="AC97" s="94">
        <v>16.399999999999999</v>
      </c>
      <c r="AD97" s="96">
        <v>78.724000000000004</v>
      </c>
    </row>
    <row r="98" spans="1:30">
      <c r="A98" s="109">
        <v>9</v>
      </c>
      <c r="B98" s="110" t="s">
        <v>36</v>
      </c>
      <c r="C98" s="110" t="s">
        <v>35</v>
      </c>
      <c r="D98" s="111">
        <v>2018</v>
      </c>
      <c r="E98" s="109">
        <v>33</v>
      </c>
      <c r="F98" s="93">
        <v>1.88723</v>
      </c>
      <c r="G98" s="93">
        <v>4000000000</v>
      </c>
      <c r="H98" s="94">
        <v>18769</v>
      </c>
      <c r="I98" s="96">
        <v>0.49</v>
      </c>
      <c r="J98" s="109">
        <v>12.987</v>
      </c>
      <c r="K98" s="112">
        <v>1.3757999999999999</v>
      </c>
      <c r="L98" s="109">
        <v>426</v>
      </c>
      <c r="M98" s="93">
        <v>20.100000000000001</v>
      </c>
      <c r="N98" s="114">
        <v>80.7</v>
      </c>
      <c r="O98" s="112">
        <v>3</v>
      </c>
      <c r="P98" s="115">
        <v>6.3</v>
      </c>
      <c r="Q98" s="116">
        <v>1211</v>
      </c>
      <c r="R98" s="102">
        <v>70128</v>
      </c>
      <c r="S98" s="230">
        <v>0</v>
      </c>
      <c r="T98" s="115">
        <v>94</v>
      </c>
      <c r="U98" s="109">
        <v>7262.9263000000001</v>
      </c>
      <c r="V98" s="118">
        <v>35.5</v>
      </c>
      <c r="W98" s="119">
        <v>12.987</v>
      </c>
      <c r="X98" s="121">
        <v>426</v>
      </c>
      <c r="Y98" s="108">
        <v>20.100000000000001</v>
      </c>
      <c r="Z98" s="119">
        <v>7262.93</v>
      </c>
      <c r="AA98" s="96">
        <v>48.466700000000003</v>
      </c>
      <c r="AB98" s="94">
        <v>83.265199999999993</v>
      </c>
      <c r="AC98" s="94">
        <v>17.899999999999999</v>
      </c>
      <c r="AD98" s="96">
        <v>79.058000000000007</v>
      </c>
    </row>
    <row r="99" spans="1:30">
      <c r="A99" s="109">
        <v>9</v>
      </c>
      <c r="B99" s="110" t="s">
        <v>36</v>
      </c>
      <c r="C99" s="110" t="s">
        <v>35</v>
      </c>
      <c r="D99" s="111">
        <v>2019</v>
      </c>
      <c r="E99" s="109">
        <v>33.700000000000003</v>
      </c>
      <c r="F99" s="93">
        <v>2.4117199999999999</v>
      </c>
      <c r="G99" s="93">
        <v>5000000000</v>
      </c>
      <c r="H99" s="94">
        <v>19216.7</v>
      </c>
      <c r="I99" s="96">
        <v>0.5</v>
      </c>
      <c r="J99" s="109">
        <v>12.8</v>
      </c>
      <c r="K99" s="112">
        <v>1.4764999999999999</v>
      </c>
      <c r="L99" s="109">
        <v>431</v>
      </c>
      <c r="M99" s="93">
        <v>21</v>
      </c>
      <c r="N99" s="114">
        <v>79</v>
      </c>
      <c r="O99" s="112">
        <v>3.3</v>
      </c>
      <c r="P99" s="115">
        <v>5.3</v>
      </c>
      <c r="Q99" s="116">
        <v>1386</v>
      </c>
      <c r="R99" s="102">
        <v>72533</v>
      </c>
      <c r="S99" s="230">
        <v>0.03</v>
      </c>
      <c r="T99" s="115">
        <v>93</v>
      </c>
      <c r="U99" s="109">
        <v>6266.9727000000003</v>
      </c>
      <c r="V99" s="118">
        <v>36.299999999999997</v>
      </c>
      <c r="W99" s="119">
        <v>12.8</v>
      </c>
      <c r="X99" s="121">
        <v>431</v>
      </c>
      <c r="Y99" s="108">
        <v>21</v>
      </c>
      <c r="Z99" s="119">
        <v>0</v>
      </c>
      <c r="AA99" s="96">
        <v>48.378300000000003</v>
      </c>
      <c r="AB99" s="94">
        <v>83.177499999999995</v>
      </c>
      <c r="AC99" s="94">
        <v>18.5</v>
      </c>
      <c r="AD99" s="96">
        <v>79.388000000000005</v>
      </c>
    </row>
    <row r="100" spans="1:30">
      <c r="A100" s="109">
        <v>9</v>
      </c>
      <c r="B100" s="110" t="s">
        <v>36</v>
      </c>
      <c r="C100" s="110" t="s">
        <v>35</v>
      </c>
      <c r="D100" s="111">
        <v>2020</v>
      </c>
      <c r="E100" s="109">
        <v>34.299999999999997</v>
      </c>
      <c r="F100" s="93">
        <v>1.72638</v>
      </c>
      <c r="G100" s="93">
        <v>3300000000</v>
      </c>
      <c r="H100" s="94">
        <v>17487</v>
      </c>
      <c r="I100" s="96">
        <v>0.49</v>
      </c>
      <c r="J100" s="109">
        <v>11.805999999999999</v>
      </c>
      <c r="K100" s="112">
        <v>1.5230999999999999</v>
      </c>
      <c r="L100" s="109">
        <v>436</v>
      </c>
      <c r="M100" s="93">
        <v>18.100000000000001</v>
      </c>
      <c r="N100" s="114">
        <v>84.6</v>
      </c>
      <c r="O100" s="112">
        <v>4.2</v>
      </c>
      <c r="P100" s="115">
        <v>18.8</v>
      </c>
      <c r="Q100" s="116">
        <v>921</v>
      </c>
      <c r="R100" s="102">
        <v>61139</v>
      </c>
      <c r="S100" s="230">
        <v>0.05</v>
      </c>
      <c r="T100" s="115">
        <v>84</v>
      </c>
      <c r="U100" s="109">
        <v>5271.0190000000002</v>
      </c>
      <c r="V100" s="118">
        <v>39.200000000000003</v>
      </c>
      <c r="W100" s="119">
        <v>11.805999999999999</v>
      </c>
      <c r="X100" s="121">
        <v>436</v>
      </c>
      <c r="Y100" s="108">
        <v>18.100000000000001</v>
      </c>
      <c r="Z100" s="119">
        <v>0</v>
      </c>
      <c r="AA100" s="96">
        <v>47.638300000000001</v>
      </c>
      <c r="AB100" s="94">
        <v>82.999200000000002</v>
      </c>
      <c r="AC100" s="94">
        <v>20.100000000000001</v>
      </c>
      <c r="AD100" s="96">
        <v>79.715000000000003</v>
      </c>
    </row>
    <row r="101" spans="1:30">
      <c r="A101" s="109">
        <v>10</v>
      </c>
      <c r="B101" s="110" t="s">
        <v>34</v>
      </c>
      <c r="C101" s="110" t="s">
        <v>4</v>
      </c>
      <c r="D101" s="111">
        <v>2010</v>
      </c>
      <c r="E101" s="109">
        <v>13.5</v>
      </c>
      <c r="F101" s="93">
        <v>2.5636999999999999</v>
      </c>
      <c r="G101" s="93">
        <v>37000000000</v>
      </c>
      <c r="H101" s="94">
        <v>25766.3</v>
      </c>
      <c r="I101" s="96">
        <v>0.84</v>
      </c>
      <c r="J101" s="109">
        <v>13.397</v>
      </c>
      <c r="K101" s="112">
        <v>1.833</v>
      </c>
      <c r="L101" s="109">
        <v>488</v>
      </c>
      <c r="M101" s="93">
        <v>29.200001</v>
      </c>
      <c r="N101" s="114">
        <v>67.400000000000006</v>
      </c>
      <c r="O101" s="112">
        <v>1.4</v>
      </c>
      <c r="P101" s="115">
        <v>4470.3</v>
      </c>
      <c r="Q101" s="116">
        <v>14290</v>
      </c>
      <c r="R101" s="102">
        <v>354615</v>
      </c>
      <c r="S101" s="230">
        <v>0.38</v>
      </c>
      <c r="T101" s="115">
        <v>100</v>
      </c>
      <c r="U101" s="109">
        <v>6200.9184999999998</v>
      </c>
      <c r="V101" s="118">
        <v>32.6</v>
      </c>
      <c r="W101" s="119">
        <v>13.397</v>
      </c>
      <c r="X101" s="121">
        <v>488</v>
      </c>
      <c r="Y101" s="108">
        <v>29.2</v>
      </c>
      <c r="Z101" s="119">
        <v>6200.92</v>
      </c>
      <c r="AA101" s="96">
        <v>40.716999999999999</v>
      </c>
      <c r="AB101" s="94">
        <v>93.151899999999998</v>
      </c>
      <c r="AC101" s="94">
        <v>14.4</v>
      </c>
      <c r="AD101" s="96">
        <v>78.441999999999993</v>
      </c>
    </row>
    <row r="102" spans="1:30">
      <c r="A102" s="109">
        <v>10</v>
      </c>
      <c r="B102" s="110" t="s">
        <v>34</v>
      </c>
      <c r="C102" s="110" t="s">
        <v>4</v>
      </c>
      <c r="D102" s="111">
        <v>2011</v>
      </c>
      <c r="E102" s="109">
        <v>13.5</v>
      </c>
      <c r="F102" s="93">
        <v>1.80375</v>
      </c>
      <c r="G102" s="93">
        <v>27000000000</v>
      </c>
      <c r="H102" s="94">
        <v>25510.6</v>
      </c>
      <c r="I102" s="96">
        <v>0.83</v>
      </c>
      <c r="J102" s="109">
        <v>12.143000000000001</v>
      </c>
      <c r="K102" s="112">
        <v>2.0602999999999998</v>
      </c>
      <c r="L102" s="109">
        <v>498</v>
      </c>
      <c r="M102" s="93">
        <v>26.700001</v>
      </c>
      <c r="N102" s="114">
        <v>80.3</v>
      </c>
      <c r="O102" s="112">
        <v>9.9</v>
      </c>
      <c r="P102" s="115">
        <v>4464.8999999999996</v>
      </c>
      <c r="Q102" s="116">
        <v>14069</v>
      </c>
      <c r="R102" s="102">
        <v>347090</v>
      </c>
      <c r="S102" s="230">
        <v>0.38</v>
      </c>
      <c r="T102" s="115">
        <v>98</v>
      </c>
      <c r="U102" s="109">
        <v>5625.6913999999997</v>
      </c>
      <c r="V102" s="118">
        <v>35.4</v>
      </c>
      <c r="W102" s="119">
        <v>12.143000000000001</v>
      </c>
      <c r="X102" s="121">
        <v>498</v>
      </c>
      <c r="Y102" s="108">
        <v>26.7</v>
      </c>
      <c r="Z102" s="119">
        <v>5625.69</v>
      </c>
      <c r="AA102" s="96">
        <v>45.924399999999999</v>
      </c>
      <c r="AB102" s="94">
        <v>93.507800000000003</v>
      </c>
      <c r="AC102" s="94">
        <v>14.7</v>
      </c>
      <c r="AD102" s="96">
        <v>78.673000000000002</v>
      </c>
    </row>
    <row r="103" spans="1:30">
      <c r="A103" s="109">
        <v>10</v>
      </c>
      <c r="B103" s="110" t="s">
        <v>34</v>
      </c>
      <c r="C103" s="110" t="s">
        <v>4</v>
      </c>
      <c r="D103" s="111">
        <v>2012</v>
      </c>
      <c r="E103" s="109">
        <v>14.5</v>
      </c>
      <c r="F103" s="93">
        <v>1.5663800000000001</v>
      </c>
      <c r="G103" s="93">
        <v>21000000000</v>
      </c>
      <c r="H103" s="94">
        <v>24763.599999999999</v>
      </c>
      <c r="I103" s="96">
        <v>0.83</v>
      </c>
      <c r="J103" s="109">
        <v>9.2240000000000002</v>
      </c>
      <c r="K103" s="112">
        <v>2.5129000000000001</v>
      </c>
      <c r="L103" s="109">
        <v>504</v>
      </c>
      <c r="M103" s="93">
        <v>29.799999</v>
      </c>
      <c r="N103" s="114">
        <v>84.5</v>
      </c>
      <c r="O103" s="112">
        <v>9.8000000000000007</v>
      </c>
      <c r="P103" s="115">
        <v>5813.4</v>
      </c>
      <c r="Q103" s="116">
        <v>13922</v>
      </c>
      <c r="R103" s="102">
        <v>343199</v>
      </c>
      <c r="S103" s="230">
        <v>0.39</v>
      </c>
      <c r="T103" s="115">
        <v>97</v>
      </c>
      <c r="U103" s="109">
        <v>5690.8247000000001</v>
      </c>
      <c r="V103" s="118">
        <v>41.5</v>
      </c>
      <c r="W103" s="119">
        <v>9.2240000000000002</v>
      </c>
      <c r="X103" s="121">
        <v>504</v>
      </c>
      <c r="Y103" s="108">
        <v>29.8</v>
      </c>
      <c r="Z103" s="119">
        <v>5690.82</v>
      </c>
      <c r="AA103" s="96">
        <v>47.527500000000003</v>
      </c>
      <c r="AB103" s="94">
        <v>93.506799999999998</v>
      </c>
      <c r="AC103" s="94">
        <v>15.8</v>
      </c>
      <c r="AD103" s="96">
        <v>78.902000000000001</v>
      </c>
    </row>
    <row r="104" spans="1:30">
      <c r="A104" s="109">
        <v>10</v>
      </c>
      <c r="B104" s="110" t="s">
        <v>34</v>
      </c>
      <c r="C104" s="110" t="s">
        <v>4</v>
      </c>
      <c r="D104" s="111">
        <v>2013</v>
      </c>
      <c r="E104" s="109">
        <v>14.5</v>
      </c>
      <c r="F104" s="93">
        <v>3.4608599999999998</v>
      </c>
      <c r="G104" s="93">
        <v>47000000000</v>
      </c>
      <c r="H104" s="94">
        <v>24490.2</v>
      </c>
      <c r="I104" s="96">
        <v>0.84</v>
      </c>
      <c r="J104" s="109">
        <v>8.3710003000000004</v>
      </c>
      <c r="K104" s="112">
        <v>2.6389</v>
      </c>
      <c r="L104" s="109">
        <v>515</v>
      </c>
      <c r="M104" s="93">
        <v>32.5</v>
      </c>
      <c r="N104" s="114">
        <v>82</v>
      </c>
      <c r="O104" s="112">
        <v>8.9</v>
      </c>
      <c r="P104" s="115">
        <v>6137.4</v>
      </c>
      <c r="Q104" s="116">
        <v>15963</v>
      </c>
      <c r="R104" s="102">
        <v>362476</v>
      </c>
      <c r="S104" s="230">
        <v>0.64</v>
      </c>
      <c r="T104" s="115">
        <v>97</v>
      </c>
      <c r="U104" s="109">
        <v>5911.8633</v>
      </c>
      <c r="V104" s="118">
        <v>41.7</v>
      </c>
      <c r="W104" s="119">
        <v>8.3710000000000004</v>
      </c>
      <c r="X104" s="121">
        <v>515</v>
      </c>
      <c r="Y104" s="108">
        <v>32.5</v>
      </c>
      <c r="Z104" s="119">
        <v>5911.86</v>
      </c>
      <c r="AA104" s="96">
        <v>48.336300000000001</v>
      </c>
      <c r="AB104" s="94">
        <v>93.200900000000004</v>
      </c>
      <c r="AC104" s="94">
        <v>16.899999999999999</v>
      </c>
      <c r="AD104" s="96">
        <v>79.132999999999996</v>
      </c>
    </row>
    <row r="105" spans="1:30">
      <c r="A105" s="109">
        <v>10</v>
      </c>
      <c r="B105" s="110" t="s">
        <v>34</v>
      </c>
      <c r="C105" s="110" t="s">
        <v>4</v>
      </c>
      <c r="D105" s="111">
        <v>2014</v>
      </c>
      <c r="E105" s="109">
        <v>14.7</v>
      </c>
      <c r="F105" s="93">
        <v>2.3164199999999999</v>
      </c>
      <c r="G105" s="93">
        <v>32000000000</v>
      </c>
      <c r="H105" s="94">
        <v>24937</v>
      </c>
      <c r="I105" s="96">
        <v>0.88</v>
      </c>
      <c r="J105" s="109">
        <v>8.6499995999999992</v>
      </c>
      <c r="K105" s="112">
        <v>2.6488999999999998</v>
      </c>
      <c r="L105" s="109">
        <v>524</v>
      </c>
      <c r="M105" s="93">
        <v>30.799999</v>
      </c>
      <c r="N105" s="114">
        <v>76.900000000000006</v>
      </c>
      <c r="O105" s="112">
        <v>7.7</v>
      </c>
      <c r="P105" s="115">
        <v>5949.4</v>
      </c>
      <c r="Q105" s="116">
        <v>16221</v>
      </c>
      <c r="R105" s="102">
        <v>364718</v>
      </c>
      <c r="S105" s="230">
        <v>0.47</v>
      </c>
      <c r="T105" s="115">
        <v>99</v>
      </c>
      <c r="U105" s="109">
        <v>5651.5137000000004</v>
      </c>
      <c r="V105" s="118">
        <v>43.3</v>
      </c>
      <c r="W105" s="119">
        <v>8.65</v>
      </c>
      <c r="X105" s="121">
        <v>524</v>
      </c>
      <c r="Y105" s="108">
        <v>30.8</v>
      </c>
      <c r="Z105" s="119">
        <v>5651.51</v>
      </c>
      <c r="AA105" s="96">
        <v>49.512500000000003</v>
      </c>
      <c r="AB105" s="94">
        <v>92.922700000000006</v>
      </c>
      <c r="AC105" s="94">
        <v>17.3</v>
      </c>
      <c r="AD105" s="96">
        <v>79.366</v>
      </c>
    </row>
    <row r="106" spans="1:30">
      <c r="A106" s="109">
        <v>10</v>
      </c>
      <c r="B106" s="110" t="s">
        <v>34</v>
      </c>
      <c r="C106" s="110" t="s">
        <v>4</v>
      </c>
      <c r="D106" s="111">
        <v>2015</v>
      </c>
      <c r="E106" s="109">
        <v>15.5</v>
      </c>
      <c r="F106" s="93">
        <v>1.97132</v>
      </c>
      <c r="G106" s="93">
        <v>24000000000</v>
      </c>
      <c r="H106" s="94">
        <v>25969.8</v>
      </c>
      <c r="I106" s="96">
        <v>0.88</v>
      </c>
      <c r="J106" s="109">
        <v>9.2690000999999995</v>
      </c>
      <c r="K106" s="112">
        <v>2.6311</v>
      </c>
      <c r="L106" s="109">
        <v>499</v>
      </c>
      <c r="M106" s="93">
        <v>30</v>
      </c>
      <c r="N106" s="114">
        <v>75.7</v>
      </c>
      <c r="O106" s="112">
        <v>7.6</v>
      </c>
      <c r="P106" s="115">
        <v>6533.2</v>
      </c>
      <c r="Q106" s="116">
        <v>16899</v>
      </c>
      <c r="R106" s="102">
        <v>384276</v>
      </c>
      <c r="S106" s="230">
        <v>0.39</v>
      </c>
      <c r="T106" s="115">
        <v>101</v>
      </c>
      <c r="U106" s="109">
        <v>5934.1758</v>
      </c>
      <c r="V106" s="118">
        <v>43.7</v>
      </c>
      <c r="W106" s="119">
        <v>9.2690000000000001</v>
      </c>
      <c r="X106" s="121">
        <v>499</v>
      </c>
      <c r="Y106" s="108">
        <v>30</v>
      </c>
      <c r="Z106" s="119">
        <v>5934.18</v>
      </c>
      <c r="AA106" s="96">
        <v>49.257399999999997</v>
      </c>
      <c r="AB106" s="94">
        <v>92.952699999999993</v>
      </c>
      <c r="AC106" s="94">
        <v>16.3</v>
      </c>
      <c r="AD106" s="96">
        <v>79.602000000000004</v>
      </c>
    </row>
    <row r="107" spans="1:30">
      <c r="A107" s="109">
        <v>10</v>
      </c>
      <c r="B107" s="110" t="s">
        <v>34</v>
      </c>
      <c r="C107" s="110" t="s">
        <v>4</v>
      </c>
      <c r="D107" s="111">
        <v>2016</v>
      </c>
      <c r="E107" s="109">
        <v>14.7</v>
      </c>
      <c r="F107" s="93">
        <v>3.6172200000000001</v>
      </c>
      <c r="G107" s="93">
        <v>45000000000</v>
      </c>
      <c r="H107" s="94">
        <v>26704.3</v>
      </c>
      <c r="I107" s="96">
        <v>0.87</v>
      </c>
      <c r="J107" s="109">
        <v>9.6400003000000005</v>
      </c>
      <c r="K107" s="112">
        <v>2.7776000000000001</v>
      </c>
      <c r="L107" s="109">
        <v>509</v>
      </c>
      <c r="M107" s="93">
        <v>33.900002000000001</v>
      </c>
      <c r="N107" s="114">
        <v>87.8</v>
      </c>
      <c r="O107" s="112">
        <v>8.1999999999999993</v>
      </c>
      <c r="P107" s="115">
        <v>7546.6</v>
      </c>
      <c r="Q107" s="116">
        <v>18056</v>
      </c>
      <c r="R107" s="102">
        <v>405105</v>
      </c>
      <c r="S107" s="230">
        <v>0.59</v>
      </c>
      <c r="T107" s="115">
        <v>105</v>
      </c>
      <c r="U107" s="109">
        <v>5756.7114000000001</v>
      </c>
      <c r="V107" s="118">
        <v>42.9</v>
      </c>
      <c r="W107" s="119">
        <v>9.64</v>
      </c>
      <c r="X107" s="121">
        <v>509</v>
      </c>
      <c r="Y107" s="108">
        <v>33.9</v>
      </c>
      <c r="Z107" s="119">
        <v>5756.71</v>
      </c>
      <c r="AA107" s="96">
        <v>48.342300000000002</v>
      </c>
      <c r="AB107" s="94">
        <v>93.049300000000002</v>
      </c>
      <c r="AC107" s="94">
        <v>16.7</v>
      </c>
      <c r="AD107" s="96">
        <v>79.84</v>
      </c>
    </row>
    <row r="108" spans="1:30">
      <c r="A108" s="109">
        <v>10</v>
      </c>
      <c r="B108" s="110" t="s">
        <v>34</v>
      </c>
      <c r="C108" s="110" t="s">
        <v>4</v>
      </c>
      <c r="D108" s="111">
        <v>2017</v>
      </c>
      <c r="E108" s="109">
        <v>15.2</v>
      </c>
      <c r="F108" s="93">
        <v>2.5403899999999999</v>
      </c>
      <c r="G108" s="93">
        <v>34000000000</v>
      </c>
      <c r="H108" s="94">
        <v>27413.3</v>
      </c>
      <c r="I108" s="96">
        <v>0.9</v>
      </c>
      <c r="J108" s="109">
        <v>9.5539999000000009</v>
      </c>
      <c r="K108" s="112">
        <v>2.8016000000000001</v>
      </c>
      <c r="L108" s="109">
        <v>581</v>
      </c>
      <c r="M108" s="93">
        <v>36.099997999999999</v>
      </c>
      <c r="N108" s="114">
        <v>83.1</v>
      </c>
      <c r="O108" s="112">
        <v>8.8000000000000007</v>
      </c>
      <c r="P108" s="115">
        <v>9056.9</v>
      </c>
      <c r="Q108" s="116">
        <v>19142</v>
      </c>
      <c r="R108" s="102">
        <v>414861</v>
      </c>
      <c r="S108" s="230">
        <v>0.33</v>
      </c>
      <c r="T108" s="115">
        <v>105</v>
      </c>
      <c r="U108" s="109">
        <v>5361.4937</v>
      </c>
      <c r="V108" s="118">
        <v>45.7</v>
      </c>
      <c r="W108" s="119">
        <v>9.5540000000000003</v>
      </c>
      <c r="X108" s="121"/>
      <c r="Y108" s="108">
        <v>36.1</v>
      </c>
      <c r="Z108" s="119">
        <v>5361.49</v>
      </c>
      <c r="AA108" s="96">
        <v>50.804600000000001</v>
      </c>
      <c r="AB108" s="94">
        <v>93.270899999999997</v>
      </c>
      <c r="AC108" s="94">
        <v>15.2</v>
      </c>
      <c r="AD108" s="96">
        <v>80.08</v>
      </c>
    </row>
    <row r="109" spans="1:30">
      <c r="A109" s="109">
        <v>10</v>
      </c>
      <c r="B109" s="110" t="s">
        <v>34</v>
      </c>
      <c r="C109" s="110" t="s">
        <v>4</v>
      </c>
      <c r="D109" s="111">
        <v>2018</v>
      </c>
      <c r="E109" s="109">
        <v>15.6</v>
      </c>
      <c r="F109" s="93">
        <v>4.4674800000000001</v>
      </c>
      <c r="G109" s="93">
        <v>64000000000</v>
      </c>
      <c r="H109" s="94">
        <v>27947.3</v>
      </c>
      <c r="I109" s="96">
        <v>0.85</v>
      </c>
      <c r="J109" s="109">
        <v>10.792999999999999</v>
      </c>
      <c r="K109" s="112">
        <v>2.6257999999999999</v>
      </c>
      <c r="L109" s="109">
        <v>653</v>
      </c>
      <c r="M109" s="93">
        <v>34.799999</v>
      </c>
      <c r="N109" s="114">
        <v>86.2</v>
      </c>
      <c r="O109" s="112">
        <v>8.9</v>
      </c>
      <c r="P109" s="115">
        <v>9202.2000000000007</v>
      </c>
      <c r="Q109" s="116">
        <v>20543</v>
      </c>
      <c r="R109" s="102">
        <v>426566</v>
      </c>
      <c r="S109" s="230">
        <v>0.39</v>
      </c>
      <c r="T109" s="115">
        <v>110</v>
      </c>
      <c r="U109" s="109">
        <v>4566.1918999999998</v>
      </c>
      <c r="V109" s="118">
        <v>42.8</v>
      </c>
      <c r="W109" s="119">
        <v>10.792999999999999</v>
      </c>
      <c r="X109" s="121">
        <v>653</v>
      </c>
      <c r="Y109" s="108">
        <v>34.799999999999997</v>
      </c>
      <c r="Z109" s="119">
        <v>4566.1899999999996</v>
      </c>
      <c r="AA109" s="96">
        <v>51.501399999999997</v>
      </c>
      <c r="AB109" s="94">
        <v>93.669799999999995</v>
      </c>
      <c r="AC109" s="94">
        <v>16.899999999999999</v>
      </c>
      <c r="AD109" s="96">
        <v>80.320999999999998</v>
      </c>
    </row>
    <row r="110" spans="1:30">
      <c r="A110" s="109">
        <v>10</v>
      </c>
      <c r="B110" s="110" t="s">
        <v>34</v>
      </c>
      <c r="C110" s="110" t="s">
        <v>4</v>
      </c>
      <c r="D110" s="111">
        <v>2019</v>
      </c>
      <c r="E110" s="109">
        <v>16.100000000000001</v>
      </c>
      <c r="F110" s="93">
        <v>2.16052</v>
      </c>
      <c r="G110" s="93">
        <v>30000000000</v>
      </c>
      <c r="H110" s="94">
        <v>28291.599999999999</v>
      </c>
      <c r="I110" s="96">
        <v>0.81</v>
      </c>
      <c r="J110" s="109">
        <v>9.7670002</v>
      </c>
      <c r="K110" s="112">
        <v>2.7341000000000002</v>
      </c>
      <c r="L110" s="109">
        <v>652</v>
      </c>
      <c r="M110" s="93">
        <v>38</v>
      </c>
      <c r="N110" s="114">
        <v>79.7</v>
      </c>
      <c r="O110" s="112">
        <v>9</v>
      </c>
      <c r="P110" s="115">
        <v>5644.1</v>
      </c>
      <c r="Q110" s="116">
        <v>22452</v>
      </c>
      <c r="R110" s="102">
        <v>455530</v>
      </c>
      <c r="S110" s="230">
        <v>0.38</v>
      </c>
      <c r="T110" s="115">
        <v>110</v>
      </c>
      <c r="U110" s="109">
        <v>3770.8901000000001</v>
      </c>
      <c r="V110" s="118">
        <v>41.8</v>
      </c>
      <c r="W110" s="119">
        <v>9.7669999999999995</v>
      </c>
      <c r="X110" s="121">
        <v>652</v>
      </c>
      <c r="Y110" s="108">
        <v>38</v>
      </c>
      <c r="Z110" s="119">
        <v>0</v>
      </c>
      <c r="AA110" s="96">
        <v>50.357700000000001</v>
      </c>
      <c r="AB110" s="94">
        <v>94.350800000000007</v>
      </c>
      <c r="AC110" s="94">
        <v>16.7</v>
      </c>
      <c r="AD110" s="96">
        <v>80.564999999999998</v>
      </c>
    </row>
    <row r="111" spans="1:30">
      <c r="A111" s="109">
        <v>10</v>
      </c>
      <c r="B111" s="110" t="s">
        <v>34</v>
      </c>
      <c r="C111" s="110" t="s">
        <v>4</v>
      </c>
      <c r="D111" s="111">
        <v>2020</v>
      </c>
      <c r="E111" s="109">
        <v>16.7</v>
      </c>
      <c r="F111" s="93">
        <v>2.9216600000000001</v>
      </c>
      <c r="G111" s="93">
        <v>38000000000</v>
      </c>
      <c r="H111" s="94">
        <v>25073.7</v>
      </c>
      <c r="I111" s="96">
        <v>0.83</v>
      </c>
      <c r="J111" s="109">
        <v>9.6309996000000009</v>
      </c>
      <c r="K111" s="112">
        <v>2.4935999999999998</v>
      </c>
      <c r="L111" s="109">
        <v>637</v>
      </c>
      <c r="M111" s="93">
        <v>38.900002000000001</v>
      </c>
      <c r="N111" s="114">
        <v>85.8</v>
      </c>
      <c r="O111" s="112">
        <v>9.3000000000000007</v>
      </c>
      <c r="P111" s="115">
        <v>4127.8</v>
      </c>
      <c r="Q111" s="116">
        <v>22057</v>
      </c>
      <c r="R111" s="102">
        <v>448860</v>
      </c>
      <c r="S111" s="230">
        <v>0.45</v>
      </c>
      <c r="T111" s="115">
        <v>104</v>
      </c>
      <c r="U111" s="109">
        <v>2975.5884000000001</v>
      </c>
      <c r="V111" s="118">
        <v>37.9</v>
      </c>
      <c r="W111" s="119">
        <v>9.6310000000000002</v>
      </c>
      <c r="X111" s="121">
        <v>637</v>
      </c>
      <c r="Y111" s="108">
        <v>38.9</v>
      </c>
      <c r="Z111" s="119">
        <v>0</v>
      </c>
      <c r="AA111" s="96">
        <v>49.195</v>
      </c>
      <c r="AB111" s="94">
        <v>94.815399999999997</v>
      </c>
      <c r="AC111" s="94">
        <v>19.3</v>
      </c>
      <c r="AD111" s="96">
        <v>80.81</v>
      </c>
    </row>
    <row r="112" spans="1:30">
      <c r="A112" s="109">
        <v>11</v>
      </c>
      <c r="B112" s="110" t="s">
        <v>33</v>
      </c>
      <c r="C112" s="110" t="s">
        <v>32</v>
      </c>
      <c r="D112" s="111">
        <v>2010</v>
      </c>
      <c r="E112" s="109">
        <v>27.5</v>
      </c>
      <c r="F112" s="93">
        <v>4.8996000000000004</v>
      </c>
      <c r="G112" s="93">
        <v>12000000000</v>
      </c>
      <c r="H112" s="94">
        <v>43556.5</v>
      </c>
      <c r="I112" s="96">
        <v>0.64</v>
      </c>
      <c r="J112" s="109">
        <v>47.610999999999997</v>
      </c>
      <c r="K112" s="112">
        <v>0.87970000000000004</v>
      </c>
      <c r="L112" s="109">
        <v>455</v>
      </c>
      <c r="M112" s="93">
        <v>32.799999</v>
      </c>
      <c r="N112" s="114">
        <v>88.5</v>
      </c>
      <c r="O112" s="112">
        <v>1.7</v>
      </c>
      <c r="P112" s="115">
        <v>250.2</v>
      </c>
      <c r="Q112" s="116">
        <v>3215</v>
      </c>
      <c r="R112" s="102">
        <v>43125</v>
      </c>
      <c r="S112" s="230">
        <v>2.81</v>
      </c>
      <c r="T112" s="115">
        <v>100</v>
      </c>
      <c r="U112" s="109">
        <v>10847.838</v>
      </c>
      <c r="V112" s="118">
        <v>22.1</v>
      </c>
      <c r="W112" s="119">
        <v>47.610999999999997</v>
      </c>
      <c r="X112" s="121">
        <v>455</v>
      </c>
      <c r="Y112" s="108">
        <v>32.799999999999997</v>
      </c>
      <c r="Z112" s="119">
        <v>10847.8</v>
      </c>
      <c r="AA112" s="96">
        <v>55.454900000000002</v>
      </c>
      <c r="AB112" s="94">
        <v>17.648399999999999</v>
      </c>
      <c r="AC112" s="94">
        <v>33.4</v>
      </c>
      <c r="AD112" s="96">
        <v>83.77</v>
      </c>
    </row>
    <row r="113" spans="1:30">
      <c r="A113" s="109">
        <v>11</v>
      </c>
      <c r="B113" s="110" t="s">
        <v>33</v>
      </c>
      <c r="C113" s="110" t="s">
        <v>32</v>
      </c>
      <c r="D113" s="111">
        <v>2011</v>
      </c>
      <c r="E113" s="109">
        <v>28</v>
      </c>
      <c r="F113" s="93">
        <v>-2.1840600000000001</v>
      </c>
      <c r="G113" s="93">
        <v>-6000000000</v>
      </c>
      <c r="H113" s="94">
        <v>44391.5</v>
      </c>
      <c r="I113" s="96">
        <v>0.62</v>
      </c>
      <c r="J113" s="109">
        <v>50.433998000000003</v>
      </c>
      <c r="K113" s="112">
        <v>0.92020000000000002</v>
      </c>
      <c r="L113" s="109">
        <v>448</v>
      </c>
      <c r="M113" s="93">
        <v>34.799999</v>
      </c>
      <c r="N113" s="114">
        <v>89.1</v>
      </c>
      <c r="O113" s="112">
        <v>11.4</v>
      </c>
      <c r="P113" s="115">
        <v>106.8</v>
      </c>
      <c r="Q113" s="116">
        <v>3203</v>
      </c>
      <c r="R113" s="102">
        <v>43389</v>
      </c>
      <c r="S113" s="230">
        <v>1.45</v>
      </c>
      <c r="T113" s="115">
        <v>100</v>
      </c>
      <c r="U113" s="109">
        <v>10946.99</v>
      </c>
      <c r="V113" s="118">
        <v>22.7</v>
      </c>
      <c r="W113" s="119">
        <v>50.433999999999997</v>
      </c>
      <c r="X113" s="121">
        <v>448</v>
      </c>
      <c r="Y113" s="108">
        <v>34.799999999999997</v>
      </c>
      <c r="Z113" s="119">
        <v>10947</v>
      </c>
      <c r="AA113" s="96">
        <v>59.393000000000001</v>
      </c>
      <c r="AB113" s="94">
        <v>17.731000000000002</v>
      </c>
      <c r="AC113" s="94">
        <v>35.1</v>
      </c>
      <c r="AD113" s="96">
        <v>84.313000000000002</v>
      </c>
    </row>
    <row r="114" spans="1:30">
      <c r="A114" s="109">
        <v>11</v>
      </c>
      <c r="B114" s="110" t="s">
        <v>33</v>
      </c>
      <c r="C114" s="110" t="s">
        <v>32</v>
      </c>
      <c r="D114" s="111">
        <v>2012</v>
      </c>
      <c r="E114" s="109">
        <v>27</v>
      </c>
      <c r="F114" s="93">
        <v>1.9151199999999999</v>
      </c>
      <c r="G114" s="93">
        <v>4900000000</v>
      </c>
      <c r="H114" s="94">
        <v>43507.9</v>
      </c>
      <c r="I114" s="96">
        <v>0.66</v>
      </c>
      <c r="J114" s="109">
        <v>49.250999</v>
      </c>
      <c r="K114" s="112">
        <v>0.91439999999999999</v>
      </c>
      <c r="L114" s="109">
        <v>456</v>
      </c>
      <c r="M114" s="93">
        <v>33.299999</v>
      </c>
      <c r="N114" s="114">
        <v>89.4</v>
      </c>
      <c r="O114" s="112">
        <v>12.2</v>
      </c>
      <c r="P114" s="115">
        <v>133.19999999999999</v>
      </c>
      <c r="Q114" s="116">
        <v>3280</v>
      </c>
      <c r="R114" s="102">
        <v>43654</v>
      </c>
      <c r="S114" s="230">
        <v>2.17</v>
      </c>
      <c r="T114" s="115">
        <v>104</v>
      </c>
      <c r="U114" s="109">
        <v>10107.544</v>
      </c>
      <c r="V114" s="118">
        <v>20.7</v>
      </c>
      <c r="W114" s="119">
        <v>49.250999999999998</v>
      </c>
      <c r="X114" s="121">
        <v>456</v>
      </c>
      <c r="Y114" s="108">
        <v>33.299999999999997</v>
      </c>
      <c r="Z114" s="119">
        <v>10107.5</v>
      </c>
      <c r="AA114" s="96">
        <v>58.088500000000003</v>
      </c>
      <c r="AB114" s="94">
        <v>17.8156</v>
      </c>
      <c r="AC114" s="94">
        <v>38.700000000000003</v>
      </c>
      <c r="AD114" s="96">
        <v>84.840999999999994</v>
      </c>
    </row>
    <row r="115" spans="1:30">
      <c r="A115" s="109">
        <v>11</v>
      </c>
      <c r="B115" s="110" t="s">
        <v>33</v>
      </c>
      <c r="C115" s="110" t="s">
        <v>32</v>
      </c>
      <c r="D115" s="111">
        <v>2013</v>
      </c>
      <c r="E115" s="109">
        <v>26.5</v>
      </c>
      <c r="F115" s="93">
        <v>-1.8348899999999999</v>
      </c>
      <c r="G115" s="93">
        <v>-5000000000</v>
      </c>
      <c r="H115" s="94">
        <v>42883.6</v>
      </c>
      <c r="I115" s="96">
        <v>0.67</v>
      </c>
      <c r="J115" s="109">
        <v>54.707000999999998</v>
      </c>
      <c r="K115" s="112">
        <v>0.79820000000000002</v>
      </c>
      <c r="L115" s="109">
        <v>464</v>
      </c>
      <c r="M115" s="93">
        <v>32.5</v>
      </c>
      <c r="N115" s="114">
        <v>87.9</v>
      </c>
      <c r="O115" s="112">
        <v>7.9</v>
      </c>
      <c r="P115" s="115">
        <v>107.8</v>
      </c>
      <c r="Q115" s="116">
        <v>3085</v>
      </c>
      <c r="R115" s="102">
        <v>43299</v>
      </c>
      <c r="S115" s="230">
        <v>2.75</v>
      </c>
      <c r="T115" s="115">
        <v>105</v>
      </c>
      <c r="U115" s="109">
        <v>9492.3857000000007</v>
      </c>
      <c r="V115" s="118">
        <v>19.3</v>
      </c>
      <c r="W115" s="119">
        <v>54.707000000000001</v>
      </c>
      <c r="X115" s="121">
        <v>464</v>
      </c>
      <c r="Y115" s="108">
        <v>32.5</v>
      </c>
      <c r="Z115" s="119">
        <v>9492.39</v>
      </c>
      <c r="AA115" s="96">
        <v>56.243099999999998</v>
      </c>
      <c r="AB115" s="94">
        <v>17.8978</v>
      </c>
      <c r="AC115" s="94">
        <v>38.5</v>
      </c>
      <c r="AD115" s="96">
        <v>85.125</v>
      </c>
    </row>
    <row r="116" spans="1:30">
      <c r="A116" s="109">
        <v>11</v>
      </c>
      <c r="B116" s="110" t="s">
        <v>33</v>
      </c>
      <c r="C116" s="110" t="s">
        <v>32</v>
      </c>
      <c r="D116" s="111">
        <v>2014</v>
      </c>
      <c r="E116" s="109">
        <v>25.5</v>
      </c>
      <c r="F116" s="93">
        <v>6.4153700000000002</v>
      </c>
      <c r="G116" s="93">
        <v>18000000000</v>
      </c>
      <c r="H116" s="94">
        <v>42502.5</v>
      </c>
      <c r="I116" s="96">
        <v>0.64</v>
      </c>
      <c r="J116" s="109">
        <v>48.973998999999999</v>
      </c>
      <c r="K116" s="112">
        <v>0.91269999999999996</v>
      </c>
      <c r="L116" s="109">
        <v>473</v>
      </c>
      <c r="M116" s="93">
        <v>32.5</v>
      </c>
      <c r="N116" s="114">
        <v>87.8</v>
      </c>
      <c r="O116" s="112">
        <v>5.5</v>
      </c>
      <c r="P116" s="115">
        <v>221.5</v>
      </c>
      <c r="Q116" s="116">
        <v>3041</v>
      </c>
      <c r="R116" s="102">
        <v>42277</v>
      </c>
      <c r="S116" s="230">
        <v>2.81</v>
      </c>
      <c r="T116" s="115">
        <v>105</v>
      </c>
      <c r="U116" s="109">
        <v>10024.521000000001</v>
      </c>
      <c r="V116" s="118">
        <v>21.3</v>
      </c>
      <c r="W116" s="119">
        <v>48.973999999999997</v>
      </c>
      <c r="X116" s="121">
        <v>473</v>
      </c>
      <c r="Y116" s="108">
        <v>32.5</v>
      </c>
      <c r="Z116" s="119">
        <v>10024.5</v>
      </c>
      <c r="AA116" s="96">
        <v>55.250399999999999</v>
      </c>
      <c r="AB116" s="94">
        <v>17.972000000000001</v>
      </c>
      <c r="AC116" s="94">
        <v>41.2</v>
      </c>
      <c r="AD116" s="96">
        <v>85.174999999999997</v>
      </c>
    </row>
    <row r="117" spans="1:30">
      <c r="A117" s="109">
        <v>11</v>
      </c>
      <c r="B117" s="110" t="s">
        <v>33</v>
      </c>
      <c r="C117" s="110" t="s">
        <v>32</v>
      </c>
      <c r="D117" s="111">
        <v>2015</v>
      </c>
      <c r="E117" s="109">
        <v>26.1</v>
      </c>
      <c r="F117" s="93">
        <v>7.5380099999999999</v>
      </c>
      <c r="G117" s="93">
        <v>18000000000</v>
      </c>
      <c r="H117" s="94">
        <v>42560.3</v>
      </c>
      <c r="I117" s="96">
        <v>0.66</v>
      </c>
      <c r="J117" s="109">
        <v>44.334000000000003</v>
      </c>
      <c r="K117" s="112">
        <v>0.94159999999999999</v>
      </c>
      <c r="L117" s="109">
        <v>475</v>
      </c>
      <c r="M117" s="93">
        <v>40.599997999999999</v>
      </c>
      <c r="N117" s="114">
        <v>92.5</v>
      </c>
      <c r="O117" s="112">
        <v>4.9000000000000004</v>
      </c>
      <c r="P117" s="115">
        <v>401.8</v>
      </c>
      <c r="Q117" s="116">
        <v>3161</v>
      </c>
      <c r="R117" s="102">
        <v>41962</v>
      </c>
      <c r="S117" s="230">
        <v>3.37</v>
      </c>
      <c r="T117" s="115">
        <v>103</v>
      </c>
      <c r="U117" s="109">
        <v>9470.6416000000008</v>
      </c>
      <c r="V117" s="118">
        <v>20.6</v>
      </c>
      <c r="W117" s="119">
        <v>44.334000000000003</v>
      </c>
      <c r="X117" s="121">
        <v>475</v>
      </c>
      <c r="Y117" s="108">
        <v>40.6</v>
      </c>
      <c r="Z117" s="119">
        <v>9470.64</v>
      </c>
      <c r="AA117" s="96">
        <v>51.561500000000002</v>
      </c>
      <c r="AB117" s="94">
        <v>18.030100000000001</v>
      </c>
      <c r="AC117" s="94">
        <v>43.2</v>
      </c>
      <c r="AD117" s="96">
        <v>85.224999999999994</v>
      </c>
    </row>
    <row r="118" spans="1:30">
      <c r="A118" s="109">
        <v>11</v>
      </c>
      <c r="B118" s="110" t="s">
        <v>33</v>
      </c>
      <c r="C118" s="110" t="s">
        <v>32</v>
      </c>
      <c r="D118" s="111">
        <v>2016</v>
      </c>
      <c r="E118" s="109">
        <v>25.3</v>
      </c>
      <c r="F118" s="93">
        <v>2.1895199999999999</v>
      </c>
      <c r="G118" s="93">
        <v>5200000000</v>
      </c>
      <c r="H118" s="94">
        <v>43529.7</v>
      </c>
      <c r="I118" s="96">
        <v>0.65</v>
      </c>
      <c r="J118" s="109">
        <v>47.283000999999999</v>
      </c>
      <c r="K118" s="112">
        <v>0.89670000000000005</v>
      </c>
      <c r="L118" s="109">
        <v>472</v>
      </c>
      <c r="M118" s="93">
        <v>42.099997999999999</v>
      </c>
      <c r="N118" s="114">
        <v>88.9</v>
      </c>
      <c r="O118" s="112">
        <v>3.8</v>
      </c>
      <c r="P118" s="115">
        <v>330.2</v>
      </c>
      <c r="Q118" s="116">
        <v>3147</v>
      </c>
      <c r="R118" s="102">
        <v>41816</v>
      </c>
      <c r="S118" s="230">
        <v>3.45</v>
      </c>
      <c r="T118" s="115">
        <v>103</v>
      </c>
      <c r="U118" s="109">
        <v>9681.5419999999995</v>
      </c>
      <c r="V118" s="118">
        <v>20.2</v>
      </c>
      <c r="W118" s="119">
        <v>47.283000000000001</v>
      </c>
      <c r="X118" s="121">
        <v>472</v>
      </c>
      <c r="Y118" s="108">
        <v>42.1</v>
      </c>
      <c r="Z118" s="119">
        <v>9681.5400000000009</v>
      </c>
      <c r="AA118" s="96">
        <v>49.731999999999999</v>
      </c>
      <c r="AB118" s="94">
        <v>18.082000000000001</v>
      </c>
      <c r="AC118" s="94">
        <v>42.4</v>
      </c>
      <c r="AD118" s="96">
        <v>85.275000000000006</v>
      </c>
    </row>
    <row r="119" spans="1:30">
      <c r="A119" s="109">
        <v>11</v>
      </c>
      <c r="B119" s="110" t="s">
        <v>33</v>
      </c>
      <c r="C119" s="110" t="s">
        <v>32</v>
      </c>
      <c r="D119" s="111">
        <v>2017</v>
      </c>
      <c r="E119" s="109">
        <v>26</v>
      </c>
      <c r="F119" s="93">
        <v>6.6613699999999998</v>
      </c>
      <c r="G119" s="93">
        <v>17000000000</v>
      </c>
      <c r="H119" s="94">
        <v>44862.2</v>
      </c>
      <c r="I119" s="96">
        <v>0.65</v>
      </c>
      <c r="J119" s="109">
        <v>45.014000000000003</v>
      </c>
      <c r="K119" s="112">
        <v>0.95760000000000001</v>
      </c>
      <c r="L119" s="109">
        <v>449</v>
      </c>
      <c r="M119" s="93">
        <v>40.5</v>
      </c>
      <c r="N119" s="114">
        <v>90</v>
      </c>
      <c r="O119" s="112">
        <v>4.4000000000000004</v>
      </c>
      <c r="P119" s="115">
        <v>255.8</v>
      </c>
      <c r="Q119" s="116">
        <v>3427</v>
      </c>
      <c r="R119" s="102">
        <v>51148</v>
      </c>
      <c r="S119" s="230">
        <v>3.41</v>
      </c>
      <c r="T119" s="115">
        <v>101</v>
      </c>
      <c r="U119" s="109">
        <v>9177.7587999999996</v>
      </c>
      <c r="V119" s="118">
        <v>20.7</v>
      </c>
      <c r="W119" s="119">
        <v>45.014000000000003</v>
      </c>
      <c r="X119" s="121">
        <v>449</v>
      </c>
      <c r="Y119" s="108">
        <v>40.5</v>
      </c>
      <c r="Z119" s="119">
        <v>9177.76</v>
      </c>
      <c r="AA119" s="96">
        <v>54.623199999999997</v>
      </c>
      <c r="AB119" s="94">
        <v>18.123899999999999</v>
      </c>
      <c r="AC119" s="94">
        <v>44.4</v>
      </c>
      <c r="AD119" s="96">
        <v>85.325000000000003</v>
      </c>
    </row>
    <row r="120" spans="1:30">
      <c r="A120" s="109">
        <v>11</v>
      </c>
      <c r="B120" s="110" t="s">
        <v>33</v>
      </c>
      <c r="C120" s="110" t="s">
        <v>32</v>
      </c>
      <c r="D120" s="111">
        <v>2018</v>
      </c>
      <c r="E120" s="109">
        <v>26.1</v>
      </c>
      <c r="F120" s="93">
        <v>-3.84457</v>
      </c>
      <c r="G120" s="93">
        <v>-11000000000</v>
      </c>
      <c r="H120" s="94">
        <v>45337.2</v>
      </c>
      <c r="I120" s="96">
        <v>0.63</v>
      </c>
      <c r="J120" s="109">
        <v>49.93</v>
      </c>
      <c r="K120" s="112">
        <v>0.87250000000000005</v>
      </c>
      <c r="L120" s="109">
        <v>467</v>
      </c>
      <c r="M120" s="93">
        <v>42.299999</v>
      </c>
      <c r="N120" s="114">
        <v>89.7</v>
      </c>
      <c r="O120" s="112">
        <v>4.4000000000000004</v>
      </c>
      <c r="P120" s="115">
        <v>418.5</v>
      </c>
      <c r="Q120" s="116">
        <v>4114</v>
      </c>
      <c r="R120" s="102">
        <v>60513</v>
      </c>
      <c r="S120" s="230">
        <v>3.38</v>
      </c>
      <c r="T120" s="115">
        <v>103</v>
      </c>
      <c r="U120" s="109">
        <v>7878.7007000000003</v>
      </c>
      <c r="V120" s="118">
        <v>19.8</v>
      </c>
      <c r="W120" s="119">
        <v>49.93</v>
      </c>
      <c r="X120" s="121">
        <v>467</v>
      </c>
      <c r="Y120" s="108">
        <v>42.3</v>
      </c>
      <c r="Z120" s="119">
        <v>7878.7</v>
      </c>
      <c r="AA120" s="96">
        <v>56.411200000000001</v>
      </c>
      <c r="AB120" s="94">
        <v>18.1479</v>
      </c>
      <c r="AC120" s="94">
        <v>44.2</v>
      </c>
      <c r="AD120" s="96">
        <v>85.382000000000005</v>
      </c>
    </row>
    <row r="121" spans="1:30">
      <c r="A121" s="109">
        <v>11</v>
      </c>
      <c r="B121" s="110" t="s">
        <v>33</v>
      </c>
      <c r="C121" s="110" t="s">
        <v>32</v>
      </c>
      <c r="D121" s="111">
        <v>2019</v>
      </c>
      <c r="E121" s="109">
        <v>26.7</v>
      </c>
      <c r="F121" s="93">
        <v>6.0970800000000001</v>
      </c>
      <c r="G121" s="93">
        <v>16000000000</v>
      </c>
      <c r="H121" s="94">
        <v>45898.6</v>
      </c>
      <c r="I121" s="96">
        <v>0.64</v>
      </c>
      <c r="J121" s="109">
        <v>47.685001</v>
      </c>
      <c r="K121" s="112">
        <v>0.92779999999999996</v>
      </c>
      <c r="L121" s="109">
        <v>466</v>
      </c>
      <c r="M121" s="93">
        <v>43.5</v>
      </c>
      <c r="N121" s="114">
        <v>87.8</v>
      </c>
      <c r="O121" s="112">
        <v>4.5</v>
      </c>
      <c r="P121" s="115">
        <v>1010.4</v>
      </c>
      <c r="Q121" s="116">
        <v>3850</v>
      </c>
      <c r="R121" s="102">
        <v>47235</v>
      </c>
      <c r="S121" s="230">
        <v>2.97</v>
      </c>
      <c r="T121" s="115">
        <v>101</v>
      </c>
      <c r="U121" s="109">
        <v>6579.6426000000001</v>
      </c>
      <c r="V121" s="118">
        <v>19.5</v>
      </c>
      <c r="W121" s="119">
        <v>47.685000000000002</v>
      </c>
      <c r="X121" s="121">
        <v>466</v>
      </c>
      <c r="Y121" s="108">
        <v>43.5</v>
      </c>
      <c r="Z121" s="119">
        <v>0</v>
      </c>
      <c r="AA121" s="96">
        <v>55.122</v>
      </c>
      <c r="AB121" s="94">
        <v>18.167400000000001</v>
      </c>
      <c r="AC121" s="94">
        <v>45.4</v>
      </c>
      <c r="AD121" s="96">
        <v>85.445999999999998</v>
      </c>
    </row>
    <row r="122" spans="1:30">
      <c r="A122" s="109">
        <v>11</v>
      </c>
      <c r="B122" s="110" t="s">
        <v>33</v>
      </c>
      <c r="C122" s="110" t="s">
        <v>32</v>
      </c>
      <c r="D122" s="111">
        <v>2020</v>
      </c>
      <c r="E122" s="109">
        <v>27.2</v>
      </c>
      <c r="F122" s="93">
        <v>-0.939114</v>
      </c>
      <c r="G122" s="93">
        <v>-2500000000</v>
      </c>
      <c r="H122" s="94">
        <v>44691</v>
      </c>
      <c r="I122" s="96">
        <v>0.65</v>
      </c>
      <c r="J122" s="109">
        <v>48.800998999999997</v>
      </c>
      <c r="K122" s="112">
        <v>0.90129999999999999</v>
      </c>
      <c r="L122" s="109">
        <v>502</v>
      </c>
      <c r="M122" s="93">
        <v>42.099997999999999</v>
      </c>
      <c r="N122" s="114">
        <v>90.8</v>
      </c>
      <c r="O122" s="112">
        <v>4.4000000000000004</v>
      </c>
      <c r="P122" s="115">
        <v>521.5</v>
      </c>
      <c r="Q122" s="116">
        <v>3539</v>
      </c>
      <c r="R122" s="102">
        <v>41951</v>
      </c>
      <c r="S122" s="230">
        <v>2.71</v>
      </c>
      <c r="T122" s="115">
        <v>99</v>
      </c>
      <c r="U122" s="109">
        <v>5280.5844999999999</v>
      </c>
      <c r="V122" s="118">
        <v>18.8</v>
      </c>
      <c r="W122" s="119">
        <v>48.801000000000002</v>
      </c>
      <c r="X122" s="121">
        <v>502</v>
      </c>
      <c r="Y122" s="108">
        <v>42.1</v>
      </c>
      <c r="Z122" s="119">
        <v>0</v>
      </c>
      <c r="AA122" s="96">
        <v>49.810299999999998</v>
      </c>
      <c r="AB122" s="94">
        <v>18.192900000000002</v>
      </c>
      <c r="AC122" s="94">
        <v>47.3</v>
      </c>
      <c r="AD122" s="96">
        <v>85.516999999999996</v>
      </c>
    </row>
    <row r="123" spans="1:30">
      <c r="A123" s="109">
        <v>12</v>
      </c>
      <c r="B123" s="110" t="s">
        <v>31</v>
      </c>
      <c r="C123" s="110" t="s">
        <v>30</v>
      </c>
      <c r="D123" s="111">
        <v>2010</v>
      </c>
      <c r="E123" s="109">
        <v>17.5</v>
      </c>
      <c r="F123" s="93">
        <v>1.4696199999999999</v>
      </c>
      <c r="G123" s="93">
        <v>39000000000</v>
      </c>
      <c r="H123" s="94">
        <v>35578.199999999997</v>
      </c>
      <c r="I123" s="96">
        <v>0.8</v>
      </c>
      <c r="J123" s="109">
        <v>14.840999999999999</v>
      </c>
      <c r="K123" s="112">
        <v>2.6598999999999999</v>
      </c>
      <c r="L123" s="109">
        <v>505</v>
      </c>
      <c r="M123" s="93">
        <v>36</v>
      </c>
      <c r="N123" s="114">
        <v>77.400000000000006</v>
      </c>
      <c r="O123" s="112">
        <v>17.5</v>
      </c>
      <c r="P123" s="115">
        <v>9241.1</v>
      </c>
      <c r="Q123" s="116">
        <v>36527</v>
      </c>
      <c r="R123" s="102">
        <v>472910</v>
      </c>
      <c r="S123" s="230">
        <v>0.73</v>
      </c>
      <c r="T123" s="115">
        <v>100</v>
      </c>
      <c r="U123" s="109">
        <v>5882.3456999999999</v>
      </c>
      <c r="V123" s="118">
        <v>34.6</v>
      </c>
      <c r="W123" s="119">
        <v>14.840999999999999</v>
      </c>
      <c r="X123" s="121">
        <v>505</v>
      </c>
      <c r="Y123" s="108">
        <v>36</v>
      </c>
      <c r="Z123" s="119">
        <v>5882.35</v>
      </c>
      <c r="AA123" s="96">
        <v>42.884999999999998</v>
      </c>
      <c r="AB123" s="94">
        <v>118.75700000000001</v>
      </c>
      <c r="AC123" s="94">
        <v>11.9</v>
      </c>
      <c r="AD123" s="96">
        <v>78.369</v>
      </c>
    </row>
    <row r="124" spans="1:30">
      <c r="A124" s="109">
        <v>12</v>
      </c>
      <c r="B124" s="110" t="s">
        <v>31</v>
      </c>
      <c r="C124" s="110" t="s">
        <v>30</v>
      </c>
      <c r="D124" s="111">
        <v>2011</v>
      </c>
      <c r="E124" s="109">
        <v>17.5</v>
      </c>
      <c r="F124" s="93">
        <v>1.5400499999999999</v>
      </c>
      <c r="G124" s="93">
        <v>44000000000</v>
      </c>
      <c r="H124" s="94">
        <v>36270</v>
      </c>
      <c r="I124" s="96">
        <v>0.81</v>
      </c>
      <c r="J124" s="109">
        <v>15.612</v>
      </c>
      <c r="K124" s="112">
        <v>2.6530999999999998</v>
      </c>
      <c r="L124" s="109">
        <v>506</v>
      </c>
      <c r="M124" s="93">
        <v>36.799999</v>
      </c>
      <c r="N124" s="114">
        <v>77.900000000000006</v>
      </c>
      <c r="O124" s="112">
        <v>16.899999999999999</v>
      </c>
      <c r="P124" s="115">
        <v>8699.4</v>
      </c>
      <c r="Q124" s="116">
        <v>37212</v>
      </c>
      <c r="R124" s="102">
        <v>465081</v>
      </c>
      <c r="S124" s="230">
        <v>0.57999999999999996</v>
      </c>
      <c r="T124" s="115">
        <v>98</v>
      </c>
      <c r="U124" s="109">
        <v>5781.2529000000004</v>
      </c>
      <c r="V124" s="118">
        <v>37.299999999999997</v>
      </c>
      <c r="W124" s="119">
        <v>15.612</v>
      </c>
      <c r="X124" s="121">
        <v>506</v>
      </c>
      <c r="Y124" s="108">
        <v>36.799999999999997</v>
      </c>
      <c r="Z124" s="119">
        <v>5781.25</v>
      </c>
      <c r="AA124" s="96">
        <v>45.864600000000003</v>
      </c>
      <c r="AB124" s="94">
        <v>119.33199999999999</v>
      </c>
      <c r="AC124" s="94">
        <v>10.6</v>
      </c>
      <c r="AD124" s="96">
        <v>78.622</v>
      </c>
    </row>
    <row r="125" spans="1:30">
      <c r="A125" s="109">
        <v>12</v>
      </c>
      <c r="B125" s="110" t="s">
        <v>31</v>
      </c>
      <c r="C125" s="110" t="s">
        <v>30</v>
      </c>
      <c r="D125" s="111">
        <v>2012</v>
      </c>
      <c r="E125" s="109">
        <v>18.5</v>
      </c>
      <c r="F125" s="93">
        <v>1.2279</v>
      </c>
      <c r="G125" s="93">
        <v>33000000000</v>
      </c>
      <c r="H125" s="94">
        <v>36161.300000000003</v>
      </c>
      <c r="I125" s="96">
        <v>0.77</v>
      </c>
      <c r="J125" s="109">
        <v>14.821999999999999</v>
      </c>
      <c r="K125" s="112">
        <v>2.7191000000000001</v>
      </c>
      <c r="L125" s="109">
        <v>493</v>
      </c>
      <c r="M125" s="93">
        <v>37.700001</v>
      </c>
      <c r="N125" s="114">
        <v>76.7</v>
      </c>
      <c r="O125" s="112">
        <v>16.8</v>
      </c>
      <c r="P125" s="115">
        <v>8494.2999999999993</v>
      </c>
      <c r="Q125" s="116">
        <v>37549</v>
      </c>
      <c r="R125" s="102">
        <v>487496</v>
      </c>
      <c r="S125" s="230">
        <v>0.8</v>
      </c>
      <c r="T125" s="115">
        <v>100</v>
      </c>
      <c r="U125" s="109">
        <v>5403.9058000000005</v>
      </c>
      <c r="V125" s="118">
        <v>37.5</v>
      </c>
      <c r="W125" s="119">
        <v>14.821999999999999</v>
      </c>
      <c r="X125" s="121">
        <v>493</v>
      </c>
      <c r="Y125" s="108">
        <v>37.700000000000003</v>
      </c>
      <c r="Z125" s="119">
        <v>5403.91</v>
      </c>
      <c r="AA125" s="96">
        <v>46.333199999999998</v>
      </c>
      <c r="AB125" s="94">
        <v>119.91</v>
      </c>
      <c r="AC125" s="94">
        <v>12.3</v>
      </c>
      <c r="AD125" s="96">
        <v>78.878</v>
      </c>
    </row>
    <row r="126" spans="1:30">
      <c r="A126" s="109">
        <v>12</v>
      </c>
      <c r="B126" s="110" t="s">
        <v>31</v>
      </c>
      <c r="C126" s="110" t="s">
        <v>30</v>
      </c>
      <c r="D126" s="111">
        <v>2013</v>
      </c>
      <c r="E126" s="109">
        <v>18.5</v>
      </c>
      <c r="F126" s="93">
        <v>1.1882299999999999</v>
      </c>
      <c r="G126" s="93">
        <v>33000000000</v>
      </c>
      <c r="H126" s="94">
        <v>36256.1</v>
      </c>
      <c r="I126" s="96">
        <v>0.75</v>
      </c>
      <c r="J126" s="109">
        <v>14.484999999999999</v>
      </c>
      <c r="K126" s="112">
        <v>2.7343999999999999</v>
      </c>
      <c r="L126" s="109">
        <v>482</v>
      </c>
      <c r="M126" s="93">
        <v>38.700001</v>
      </c>
      <c r="N126" s="114">
        <v>78.7</v>
      </c>
      <c r="O126" s="112">
        <v>17.2</v>
      </c>
      <c r="P126" s="115">
        <v>7832</v>
      </c>
      <c r="Q126" s="116">
        <v>37728</v>
      </c>
      <c r="R126" s="102">
        <v>487874</v>
      </c>
      <c r="S126" s="230">
        <v>0.6</v>
      </c>
      <c r="T126" s="115">
        <v>101</v>
      </c>
      <c r="U126" s="109">
        <v>5380.1171999999997</v>
      </c>
      <c r="V126" s="118">
        <v>37.4</v>
      </c>
      <c r="W126" s="119">
        <v>14.484999999999999</v>
      </c>
      <c r="X126" s="121">
        <v>482</v>
      </c>
      <c r="Y126" s="108">
        <v>38.700000000000003</v>
      </c>
      <c r="Z126" s="119">
        <v>5380.12</v>
      </c>
      <c r="AA126" s="96">
        <v>44.8294</v>
      </c>
      <c r="AB126" s="94">
        <v>120.532</v>
      </c>
      <c r="AC126" s="94">
        <v>13.4</v>
      </c>
      <c r="AD126" s="96">
        <v>79.135000000000005</v>
      </c>
    </row>
    <row r="127" spans="1:30">
      <c r="A127" s="109">
        <v>12</v>
      </c>
      <c r="B127" s="110" t="s">
        <v>31</v>
      </c>
      <c r="C127" s="110" t="s">
        <v>30</v>
      </c>
      <c r="D127" s="111">
        <v>2014</v>
      </c>
      <c r="E127" s="109">
        <v>18.3</v>
      </c>
      <c r="F127" s="93">
        <v>0.17697399999999999</v>
      </c>
      <c r="G127" s="93">
        <v>5100000000</v>
      </c>
      <c r="H127" s="94">
        <v>36444.400000000001</v>
      </c>
      <c r="I127" s="96">
        <v>0.77</v>
      </c>
      <c r="J127" s="109">
        <v>14.532999999999999</v>
      </c>
      <c r="K127" s="112">
        <v>2.7926000000000002</v>
      </c>
      <c r="L127" s="109">
        <v>500</v>
      </c>
      <c r="M127" s="93">
        <v>39.700001</v>
      </c>
      <c r="N127" s="114">
        <v>80.8</v>
      </c>
      <c r="O127" s="112">
        <v>17.8</v>
      </c>
      <c r="P127" s="115">
        <v>11130.9</v>
      </c>
      <c r="Q127" s="116">
        <v>38511</v>
      </c>
      <c r="R127" s="102">
        <v>488181</v>
      </c>
      <c r="S127" s="230">
        <v>1.04</v>
      </c>
      <c r="T127" s="115">
        <v>103</v>
      </c>
      <c r="U127" s="109">
        <v>5351.8433000000005</v>
      </c>
      <c r="V127" s="118">
        <v>36.799999999999997</v>
      </c>
      <c r="W127" s="119">
        <v>14.532999999999999</v>
      </c>
      <c r="X127" s="121">
        <v>500</v>
      </c>
      <c r="Y127" s="108">
        <v>39.700000000000003</v>
      </c>
      <c r="Z127" s="119">
        <v>5351.84</v>
      </c>
      <c r="AA127" s="96">
        <v>43.967399999999998</v>
      </c>
      <c r="AB127" s="94">
        <v>121.105</v>
      </c>
      <c r="AC127" s="94">
        <v>13.2</v>
      </c>
      <c r="AD127" s="96">
        <v>79.394000000000005</v>
      </c>
    </row>
    <row r="128" spans="1:30">
      <c r="A128" s="109">
        <v>12</v>
      </c>
      <c r="B128" s="110" t="s">
        <v>31</v>
      </c>
      <c r="C128" s="110" t="s">
        <v>30</v>
      </c>
      <c r="D128" s="111">
        <v>2015</v>
      </c>
      <c r="E128" s="109">
        <v>19.3</v>
      </c>
      <c r="F128" s="93">
        <v>1.76596</v>
      </c>
      <c r="G128" s="93">
        <v>43000000000</v>
      </c>
      <c r="H128" s="94">
        <v>36702.400000000001</v>
      </c>
      <c r="I128" s="96">
        <v>0.8</v>
      </c>
      <c r="J128" s="109">
        <v>13.553000000000001</v>
      </c>
      <c r="K128" s="112">
        <v>2.9815</v>
      </c>
      <c r="L128" s="109">
        <v>504</v>
      </c>
      <c r="M128" s="93">
        <v>40.700001</v>
      </c>
      <c r="N128" s="114">
        <v>81.900000000000006</v>
      </c>
      <c r="O128" s="112">
        <v>18.8</v>
      </c>
      <c r="P128" s="115">
        <v>13625.4</v>
      </c>
      <c r="Q128" s="116">
        <v>38862</v>
      </c>
      <c r="R128" s="102">
        <v>453890</v>
      </c>
      <c r="S128" s="230">
        <v>0.59</v>
      </c>
      <c r="T128" s="115">
        <v>102</v>
      </c>
      <c r="U128" s="109">
        <v>5484.6854999999996</v>
      </c>
      <c r="V128" s="118">
        <v>38.799999999999997</v>
      </c>
      <c r="W128" s="119">
        <v>13.553000000000001</v>
      </c>
      <c r="X128" s="121">
        <v>504</v>
      </c>
      <c r="Y128" s="108">
        <v>40.700000000000003</v>
      </c>
      <c r="Z128" s="119">
        <v>5484.69</v>
      </c>
      <c r="AA128" s="96">
        <v>44.095399999999998</v>
      </c>
      <c r="AB128" s="94">
        <v>121.53700000000001</v>
      </c>
      <c r="AC128" s="94">
        <v>13.3</v>
      </c>
      <c r="AD128" s="96">
        <v>79.655000000000001</v>
      </c>
    </row>
    <row r="129" spans="1:30">
      <c r="A129" s="109">
        <v>12</v>
      </c>
      <c r="B129" s="110" t="s">
        <v>31</v>
      </c>
      <c r="C129" s="110" t="s">
        <v>30</v>
      </c>
      <c r="D129" s="111">
        <v>2016</v>
      </c>
      <c r="E129" s="109">
        <v>18.5</v>
      </c>
      <c r="F129" s="93">
        <v>1.4419999999999999</v>
      </c>
      <c r="G129" s="93">
        <v>36000000000</v>
      </c>
      <c r="H129" s="94">
        <v>36920.5</v>
      </c>
      <c r="I129" s="96">
        <v>0.8</v>
      </c>
      <c r="J129" s="109">
        <v>13.778</v>
      </c>
      <c r="K129" s="112">
        <v>3.0510000000000002</v>
      </c>
      <c r="L129" s="109">
        <v>510</v>
      </c>
      <c r="M129" s="93">
        <v>39.700001</v>
      </c>
      <c r="N129" s="114">
        <v>81.900000000000006</v>
      </c>
      <c r="O129" s="112">
        <v>19.3</v>
      </c>
      <c r="P129" s="115">
        <v>19405.3</v>
      </c>
      <c r="Q129" s="116">
        <v>36391</v>
      </c>
      <c r="R129" s="102">
        <v>470463</v>
      </c>
      <c r="S129" s="230">
        <v>0.55000000000000004</v>
      </c>
      <c r="T129" s="115">
        <v>102</v>
      </c>
      <c r="U129" s="109">
        <v>5303.9364999999998</v>
      </c>
      <c r="V129" s="118">
        <v>39.4</v>
      </c>
      <c r="W129" s="119">
        <v>13.778</v>
      </c>
      <c r="X129" s="121">
        <v>510</v>
      </c>
      <c r="Y129" s="108">
        <v>39.700000000000003</v>
      </c>
      <c r="Z129" s="119">
        <v>5303.94</v>
      </c>
      <c r="AA129" s="96">
        <v>43.265599999999999</v>
      </c>
      <c r="AB129" s="94">
        <v>121.858</v>
      </c>
      <c r="AC129" s="94">
        <v>14.2</v>
      </c>
      <c r="AD129" s="96">
        <v>79.917000000000002</v>
      </c>
    </row>
    <row r="130" spans="1:30">
      <c r="A130" s="109">
        <v>12</v>
      </c>
      <c r="B130" s="110" t="s">
        <v>31</v>
      </c>
      <c r="C130" s="110" t="s">
        <v>30</v>
      </c>
      <c r="D130" s="111">
        <v>2017</v>
      </c>
      <c r="E130" s="109">
        <v>19.100000000000001</v>
      </c>
      <c r="F130" s="93">
        <v>1.6892799999999999</v>
      </c>
      <c r="G130" s="93">
        <v>44000000000</v>
      </c>
      <c r="H130" s="94">
        <v>37580.6</v>
      </c>
      <c r="I130" s="96">
        <v>0.83</v>
      </c>
      <c r="J130" s="109">
        <v>14.528</v>
      </c>
      <c r="K130" s="112">
        <v>2.8744000000000001</v>
      </c>
      <c r="L130" s="109">
        <v>551</v>
      </c>
      <c r="M130" s="93">
        <v>40.200001</v>
      </c>
      <c r="N130" s="114">
        <v>81.900000000000006</v>
      </c>
      <c r="O130" s="112">
        <v>18.7</v>
      </c>
      <c r="P130" s="115">
        <v>13003.8</v>
      </c>
      <c r="Q130" s="116">
        <v>40644</v>
      </c>
      <c r="R130" s="102">
        <v>515908</v>
      </c>
      <c r="S130" s="230">
        <v>0.56999999999999995</v>
      </c>
      <c r="T130" s="115">
        <v>102</v>
      </c>
      <c r="U130" s="109">
        <v>5159.8446999999996</v>
      </c>
      <c r="V130" s="118">
        <v>38.200000000000003</v>
      </c>
      <c r="W130" s="119">
        <v>14.528</v>
      </c>
      <c r="X130" s="121">
        <v>551</v>
      </c>
      <c r="Y130" s="108">
        <v>40.200000000000003</v>
      </c>
      <c r="Z130" s="119">
        <v>5159.84</v>
      </c>
      <c r="AA130" s="96">
        <v>44.599899999999998</v>
      </c>
      <c r="AB130" s="94">
        <v>122.212</v>
      </c>
      <c r="AC130" s="94">
        <v>14.1</v>
      </c>
      <c r="AD130" s="96">
        <v>80.180000000000007</v>
      </c>
    </row>
    <row r="131" spans="1:30">
      <c r="A131" s="109">
        <v>12</v>
      </c>
      <c r="B131" s="110" t="s">
        <v>31</v>
      </c>
      <c r="C131" s="110" t="s">
        <v>30</v>
      </c>
      <c r="D131" s="111">
        <v>2018</v>
      </c>
      <c r="E131" s="109">
        <v>19.2</v>
      </c>
      <c r="F131" s="93">
        <v>2.7859400000000001</v>
      </c>
      <c r="G131" s="93">
        <v>77000000000</v>
      </c>
      <c r="H131" s="94">
        <v>38062.400000000001</v>
      </c>
      <c r="I131" s="96">
        <v>0.82</v>
      </c>
      <c r="J131" s="109">
        <v>14.301</v>
      </c>
      <c r="K131" s="112">
        <v>2.9617</v>
      </c>
      <c r="L131" s="109">
        <v>566</v>
      </c>
      <c r="M131" s="93">
        <v>40.700001</v>
      </c>
      <c r="N131" s="114">
        <v>74.2</v>
      </c>
      <c r="O131" s="112">
        <v>19.5</v>
      </c>
      <c r="P131" s="115">
        <v>14802.1</v>
      </c>
      <c r="Q131" s="116">
        <v>39379</v>
      </c>
      <c r="R131" s="102">
        <v>518745</v>
      </c>
      <c r="S131" s="230">
        <v>0.55000000000000004</v>
      </c>
      <c r="T131" s="115">
        <v>103</v>
      </c>
      <c r="U131" s="109">
        <v>4622.2641999999996</v>
      </c>
      <c r="V131" s="118">
        <v>38.6</v>
      </c>
      <c r="W131" s="119">
        <v>14.301</v>
      </c>
      <c r="X131" s="121">
        <v>566</v>
      </c>
      <c r="Y131" s="108">
        <v>40.700000000000003</v>
      </c>
      <c r="Z131" s="119">
        <v>4622.26</v>
      </c>
      <c r="AA131" s="96">
        <v>45.25</v>
      </c>
      <c r="AB131" s="94">
        <v>122.651</v>
      </c>
      <c r="AC131" s="94">
        <v>15.2</v>
      </c>
      <c r="AD131" s="96">
        <v>80.444000000000003</v>
      </c>
    </row>
    <row r="132" spans="1:30">
      <c r="A132" s="109">
        <v>12</v>
      </c>
      <c r="B132" s="110" t="s">
        <v>31</v>
      </c>
      <c r="C132" s="110" t="s">
        <v>30</v>
      </c>
      <c r="D132" s="111">
        <v>2019</v>
      </c>
      <c r="E132" s="109">
        <v>19.899999999999999</v>
      </c>
      <c r="F132" s="93">
        <v>1.9648699999999999</v>
      </c>
      <c r="G132" s="93">
        <v>53000000000</v>
      </c>
      <c r="H132" s="94">
        <v>38705.199999999997</v>
      </c>
      <c r="I132" s="96">
        <v>0.81</v>
      </c>
      <c r="J132" s="109">
        <v>14.329000000000001</v>
      </c>
      <c r="K132" s="112">
        <v>2.9371999999999998</v>
      </c>
      <c r="L132" s="109">
        <v>609</v>
      </c>
      <c r="M132" s="93">
        <v>41</v>
      </c>
      <c r="N132" s="114">
        <v>76.5</v>
      </c>
      <c r="O132" s="112">
        <v>17.100000000000001</v>
      </c>
      <c r="P132" s="115">
        <v>9718.5</v>
      </c>
      <c r="Q132" s="116">
        <v>39900</v>
      </c>
      <c r="R132" s="102">
        <v>524507</v>
      </c>
      <c r="S132" s="230">
        <v>0.78</v>
      </c>
      <c r="T132" s="115">
        <v>100</v>
      </c>
      <c r="U132" s="109">
        <v>4084.6835999999998</v>
      </c>
      <c r="V132" s="118">
        <v>37.5</v>
      </c>
      <c r="W132" s="119">
        <v>14.329000000000001</v>
      </c>
      <c r="X132" s="121">
        <v>609</v>
      </c>
      <c r="Y132" s="108">
        <v>41</v>
      </c>
      <c r="Z132" s="119">
        <v>0</v>
      </c>
      <c r="AA132" s="96">
        <v>45.012900000000002</v>
      </c>
      <c r="AB132" s="94">
        <v>123.059</v>
      </c>
      <c r="AC132" s="94">
        <v>15.5</v>
      </c>
      <c r="AD132" s="96">
        <v>80.709000000000003</v>
      </c>
    </row>
    <row r="133" spans="1:30">
      <c r="A133" s="109">
        <v>12</v>
      </c>
      <c r="B133" s="110" t="s">
        <v>31</v>
      </c>
      <c r="C133" s="110" t="s">
        <v>30</v>
      </c>
      <c r="D133" s="111">
        <v>2020</v>
      </c>
      <c r="E133" s="109">
        <v>20.399999999999999</v>
      </c>
      <c r="F133" s="93">
        <v>0.73147200000000001</v>
      </c>
      <c r="G133" s="93">
        <v>19000000000</v>
      </c>
      <c r="H133" s="94">
        <v>35709.199999999997</v>
      </c>
      <c r="I133" s="96">
        <v>0.81</v>
      </c>
      <c r="J133" s="109">
        <v>45.669998</v>
      </c>
      <c r="K133" s="112">
        <v>2.988</v>
      </c>
      <c r="L133" s="109">
        <v>630</v>
      </c>
      <c r="M133" s="93">
        <v>41.700001</v>
      </c>
      <c r="N133" s="114">
        <v>79.8</v>
      </c>
      <c r="O133" s="112">
        <v>16.2</v>
      </c>
      <c r="P133" s="115">
        <v>7103.1</v>
      </c>
      <c r="Q133" s="116">
        <v>40406</v>
      </c>
      <c r="R133" s="102">
        <v>521357</v>
      </c>
      <c r="S133" s="230">
        <v>0.4</v>
      </c>
      <c r="T133" s="115">
        <v>96</v>
      </c>
      <c r="U133" s="109">
        <v>3547.1030000000001</v>
      </c>
      <c r="V133" s="118">
        <v>36.700000000000003</v>
      </c>
      <c r="W133" s="119">
        <v>45.67</v>
      </c>
      <c r="X133" s="121">
        <v>630</v>
      </c>
      <c r="Y133" s="108">
        <v>41.7</v>
      </c>
      <c r="Z133" s="119">
        <v>0</v>
      </c>
      <c r="AA133" s="96">
        <v>40.406500000000001</v>
      </c>
      <c r="AB133" s="94">
        <v>123.459</v>
      </c>
      <c r="AC133" s="94">
        <v>16.8</v>
      </c>
      <c r="AD133" s="96">
        <v>80.974999999999994</v>
      </c>
    </row>
    <row r="134" spans="1:30">
      <c r="A134" s="109">
        <v>13</v>
      </c>
      <c r="B134" s="110" t="s">
        <v>29</v>
      </c>
      <c r="C134" s="110" t="s">
        <v>28</v>
      </c>
      <c r="D134" s="111">
        <v>2010</v>
      </c>
      <c r="E134" s="109">
        <v>34</v>
      </c>
      <c r="F134" s="93">
        <v>2.6195400000000002</v>
      </c>
      <c r="G134" s="93">
        <v>1500000000</v>
      </c>
      <c r="H134" s="94">
        <v>11965.5</v>
      </c>
      <c r="I134" s="96">
        <v>0.48</v>
      </c>
      <c r="J134" s="109">
        <v>13.129</v>
      </c>
      <c r="K134" s="112">
        <v>1.0183</v>
      </c>
      <c r="L134" s="109">
        <v>534</v>
      </c>
      <c r="M134" s="93">
        <v>4.0999999000000003</v>
      </c>
      <c r="N134" s="114">
        <v>77.3</v>
      </c>
      <c r="O134" s="112">
        <v>1.6</v>
      </c>
      <c r="P134" s="115">
        <v>143.69999999999999</v>
      </c>
      <c r="Q134" s="116">
        <v>784</v>
      </c>
      <c r="R134" s="102">
        <v>43225</v>
      </c>
      <c r="S134" s="230">
        <v>0.23</v>
      </c>
      <c r="T134" s="115">
        <v>100</v>
      </c>
      <c r="U134" s="109">
        <v>4813.0078000000003</v>
      </c>
      <c r="V134" s="118">
        <v>26.8</v>
      </c>
      <c r="W134" s="119">
        <v>13.129</v>
      </c>
      <c r="X134" s="121">
        <v>534</v>
      </c>
      <c r="Y134" s="108">
        <v>4.0999999999999996</v>
      </c>
      <c r="Z134" s="119">
        <v>4813.01</v>
      </c>
      <c r="AA134" s="96">
        <v>54.038800000000002</v>
      </c>
      <c r="AB134" s="94">
        <v>76.753399999999999</v>
      </c>
      <c r="AC134" s="94">
        <v>29.8</v>
      </c>
      <c r="AD134" s="96">
        <v>55.155000000000001</v>
      </c>
    </row>
    <row r="135" spans="1:30">
      <c r="A135" s="109">
        <v>13</v>
      </c>
      <c r="B135" s="110" t="s">
        <v>29</v>
      </c>
      <c r="C135" s="110" t="s">
        <v>28</v>
      </c>
      <c r="D135" s="111">
        <v>2011</v>
      </c>
      <c r="E135" s="109">
        <v>35.5</v>
      </c>
      <c r="F135" s="93">
        <v>1.9855400000000001</v>
      </c>
      <c r="G135" s="93">
        <v>1200000000</v>
      </c>
      <c r="H135" s="94">
        <v>11995.1</v>
      </c>
      <c r="I135" s="96">
        <v>0.48</v>
      </c>
      <c r="J135" s="109">
        <v>14.028</v>
      </c>
      <c r="K135" s="112">
        <v>1.0214000000000001</v>
      </c>
      <c r="L135" s="109">
        <v>534</v>
      </c>
      <c r="M135" s="93">
        <v>8.3000001999999995</v>
      </c>
      <c r="N135" s="114">
        <v>84.5</v>
      </c>
      <c r="O135" s="112">
        <v>2.4</v>
      </c>
      <c r="P135" s="115">
        <v>1261.3</v>
      </c>
      <c r="Q135" s="116">
        <v>729</v>
      </c>
      <c r="R135" s="102">
        <v>42060</v>
      </c>
      <c r="S135" s="230">
        <v>0.16</v>
      </c>
      <c r="T135" s="115">
        <v>102</v>
      </c>
      <c r="U135" s="109">
        <v>4633.2191999999995</v>
      </c>
      <c r="V135" s="118">
        <v>27.3</v>
      </c>
      <c r="W135" s="119">
        <v>14.028</v>
      </c>
      <c r="X135" s="121">
        <v>534</v>
      </c>
      <c r="Y135" s="108">
        <v>8.3000000000000007</v>
      </c>
      <c r="Z135" s="119">
        <v>4633.22</v>
      </c>
      <c r="AA135" s="96">
        <v>57.231900000000003</v>
      </c>
      <c r="AB135" s="94">
        <v>76.488900000000001</v>
      </c>
      <c r="AC135" s="94">
        <v>27.2</v>
      </c>
      <c r="AD135" s="96">
        <v>55.322000000000003</v>
      </c>
    </row>
    <row r="136" spans="1:30">
      <c r="A136" s="109">
        <v>13</v>
      </c>
      <c r="B136" s="110" t="s">
        <v>29</v>
      </c>
      <c r="C136" s="110" t="s">
        <v>28</v>
      </c>
      <c r="D136" s="111">
        <v>2012</v>
      </c>
      <c r="E136" s="109">
        <v>37.5</v>
      </c>
      <c r="F136" s="93">
        <v>2.5457000000000001</v>
      </c>
      <c r="G136" s="93">
        <v>1500000000</v>
      </c>
      <c r="H136" s="94">
        <v>11780.5</v>
      </c>
      <c r="I136" s="96">
        <v>0.5</v>
      </c>
      <c r="J136" s="109">
        <v>12.949</v>
      </c>
      <c r="K136" s="112">
        <v>1.0851999999999999</v>
      </c>
      <c r="L136" s="109">
        <v>534</v>
      </c>
      <c r="M136" s="93">
        <v>14.7</v>
      </c>
      <c r="N136" s="114">
        <v>92.3</v>
      </c>
      <c r="O136" s="112">
        <v>3.5</v>
      </c>
      <c r="P136" s="115">
        <v>1237.2</v>
      </c>
      <c r="Q136" s="116">
        <v>682</v>
      </c>
      <c r="R136" s="102">
        <v>42218</v>
      </c>
      <c r="S136" s="230">
        <v>0.04</v>
      </c>
      <c r="T136" s="115">
        <v>105</v>
      </c>
      <c r="U136" s="109">
        <v>4524.5366000000004</v>
      </c>
      <c r="V136" s="118">
        <v>28.4</v>
      </c>
      <c r="W136" s="119">
        <v>12.949</v>
      </c>
      <c r="X136" s="121">
        <v>534</v>
      </c>
      <c r="Y136" s="108">
        <v>14.7</v>
      </c>
      <c r="Z136" s="119">
        <v>4524.54</v>
      </c>
      <c r="AA136" s="96">
        <v>57.6922</v>
      </c>
      <c r="AB136" s="94">
        <v>76.126900000000006</v>
      </c>
      <c r="AC136" s="94">
        <v>29.4</v>
      </c>
      <c r="AD136" s="96">
        <v>55.506</v>
      </c>
    </row>
    <row r="137" spans="1:30">
      <c r="A137" s="109">
        <v>13</v>
      </c>
      <c r="B137" s="110" t="s">
        <v>29</v>
      </c>
      <c r="C137" s="110" t="s">
        <v>28</v>
      </c>
      <c r="D137" s="111">
        <v>2013</v>
      </c>
      <c r="E137" s="109">
        <v>37</v>
      </c>
      <c r="F137" s="93">
        <v>1.59378</v>
      </c>
      <c r="G137" s="93">
        <v>950000000</v>
      </c>
      <c r="H137" s="94">
        <v>11839.2</v>
      </c>
      <c r="I137" s="96">
        <v>0.49</v>
      </c>
      <c r="J137" s="109">
        <v>13.071</v>
      </c>
      <c r="K137" s="112">
        <v>1.0516000000000001</v>
      </c>
      <c r="L137" s="109">
        <v>527</v>
      </c>
      <c r="M137" s="93">
        <v>14.9</v>
      </c>
      <c r="N137" s="114">
        <v>97.4</v>
      </c>
      <c r="O137" s="112">
        <v>3.9</v>
      </c>
      <c r="P137" s="115">
        <v>1855.1</v>
      </c>
      <c r="Q137" s="116">
        <v>728</v>
      </c>
      <c r="R137" s="102">
        <v>42218</v>
      </c>
      <c r="S137" s="230">
        <v>0</v>
      </c>
      <c r="T137" s="115">
        <v>107</v>
      </c>
      <c r="U137" s="109">
        <v>4589.1782000000003</v>
      </c>
      <c r="V137" s="118">
        <v>27.6</v>
      </c>
      <c r="W137" s="119">
        <v>13.071</v>
      </c>
      <c r="X137" s="121">
        <v>527</v>
      </c>
      <c r="Y137" s="108">
        <v>14.9</v>
      </c>
      <c r="Z137" s="119">
        <v>4589.18</v>
      </c>
      <c r="AA137" s="96">
        <v>57.944200000000002</v>
      </c>
      <c r="AB137" s="94">
        <v>75.654399999999995</v>
      </c>
      <c r="AC137" s="94">
        <v>32.799999999999997</v>
      </c>
      <c r="AD137" s="96">
        <v>55.706000000000003</v>
      </c>
    </row>
    <row r="138" spans="1:30">
      <c r="A138" s="109">
        <v>13</v>
      </c>
      <c r="B138" s="110" t="s">
        <v>29</v>
      </c>
      <c r="C138" s="110" t="s">
        <v>28</v>
      </c>
      <c r="D138" s="111">
        <v>2014</v>
      </c>
      <c r="E138" s="109">
        <v>37.5</v>
      </c>
      <c r="F138" s="93">
        <v>5.3474700000000004</v>
      </c>
      <c r="G138" s="93">
        <v>3200000000</v>
      </c>
      <c r="H138" s="94">
        <v>11863.9</v>
      </c>
      <c r="I138" s="96">
        <v>0.49</v>
      </c>
      <c r="J138" s="109">
        <v>11.771000000000001</v>
      </c>
      <c r="K138" s="112">
        <v>1.1405000000000001</v>
      </c>
      <c r="L138" s="109">
        <v>520</v>
      </c>
      <c r="M138" s="93">
        <v>16.399999999999999</v>
      </c>
      <c r="N138" s="114">
        <v>95.7</v>
      </c>
      <c r="O138" s="112">
        <v>4.8</v>
      </c>
      <c r="P138" s="115">
        <v>2129.1999999999998</v>
      </c>
      <c r="Q138" s="116">
        <v>773</v>
      </c>
      <c r="R138" s="102">
        <v>45261</v>
      </c>
      <c r="S138" s="230">
        <v>0</v>
      </c>
      <c r="T138" s="115">
        <v>111</v>
      </c>
      <c r="U138" s="109">
        <v>4624.0727999999999</v>
      </c>
      <c r="V138" s="118">
        <v>28.3</v>
      </c>
      <c r="W138" s="119">
        <v>11.771000000000001</v>
      </c>
      <c r="X138" s="121">
        <v>520</v>
      </c>
      <c r="Y138" s="108">
        <v>16.399999999999999</v>
      </c>
      <c r="Z138" s="119">
        <v>4624.07</v>
      </c>
      <c r="AA138" s="96">
        <v>61.470700000000001</v>
      </c>
      <c r="AB138" s="94">
        <v>75.076800000000006</v>
      </c>
      <c r="AC138" s="94">
        <v>33.6</v>
      </c>
      <c r="AD138" s="96">
        <v>55.923000000000002</v>
      </c>
    </row>
    <row r="139" spans="1:30">
      <c r="A139" s="109">
        <v>13</v>
      </c>
      <c r="B139" s="110" t="s">
        <v>29</v>
      </c>
      <c r="C139" s="110" t="s">
        <v>28</v>
      </c>
      <c r="D139" s="111">
        <v>2015</v>
      </c>
      <c r="E139" s="109">
        <v>38.5</v>
      </c>
      <c r="F139" s="93">
        <v>0.95805099999999999</v>
      </c>
      <c r="G139" s="93">
        <v>490000000</v>
      </c>
      <c r="H139" s="94">
        <v>12285.3</v>
      </c>
      <c r="I139" s="96">
        <v>0.48</v>
      </c>
      <c r="J139" s="109">
        <v>13.605</v>
      </c>
      <c r="K139" s="112">
        <v>1.1072</v>
      </c>
      <c r="L139" s="109">
        <v>517</v>
      </c>
      <c r="M139" s="93">
        <v>18</v>
      </c>
      <c r="N139" s="114">
        <v>92.5</v>
      </c>
      <c r="O139" s="112">
        <v>4.5999999999999996</v>
      </c>
      <c r="P139" s="115">
        <v>2509.6999999999998</v>
      </c>
      <c r="Q139" s="116">
        <v>831</v>
      </c>
      <c r="R139" s="102">
        <v>44872</v>
      </c>
      <c r="S139" s="230">
        <v>0</v>
      </c>
      <c r="T139" s="115">
        <v>114</v>
      </c>
      <c r="U139" s="109">
        <v>4885.9018999999998</v>
      </c>
      <c r="V139" s="118">
        <v>29.5</v>
      </c>
      <c r="W139" s="119">
        <v>13.605</v>
      </c>
      <c r="X139" s="121">
        <v>517</v>
      </c>
      <c r="Y139" s="108">
        <v>18</v>
      </c>
      <c r="Z139" s="119">
        <v>4885.8999999999996</v>
      </c>
      <c r="AA139" s="96">
        <v>65.671700000000001</v>
      </c>
      <c r="AB139" s="94">
        <v>74.185599999999994</v>
      </c>
      <c r="AC139" s="94">
        <v>33.1</v>
      </c>
      <c r="AD139" s="96">
        <v>56.155000000000001</v>
      </c>
    </row>
    <row r="140" spans="1:30">
      <c r="A140" s="109">
        <v>13</v>
      </c>
      <c r="B140" s="110" t="s">
        <v>29</v>
      </c>
      <c r="C140" s="110" t="s">
        <v>28</v>
      </c>
      <c r="D140" s="111">
        <v>2016</v>
      </c>
      <c r="E140" s="109">
        <v>37.4</v>
      </c>
      <c r="F140" s="93">
        <v>2.9901399999999998</v>
      </c>
      <c r="G140" s="93">
        <v>1600000000</v>
      </c>
      <c r="H140" s="94">
        <v>12849.3</v>
      </c>
      <c r="I140" s="96">
        <v>0.5</v>
      </c>
      <c r="J140" s="109">
        <v>13.266</v>
      </c>
      <c r="K140" s="112">
        <v>1.1203000000000001</v>
      </c>
      <c r="L140" s="109">
        <v>516</v>
      </c>
      <c r="M140" s="93">
        <v>21</v>
      </c>
      <c r="N140" s="114">
        <v>96.3</v>
      </c>
      <c r="O140" s="112">
        <v>4.5999999999999996</v>
      </c>
      <c r="P140" s="115">
        <v>2638.9</v>
      </c>
      <c r="Q140" s="116">
        <v>880</v>
      </c>
      <c r="R140" s="102">
        <v>44088</v>
      </c>
      <c r="S140" s="230">
        <v>0.52</v>
      </c>
      <c r="T140" s="115">
        <v>120</v>
      </c>
      <c r="U140" s="109">
        <v>4679.7280000000001</v>
      </c>
      <c r="V140" s="118">
        <v>31</v>
      </c>
      <c r="W140" s="119">
        <v>13.266</v>
      </c>
      <c r="X140" s="121">
        <v>516</v>
      </c>
      <c r="Y140" s="108">
        <v>21</v>
      </c>
      <c r="Z140" s="119">
        <v>4679.7299999999996</v>
      </c>
      <c r="AA140" s="96">
        <v>67.830399999999997</v>
      </c>
      <c r="AB140" s="94">
        <v>73.384100000000004</v>
      </c>
      <c r="AC140" s="94">
        <v>31.8</v>
      </c>
      <c r="AD140" s="96">
        <v>56.402999999999999</v>
      </c>
    </row>
    <row r="141" spans="1:30">
      <c r="A141" s="109">
        <v>13</v>
      </c>
      <c r="B141" s="110" t="s">
        <v>29</v>
      </c>
      <c r="C141" s="110" t="s">
        <v>28</v>
      </c>
      <c r="D141" s="111">
        <v>2017</v>
      </c>
      <c r="E141" s="109">
        <v>38.200000000000003</v>
      </c>
      <c r="F141" s="93">
        <v>3.24</v>
      </c>
      <c r="G141" s="93">
        <v>1800000000</v>
      </c>
      <c r="H141" s="94">
        <v>13485.9</v>
      </c>
      <c r="I141" s="96">
        <v>0.5</v>
      </c>
      <c r="J141" s="109">
        <v>13.731999999999999</v>
      </c>
      <c r="K141" s="112">
        <v>1.1726000000000001</v>
      </c>
      <c r="L141" s="109">
        <v>553</v>
      </c>
      <c r="M141" s="93">
        <v>23.6</v>
      </c>
      <c r="N141" s="114">
        <v>95.2</v>
      </c>
      <c r="O141" s="112">
        <v>5.0999999999999996</v>
      </c>
      <c r="P141" s="115">
        <v>3144</v>
      </c>
      <c r="Q141" s="116">
        <v>938</v>
      </c>
      <c r="R141" s="102">
        <v>46104</v>
      </c>
      <c r="S141" s="230">
        <v>0</v>
      </c>
      <c r="T141" s="115">
        <v>125</v>
      </c>
      <c r="U141" s="109">
        <v>4775.0897999999997</v>
      </c>
      <c r="V141" s="118">
        <v>31.8</v>
      </c>
      <c r="W141" s="119">
        <v>13.731999999999999</v>
      </c>
      <c r="X141" s="121">
        <v>553</v>
      </c>
      <c r="Y141" s="108">
        <v>23.6</v>
      </c>
      <c r="Z141" s="119">
        <v>4775.09</v>
      </c>
      <c r="AA141" s="96">
        <v>72.790099999999995</v>
      </c>
      <c r="AB141" s="94">
        <v>72.214399999999998</v>
      </c>
      <c r="AC141" s="94">
        <v>29.8</v>
      </c>
      <c r="AD141" s="96">
        <v>56.667000000000002</v>
      </c>
    </row>
    <row r="142" spans="1:30">
      <c r="A142" s="109">
        <v>13</v>
      </c>
      <c r="B142" s="110" t="s">
        <v>29</v>
      </c>
      <c r="C142" s="110" t="s">
        <v>28</v>
      </c>
      <c r="D142" s="111">
        <v>2018</v>
      </c>
      <c r="E142" s="109">
        <v>38.299999999999997</v>
      </c>
      <c r="F142" s="93">
        <v>2.6691099999999999</v>
      </c>
      <c r="G142" s="93">
        <v>1600000000</v>
      </c>
      <c r="H142" s="94">
        <v>14060.7</v>
      </c>
      <c r="I142" s="96">
        <v>0.48</v>
      </c>
      <c r="J142" s="109">
        <v>13.914999999999999</v>
      </c>
      <c r="K142" s="112">
        <v>1.1776</v>
      </c>
      <c r="L142" s="109">
        <v>558</v>
      </c>
      <c r="M142" s="93">
        <v>25.299999</v>
      </c>
      <c r="N142" s="114">
        <v>91.2</v>
      </c>
      <c r="O142" s="112">
        <v>5</v>
      </c>
      <c r="P142" s="115">
        <v>3314.5</v>
      </c>
      <c r="Q142" s="116">
        <v>1260</v>
      </c>
      <c r="R142" s="102">
        <v>51368</v>
      </c>
      <c r="S142" s="230">
        <v>0</v>
      </c>
      <c r="T142" s="115">
        <v>130</v>
      </c>
      <c r="U142" s="109">
        <v>4637.5825000000004</v>
      </c>
      <c r="V142" s="118">
        <v>31.4</v>
      </c>
      <c r="W142" s="119">
        <v>13.914999999999999</v>
      </c>
      <c r="X142" s="121">
        <v>558</v>
      </c>
      <c r="Y142" s="108">
        <v>25.3</v>
      </c>
      <c r="Z142" s="119">
        <v>4637.58</v>
      </c>
      <c r="AA142" s="96">
        <v>73.952299999999994</v>
      </c>
      <c r="AB142" s="94">
        <v>71.273899999999998</v>
      </c>
      <c r="AC142" s="94">
        <v>32.799999999999997</v>
      </c>
      <c r="AD142" s="96">
        <v>56.947000000000003</v>
      </c>
    </row>
    <row r="143" spans="1:30">
      <c r="A143" s="109">
        <v>13</v>
      </c>
      <c r="B143" s="110" t="s">
        <v>29</v>
      </c>
      <c r="C143" s="110" t="s">
        <v>28</v>
      </c>
      <c r="D143" s="111">
        <v>2019</v>
      </c>
      <c r="E143" s="109">
        <v>39.299999999999997</v>
      </c>
      <c r="F143" s="93">
        <v>6.4727699999999997</v>
      </c>
      <c r="G143" s="93">
        <v>4000000000</v>
      </c>
      <c r="H143" s="94">
        <v>14641.2</v>
      </c>
      <c r="I143" s="96">
        <v>0.49</v>
      </c>
      <c r="J143" s="109">
        <v>14.221</v>
      </c>
      <c r="K143" s="112">
        <v>1.1801999999999999</v>
      </c>
      <c r="L143" s="109">
        <v>557</v>
      </c>
      <c r="M143" s="93">
        <v>30.200001</v>
      </c>
      <c r="N143" s="114">
        <v>92.3</v>
      </c>
      <c r="O143" s="112">
        <v>5.4</v>
      </c>
      <c r="P143" s="115">
        <v>2818.8</v>
      </c>
      <c r="Q143" s="116">
        <v>1377</v>
      </c>
      <c r="R143" s="102">
        <v>58574</v>
      </c>
      <c r="S143" s="230">
        <v>0</v>
      </c>
      <c r="T143" s="115">
        <v>128</v>
      </c>
      <c r="U143" s="109">
        <v>6274.7025999999996</v>
      </c>
      <c r="V143" s="118">
        <v>32.700000000000003</v>
      </c>
      <c r="W143" s="119">
        <v>14.221</v>
      </c>
      <c r="X143" s="121">
        <v>557</v>
      </c>
      <c r="Y143" s="108">
        <v>30.2</v>
      </c>
      <c r="Z143" s="119">
        <v>6274.7</v>
      </c>
      <c r="AA143" s="96">
        <v>73.762500000000003</v>
      </c>
      <c r="AB143" s="94">
        <v>70.5702</v>
      </c>
      <c r="AC143" s="94">
        <v>31.6</v>
      </c>
      <c r="AD143" s="96">
        <v>57.241999999999997</v>
      </c>
    </row>
    <row r="144" spans="1:30">
      <c r="A144" s="109">
        <v>13</v>
      </c>
      <c r="B144" s="110" t="s">
        <v>29</v>
      </c>
      <c r="C144" s="110" t="s">
        <v>28</v>
      </c>
      <c r="D144" s="111">
        <v>2020</v>
      </c>
      <c r="E144" s="109">
        <v>39.9</v>
      </c>
      <c r="F144" s="93">
        <v>2.5390999999999999</v>
      </c>
      <c r="G144" s="93">
        <v>1500000000</v>
      </c>
      <c r="H144" s="94">
        <v>13545</v>
      </c>
      <c r="I144" s="96">
        <v>0.49</v>
      </c>
      <c r="J144" s="109">
        <v>13.231999999999999</v>
      </c>
      <c r="K144" s="112">
        <v>1.0625</v>
      </c>
      <c r="L144" s="109">
        <v>555</v>
      </c>
      <c r="M144" s="93">
        <v>29.5</v>
      </c>
      <c r="N144" s="114">
        <v>94.9</v>
      </c>
      <c r="O144" s="112">
        <v>5.5</v>
      </c>
      <c r="P144" s="115">
        <v>2889.1</v>
      </c>
      <c r="Q144" s="116">
        <v>1211</v>
      </c>
      <c r="R144" s="102">
        <v>50818</v>
      </c>
      <c r="S144" s="230">
        <v>0</v>
      </c>
      <c r="T144" s="115">
        <v>122</v>
      </c>
      <c r="U144" s="109">
        <v>6376.3872000000001</v>
      </c>
      <c r="V144" s="118">
        <v>33.799999999999997</v>
      </c>
      <c r="W144" s="119">
        <v>13.231999999999999</v>
      </c>
      <c r="X144" s="121">
        <v>555</v>
      </c>
      <c r="Y144" s="108">
        <v>29.5</v>
      </c>
      <c r="Z144" s="119">
        <v>6376.39</v>
      </c>
      <c r="AA144" s="96">
        <v>75.949700000000007</v>
      </c>
      <c r="AB144" s="94">
        <v>69.9465</v>
      </c>
      <c r="AC144" s="94">
        <v>32.4</v>
      </c>
      <c r="AD144" s="96">
        <v>57.552999999999997</v>
      </c>
    </row>
    <row r="145" spans="1:30">
      <c r="A145" s="109">
        <v>14</v>
      </c>
      <c r="B145" s="110" t="s">
        <v>27</v>
      </c>
      <c r="C145" s="110" t="s">
        <v>26</v>
      </c>
      <c r="D145" s="111">
        <v>2010</v>
      </c>
      <c r="E145" s="109">
        <v>33</v>
      </c>
      <c r="F145" s="93">
        <v>-15.8522</v>
      </c>
      <c r="G145" s="93">
        <v>-21000000000</v>
      </c>
      <c r="H145" s="94">
        <v>11307.7</v>
      </c>
      <c r="I145" s="96">
        <v>0.56000000000000005</v>
      </c>
      <c r="J145" s="109">
        <v>9.2609996999999993</v>
      </c>
      <c r="K145" s="112">
        <v>1.0295000000000001</v>
      </c>
      <c r="L145" s="109">
        <v>399</v>
      </c>
      <c r="M145" s="93">
        <v>19.600000000000001</v>
      </c>
      <c r="N145" s="114">
        <v>82.3</v>
      </c>
      <c r="O145" s="112">
        <v>5.2</v>
      </c>
      <c r="P145" s="115">
        <v>306.10000000000002</v>
      </c>
      <c r="Q145" s="116">
        <v>3225</v>
      </c>
      <c r="R145" s="102">
        <v>140978</v>
      </c>
      <c r="S145" s="230">
        <v>0.63</v>
      </c>
      <c r="T145" s="115">
        <v>100</v>
      </c>
      <c r="U145" s="109">
        <v>5116.5703000000003</v>
      </c>
      <c r="V145" s="118">
        <v>28.9</v>
      </c>
      <c r="W145" s="119">
        <v>9.2609999999999992</v>
      </c>
      <c r="X145" s="121">
        <v>399</v>
      </c>
      <c r="Y145" s="108">
        <v>19.600000000000001</v>
      </c>
      <c r="Z145" s="119">
        <v>5116.57</v>
      </c>
      <c r="AA145" s="96">
        <v>138.953</v>
      </c>
      <c r="AB145" s="94">
        <v>110.461</v>
      </c>
      <c r="AC145" s="94">
        <v>13.5</v>
      </c>
      <c r="AD145" s="96">
        <v>68.911000000000001</v>
      </c>
    </row>
    <row r="146" spans="1:30">
      <c r="A146" s="109">
        <v>14</v>
      </c>
      <c r="B146" s="110" t="s">
        <v>27</v>
      </c>
      <c r="C146" s="110" t="s">
        <v>26</v>
      </c>
      <c r="D146" s="111">
        <v>2011</v>
      </c>
      <c r="E146" s="109">
        <v>34.5</v>
      </c>
      <c r="F146" s="93">
        <v>7.4423700000000004</v>
      </c>
      <c r="G146" s="93">
        <v>11000000000</v>
      </c>
      <c r="H146" s="94">
        <v>11551.5</v>
      </c>
      <c r="I146" s="96">
        <v>0.53</v>
      </c>
      <c r="J146" s="109">
        <v>9.0299996999999994</v>
      </c>
      <c r="K146" s="112">
        <v>1.0444</v>
      </c>
      <c r="L146" s="109">
        <v>415</v>
      </c>
      <c r="M146" s="93">
        <v>22</v>
      </c>
      <c r="N146" s="114">
        <v>87.7</v>
      </c>
      <c r="O146" s="112">
        <v>5.4</v>
      </c>
      <c r="P146" s="115">
        <v>663.5</v>
      </c>
      <c r="Q146" s="116">
        <v>2806</v>
      </c>
      <c r="R146" s="102">
        <v>121637</v>
      </c>
      <c r="S146" s="230">
        <v>0.46</v>
      </c>
      <c r="T146" s="115">
        <v>100</v>
      </c>
      <c r="U146" s="109">
        <v>4982.5775999999996</v>
      </c>
      <c r="V146" s="118">
        <v>29.5</v>
      </c>
      <c r="W146" s="119">
        <v>9.0299999999999994</v>
      </c>
      <c r="X146" s="121">
        <v>415</v>
      </c>
      <c r="Y146" s="108">
        <v>22</v>
      </c>
      <c r="Z146" s="119">
        <v>4982.58</v>
      </c>
      <c r="AA146" s="96">
        <v>151.29499999999999</v>
      </c>
      <c r="AB146" s="94">
        <v>110.148</v>
      </c>
      <c r="AC146" s="94">
        <v>14.7</v>
      </c>
      <c r="AD146" s="96">
        <v>69.358000000000004</v>
      </c>
    </row>
    <row r="147" spans="1:30">
      <c r="A147" s="109">
        <v>14</v>
      </c>
      <c r="B147" s="110" t="s">
        <v>27</v>
      </c>
      <c r="C147" s="110" t="s">
        <v>26</v>
      </c>
      <c r="D147" s="111">
        <v>2012</v>
      </c>
      <c r="E147" s="109">
        <v>37.5</v>
      </c>
      <c r="F147" s="93">
        <v>8.2833199999999998</v>
      </c>
      <c r="G147" s="93">
        <v>11000000000</v>
      </c>
      <c r="H147" s="94">
        <v>11466.1</v>
      </c>
      <c r="I147" s="96">
        <v>0.47</v>
      </c>
      <c r="J147" s="109">
        <v>8.1809998000000004</v>
      </c>
      <c r="K147" s="112">
        <v>1.1774</v>
      </c>
      <c r="L147" s="109">
        <v>405</v>
      </c>
      <c r="M147" s="93">
        <v>25.5</v>
      </c>
      <c r="N147" s="114">
        <v>81.5</v>
      </c>
      <c r="O147" s="112">
        <v>6</v>
      </c>
      <c r="P147" s="115">
        <v>397.6</v>
      </c>
      <c r="Q147" s="116">
        <v>2452</v>
      </c>
      <c r="R147" s="102">
        <v>112989</v>
      </c>
      <c r="S147" s="230">
        <v>0.34</v>
      </c>
      <c r="T147" s="115">
        <v>96</v>
      </c>
      <c r="U147" s="109">
        <v>5101.1772000000001</v>
      </c>
      <c r="V147" s="118">
        <v>31.4</v>
      </c>
      <c r="W147" s="119">
        <v>8.1809999999999992</v>
      </c>
      <c r="X147" s="121">
        <v>405</v>
      </c>
      <c r="Y147" s="108">
        <v>25.5</v>
      </c>
      <c r="Z147" s="119">
        <v>5101.18</v>
      </c>
      <c r="AA147" s="96">
        <v>154.28899999999999</v>
      </c>
      <c r="AB147" s="94">
        <v>109.581</v>
      </c>
      <c r="AC147" s="94">
        <v>16.5</v>
      </c>
      <c r="AD147" s="96">
        <v>69.677999999999997</v>
      </c>
    </row>
    <row r="148" spans="1:30">
      <c r="A148" s="109">
        <v>14</v>
      </c>
      <c r="B148" s="110" t="s">
        <v>27</v>
      </c>
      <c r="C148" s="110" t="s">
        <v>26</v>
      </c>
      <c r="D148" s="111">
        <v>2013</v>
      </c>
      <c r="E148" s="109">
        <v>37.5</v>
      </c>
      <c r="F148" s="93">
        <v>-2.7490899999999998</v>
      </c>
      <c r="G148" s="93">
        <v>-3700000000</v>
      </c>
      <c r="H148" s="94">
        <v>11705</v>
      </c>
      <c r="I148" s="96">
        <v>0.47</v>
      </c>
      <c r="J148" s="109">
        <v>9.6619997000000009</v>
      </c>
      <c r="K148" s="112">
        <v>1.0465</v>
      </c>
      <c r="L148" s="109">
        <v>379</v>
      </c>
      <c r="M148" s="93">
        <v>26.4</v>
      </c>
      <c r="N148" s="114">
        <v>87.7</v>
      </c>
      <c r="O148" s="112">
        <v>6.1</v>
      </c>
      <c r="P148" s="115">
        <v>809.7</v>
      </c>
      <c r="Q148" s="116">
        <v>2142</v>
      </c>
      <c r="R148" s="102">
        <v>99999</v>
      </c>
      <c r="S148" s="230">
        <v>0.13</v>
      </c>
      <c r="T148" s="115">
        <v>94</v>
      </c>
      <c r="U148" s="109">
        <v>5338.21</v>
      </c>
      <c r="V148" s="118">
        <v>30.2</v>
      </c>
      <c r="W148" s="119">
        <v>9.6620000000000008</v>
      </c>
      <c r="X148" s="121">
        <v>379</v>
      </c>
      <c r="Y148" s="108">
        <v>26.4</v>
      </c>
      <c r="Z148" s="119">
        <v>5338.21</v>
      </c>
      <c r="AA148" s="96">
        <v>153.01300000000001</v>
      </c>
      <c r="AB148" s="94">
        <v>109.28</v>
      </c>
      <c r="AC148" s="94">
        <v>17.2</v>
      </c>
      <c r="AD148" s="96">
        <v>69.953000000000003</v>
      </c>
    </row>
    <row r="149" spans="1:30">
      <c r="A149" s="109">
        <v>14</v>
      </c>
      <c r="B149" s="110" t="s">
        <v>27</v>
      </c>
      <c r="C149" s="110" t="s">
        <v>26</v>
      </c>
      <c r="D149" s="111">
        <v>2014</v>
      </c>
      <c r="E149" s="109">
        <v>37.799999999999997</v>
      </c>
      <c r="F149" s="93">
        <v>9.1326400000000003</v>
      </c>
      <c r="G149" s="93">
        <v>13000000000</v>
      </c>
      <c r="H149" s="94">
        <v>12233.3</v>
      </c>
      <c r="I149" s="96">
        <v>0.43</v>
      </c>
      <c r="J149" s="109">
        <v>12.811</v>
      </c>
      <c r="K149" s="112">
        <v>0.84870000000000001</v>
      </c>
      <c r="L149" s="109">
        <v>384</v>
      </c>
      <c r="M149" s="93">
        <v>30.5</v>
      </c>
      <c r="N149" s="114">
        <v>87</v>
      </c>
      <c r="O149" s="112">
        <v>5.3</v>
      </c>
      <c r="P149" s="115">
        <v>819.4</v>
      </c>
      <c r="Q149" s="116">
        <v>1983</v>
      </c>
      <c r="R149" s="102">
        <v>94592</v>
      </c>
      <c r="S149" s="230">
        <v>0.28999999999999998</v>
      </c>
      <c r="T149" s="115">
        <v>99</v>
      </c>
      <c r="U149" s="109">
        <v>5328.9277000000002</v>
      </c>
      <c r="V149" s="118">
        <v>27.5</v>
      </c>
      <c r="W149" s="119">
        <v>12.811</v>
      </c>
      <c r="X149" s="121">
        <v>384</v>
      </c>
      <c r="Y149" s="108">
        <v>30.5</v>
      </c>
      <c r="Z149" s="119">
        <v>5328.93</v>
      </c>
      <c r="AA149" s="96">
        <v>152.81399999999999</v>
      </c>
      <c r="AB149" s="94">
        <v>108.114</v>
      </c>
      <c r="AC149" s="94">
        <v>15.7</v>
      </c>
      <c r="AD149" s="96">
        <v>70.227000000000004</v>
      </c>
    </row>
    <row r="150" spans="1:30">
      <c r="A150" s="109">
        <v>14</v>
      </c>
      <c r="B150" s="110" t="s">
        <v>27</v>
      </c>
      <c r="C150" s="110" t="s">
        <v>26</v>
      </c>
      <c r="D150" s="111">
        <v>2015</v>
      </c>
      <c r="E150" s="109">
        <v>39</v>
      </c>
      <c r="F150" s="93">
        <v>-4.3696999999999999</v>
      </c>
      <c r="G150" s="93">
        <v>-5500000000</v>
      </c>
      <c r="H150" s="94">
        <v>12717</v>
      </c>
      <c r="I150" s="96">
        <v>0.43</v>
      </c>
      <c r="J150" s="109">
        <v>12.672000000000001</v>
      </c>
      <c r="K150" s="112">
        <v>0.89539999999999997</v>
      </c>
      <c r="L150" s="109">
        <v>391</v>
      </c>
      <c r="M150" s="93">
        <v>32.200001</v>
      </c>
      <c r="N150" s="114">
        <v>83.3</v>
      </c>
      <c r="O150" s="112">
        <v>5.7</v>
      </c>
      <c r="P150" s="115">
        <v>758</v>
      </c>
      <c r="Q150" s="116">
        <v>2080</v>
      </c>
      <c r="R150" s="102">
        <v>102645</v>
      </c>
      <c r="S150" s="230">
        <v>0.24</v>
      </c>
      <c r="T150" s="115">
        <v>104</v>
      </c>
      <c r="U150" s="109">
        <v>5554.6635999999999</v>
      </c>
      <c r="V150" s="118">
        <v>26.7</v>
      </c>
      <c r="W150" s="119">
        <v>12.672000000000001</v>
      </c>
      <c r="X150" s="121">
        <v>391</v>
      </c>
      <c r="Y150" s="108">
        <v>32.200000000000003</v>
      </c>
      <c r="Z150" s="119">
        <v>5554.66</v>
      </c>
      <c r="AA150" s="96">
        <v>152.18600000000001</v>
      </c>
      <c r="AB150" s="94">
        <v>107.857</v>
      </c>
      <c r="AC150" s="94">
        <v>15.6</v>
      </c>
      <c r="AD150" s="96">
        <v>70.5</v>
      </c>
    </row>
    <row r="151" spans="1:30">
      <c r="A151" s="109">
        <v>14</v>
      </c>
      <c r="B151" s="110" t="s">
        <v>27</v>
      </c>
      <c r="C151" s="110" t="s">
        <v>26</v>
      </c>
      <c r="D151" s="111">
        <v>2016</v>
      </c>
      <c r="E151" s="109">
        <v>37.6</v>
      </c>
      <c r="F151" s="93">
        <v>54.0032</v>
      </c>
      <c r="G151" s="93">
        <v>69000000000</v>
      </c>
      <c r="H151" s="94">
        <v>13035.4</v>
      </c>
      <c r="I151" s="96">
        <v>0.43</v>
      </c>
      <c r="J151" s="109">
        <v>12.068</v>
      </c>
      <c r="K151" s="112">
        <v>0.95579999999999998</v>
      </c>
      <c r="L151" s="109">
        <v>407</v>
      </c>
      <c r="M151" s="93">
        <v>34.700001</v>
      </c>
      <c r="N151" s="114">
        <v>84</v>
      </c>
      <c r="O151" s="112">
        <v>6.3</v>
      </c>
      <c r="P151" s="115">
        <v>112.9</v>
      </c>
      <c r="Q151" s="116">
        <v>2279</v>
      </c>
      <c r="R151" s="102">
        <v>110391</v>
      </c>
      <c r="S151" s="230">
        <v>0.32</v>
      </c>
      <c r="T151" s="115">
        <v>107</v>
      </c>
      <c r="U151" s="109">
        <v>5612.0268999999998</v>
      </c>
      <c r="V151" s="118">
        <v>28.1</v>
      </c>
      <c r="W151" s="119">
        <v>12.068</v>
      </c>
      <c r="X151" s="121">
        <v>407</v>
      </c>
      <c r="Y151" s="108">
        <v>34.700000000000003</v>
      </c>
      <c r="Z151" s="119">
        <v>5612.03</v>
      </c>
      <c r="AA151" s="96">
        <v>152.24299999999999</v>
      </c>
      <c r="AB151" s="94">
        <v>107.539</v>
      </c>
      <c r="AC151" s="94">
        <v>15.3</v>
      </c>
      <c r="AD151" s="96">
        <v>70.778999999999996</v>
      </c>
    </row>
    <row r="152" spans="1:30">
      <c r="A152" s="109">
        <v>14</v>
      </c>
      <c r="B152" s="110" t="s">
        <v>27</v>
      </c>
      <c r="C152" s="110" t="s">
        <v>26</v>
      </c>
      <c r="D152" s="111">
        <v>2017</v>
      </c>
      <c r="E152" s="109">
        <v>38.4</v>
      </c>
      <c r="F152" s="93">
        <v>-8.6448</v>
      </c>
      <c r="G152" s="93">
        <v>-12000000000</v>
      </c>
      <c r="H152" s="94">
        <v>13628.4</v>
      </c>
      <c r="I152" s="96">
        <v>0.43</v>
      </c>
      <c r="J152" s="109">
        <v>13.926</v>
      </c>
      <c r="K152" s="112">
        <v>0.88939999999999997</v>
      </c>
      <c r="L152" s="109">
        <v>390</v>
      </c>
      <c r="M152" s="93">
        <v>35</v>
      </c>
      <c r="N152" s="114">
        <v>84.2</v>
      </c>
      <c r="O152" s="112">
        <v>6.7</v>
      </c>
      <c r="P152" s="115">
        <v>61.9</v>
      </c>
      <c r="Q152" s="116">
        <v>2797</v>
      </c>
      <c r="R152" s="102">
        <v>114922</v>
      </c>
      <c r="S152" s="230">
        <v>0.1</v>
      </c>
      <c r="T152" s="115">
        <v>109</v>
      </c>
      <c r="U152" s="109">
        <v>5472.4209000000001</v>
      </c>
      <c r="V152" s="118">
        <v>29.6</v>
      </c>
      <c r="W152" s="119">
        <v>13.926</v>
      </c>
      <c r="X152" s="121">
        <v>390</v>
      </c>
      <c r="Y152" s="108">
        <v>35</v>
      </c>
      <c r="Z152" s="119">
        <v>5472.42</v>
      </c>
      <c r="AA152" s="96">
        <v>154.65100000000001</v>
      </c>
      <c r="AB152" s="94">
        <v>107.254</v>
      </c>
      <c r="AC152" s="94">
        <v>14.6</v>
      </c>
      <c r="AD152" s="96">
        <v>71.061999999999998</v>
      </c>
    </row>
    <row r="153" spans="1:30">
      <c r="A153" s="109">
        <v>14</v>
      </c>
      <c r="B153" s="110" t="s">
        <v>27</v>
      </c>
      <c r="C153" s="110" t="s">
        <v>26</v>
      </c>
      <c r="D153" s="111">
        <v>2018</v>
      </c>
      <c r="E153" s="109">
        <v>38.4</v>
      </c>
      <c r="F153" s="93">
        <v>-40.262900000000002</v>
      </c>
      <c r="G153" s="93">
        <v>-65000000000</v>
      </c>
      <c r="H153" s="94">
        <v>14377.4</v>
      </c>
      <c r="I153" s="96">
        <v>0.43</v>
      </c>
      <c r="J153" s="109">
        <v>15.906000000000001</v>
      </c>
      <c r="K153" s="112">
        <v>0.81920000000000004</v>
      </c>
      <c r="L153" s="109">
        <v>398</v>
      </c>
      <c r="M153" s="93">
        <v>37.400002000000001</v>
      </c>
      <c r="N153" s="114">
        <v>83.5</v>
      </c>
      <c r="O153" s="112">
        <v>6.9</v>
      </c>
      <c r="P153" s="115">
        <v>18</v>
      </c>
      <c r="Q153" s="116">
        <v>3391</v>
      </c>
      <c r="R153" s="102">
        <v>119781</v>
      </c>
      <c r="S153" s="230">
        <v>0.2</v>
      </c>
      <c r="T153" s="115">
        <v>113</v>
      </c>
      <c r="U153" s="109">
        <v>5177.5141999999996</v>
      </c>
      <c r="V153" s="118">
        <v>29.5</v>
      </c>
      <c r="W153" s="119">
        <v>15.906000000000001</v>
      </c>
      <c r="X153" s="121">
        <v>398</v>
      </c>
      <c r="Y153" s="108">
        <v>37.4</v>
      </c>
      <c r="Z153" s="119">
        <v>5177.51</v>
      </c>
      <c r="AA153" s="96">
        <v>152.863</v>
      </c>
      <c r="AB153" s="94">
        <v>107.11799999999999</v>
      </c>
      <c r="AC153" s="94">
        <v>13.6</v>
      </c>
      <c r="AD153" s="96">
        <v>71.350999999999999</v>
      </c>
    </row>
    <row r="154" spans="1:30">
      <c r="A154" s="109">
        <v>14</v>
      </c>
      <c r="B154" s="110" t="s">
        <v>27</v>
      </c>
      <c r="C154" s="110" t="s">
        <v>26</v>
      </c>
      <c r="D154" s="111">
        <v>2019</v>
      </c>
      <c r="E154" s="109">
        <v>39.200000000000003</v>
      </c>
      <c r="F154" s="93">
        <v>59.910400000000003</v>
      </c>
      <c r="G154" s="93">
        <v>98000000000</v>
      </c>
      <c r="H154" s="94">
        <v>15083.6</v>
      </c>
      <c r="I154" s="96">
        <v>0.44</v>
      </c>
      <c r="J154" s="109">
        <v>16.698</v>
      </c>
      <c r="K154" s="112">
        <v>0.82740000000000002</v>
      </c>
      <c r="L154" s="109">
        <v>409</v>
      </c>
      <c r="M154" s="93">
        <v>35.900002000000001</v>
      </c>
      <c r="N154" s="114">
        <v>83.7</v>
      </c>
      <c r="O154" s="112">
        <v>5.5</v>
      </c>
      <c r="P154" s="115">
        <v>7.2</v>
      </c>
      <c r="Q154" s="116">
        <v>2702</v>
      </c>
      <c r="R154" s="102">
        <v>109768</v>
      </c>
      <c r="S154" s="230">
        <v>0.31</v>
      </c>
      <c r="T154" s="115">
        <v>113</v>
      </c>
      <c r="U154" s="109">
        <v>4882.6073999999999</v>
      </c>
      <c r="V154" s="118">
        <v>27.1</v>
      </c>
      <c r="W154" s="119">
        <v>16.698</v>
      </c>
      <c r="X154" s="121">
        <v>409</v>
      </c>
      <c r="Y154" s="108">
        <v>35.9</v>
      </c>
      <c r="Z154" s="119">
        <v>0</v>
      </c>
      <c r="AA154" s="96">
        <v>148.99700000000001</v>
      </c>
      <c r="AB154" s="94">
        <v>107.069</v>
      </c>
      <c r="AC154" s="94">
        <v>13.6</v>
      </c>
      <c r="AD154" s="96">
        <v>71.644000000000005</v>
      </c>
    </row>
    <row r="155" spans="1:30">
      <c r="A155" s="109">
        <v>14</v>
      </c>
      <c r="B155" s="110" t="s">
        <v>27</v>
      </c>
      <c r="C155" s="110" t="s">
        <v>26</v>
      </c>
      <c r="D155" s="111">
        <v>2020</v>
      </c>
      <c r="E155" s="109">
        <v>39.9</v>
      </c>
      <c r="F155" s="93">
        <v>106.428</v>
      </c>
      <c r="G155" s="93">
        <v>170000000000</v>
      </c>
      <c r="H155" s="94">
        <v>14437.8</v>
      </c>
      <c r="I155" s="96">
        <v>0.47</v>
      </c>
      <c r="J155" s="109">
        <v>14.297000000000001</v>
      </c>
      <c r="K155" s="112">
        <v>0.91420000000000001</v>
      </c>
      <c r="L155" s="109">
        <v>424</v>
      </c>
      <c r="M155" s="93">
        <v>32</v>
      </c>
      <c r="N155" s="114">
        <v>81.900000000000006</v>
      </c>
      <c r="O155" s="112">
        <v>5.0999999999999996</v>
      </c>
      <c r="P155" s="115">
        <v>648.1</v>
      </c>
      <c r="Q155" s="116">
        <v>2510</v>
      </c>
      <c r="R155" s="102">
        <v>105907</v>
      </c>
      <c r="S155" s="230">
        <v>0</v>
      </c>
      <c r="T155" s="115">
        <v>111</v>
      </c>
      <c r="U155" s="109">
        <v>4587.7007000000003</v>
      </c>
      <c r="V155" s="118">
        <v>26.8</v>
      </c>
      <c r="W155" s="119">
        <v>14.297000000000001</v>
      </c>
      <c r="X155" s="121">
        <v>424</v>
      </c>
      <c r="Y155" s="108">
        <v>32</v>
      </c>
      <c r="Z155" s="119">
        <v>0</v>
      </c>
      <c r="AA155" s="96">
        <v>150.471</v>
      </c>
      <c r="AB155" s="94">
        <v>106.839</v>
      </c>
      <c r="AC155" s="94">
        <v>14.8</v>
      </c>
      <c r="AD155" s="96">
        <v>71.941999999999993</v>
      </c>
    </row>
    <row r="156" spans="1:30">
      <c r="A156" s="109">
        <v>15</v>
      </c>
      <c r="B156" s="110" t="s">
        <v>25</v>
      </c>
      <c r="C156" s="110" t="s">
        <v>24</v>
      </c>
      <c r="D156" s="111">
        <v>2010</v>
      </c>
      <c r="E156" s="109">
        <v>18.5</v>
      </c>
      <c r="F156" s="93">
        <v>17.004899999999999</v>
      </c>
      <c r="G156" s="93">
        <v>38000000000</v>
      </c>
      <c r="H156" s="94">
        <v>47040.4</v>
      </c>
      <c r="I156" s="96">
        <v>0.73</v>
      </c>
      <c r="J156" s="109">
        <v>16.177</v>
      </c>
      <c r="K156" s="112">
        <v>1.7444</v>
      </c>
      <c r="L156" s="109">
        <v>461</v>
      </c>
      <c r="M156" s="93">
        <v>35.700001</v>
      </c>
      <c r="N156" s="114">
        <v>80.3</v>
      </c>
      <c r="O156" s="112">
        <v>1.9</v>
      </c>
      <c r="P156" s="115">
        <v>185.4</v>
      </c>
      <c r="Q156" s="116">
        <v>10761</v>
      </c>
      <c r="R156" s="102">
        <v>22354</v>
      </c>
      <c r="S156" s="230">
        <v>0.46</v>
      </c>
      <c r="T156" s="115">
        <v>100</v>
      </c>
      <c r="U156" s="109">
        <v>11844.579</v>
      </c>
      <c r="V156" s="118">
        <v>28.5</v>
      </c>
      <c r="W156" s="119">
        <v>16.177</v>
      </c>
      <c r="X156" s="121">
        <v>461</v>
      </c>
      <c r="Y156" s="108">
        <v>35.700000000000003</v>
      </c>
      <c r="Z156" s="119">
        <v>11844.6</v>
      </c>
      <c r="AA156" s="96">
        <v>79.632599999999996</v>
      </c>
      <c r="AB156" s="94">
        <v>66.194699999999997</v>
      </c>
      <c r="AC156" s="94">
        <v>5.3</v>
      </c>
      <c r="AD156" s="96">
        <v>61.542000000000002</v>
      </c>
    </row>
    <row r="157" spans="1:30">
      <c r="A157" s="109">
        <v>15</v>
      </c>
      <c r="B157" s="110" t="s">
        <v>25</v>
      </c>
      <c r="C157" s="110" t="s">
        <v>24</v>
      </c>
      <c r="D157" s="111">
        <v>2011</v>
      </c>
      <c r="E157" s="109">
        <v>18.5</v>
      </c>
      <c r="F157" s="93">
        <v>9.8200099999999999</v>
      </c>
      <c r="G157" s="93">
        <v>24000000000</v>
      </c>
      <c r="H157" s="94">
        <v>47607.9</v>
      </c>
      <c r="I157" s="96">
        <v>0.66</v>
      </c>
      <c r="J157" s="109">
        <v>15.039</v>
      </c>
      <c r="K157" s="112">
        <v>2.0495000000000001</v>
      </c>
      <c r="L157" s="109">
        <v>468</v>
      </c>
      <c r="M157" s="93">
        <v>36.099997999999999</v>
      </c>
      <c r="N157" s="114">
        <v>82.1</v>
      </c>
      <c r="O157" s="112">
        <v>2.2000000000000002</v>
      </c>
      <c r="P157" s="115">
        <v>14.2</v>
      </c>
      <c r="Q157" s="116">
        <v>10647</v>
      </c>
      <c r="R157" s="102">
        <v>22818</v>
      </c>
      <c r="S157" s="230">
        <v>0.82</v>
      </c>
      <c r="T157" s="115">
        <v>104</v>
      </c>
      <c r="U157" s="109">
        <v>11850.786</v>
      </c>
      <c r="V157" s="118">
        <v>31.3</v>
      </c>
      <c r="W157" s="119">
        <v>15.039</v>
      </c>
      <c r="X157" s="121">
        <v>468</v>
      </c>
      <c r="Y157" s="108">
        <v>36.1</v>
      </c>
      <c r="Z157" s="119">
        <v>11850.8</v>
      </c>
      <c r="AA157" s="96">
        <v>79.700100000000006</v>
      </c>
      <c r="AB157" s="94">
        <v>66.483999999999995</v>
      </c>
      <c r="AC157" s="94">
        <v>7</v>
      </c>
      <c r="AD157" s="96">
        <v>61.741999999999997</v>
      </c>
    </row>
    <row r="158" spans="1:30">
      <c r="A158" s="109">
        <v>15</v>
      </c>
      <c r="B158" s="110" t="s">
        <v>25</v>
      </c>
      <c r="C158" s="110" t="s">
        <v>24</v>
      </c>
      <c r="D158" s="111">
        <v>2012</v>
      </c>
      <c r="E158" s="109">
        <v>20.5</v>
      </c>
      <c r="F158" s="93">
        <v>25.56</v>
      </c>
      <c r="G158" s="93">
        <v>58000000000</v>
      </c>
      <c r="H158" s="94">
        <v>47217.4</v>
      </c>
      <c r="I158" s="96">
        <v>0.68</v>
      </c>
      <c r="J158" s="109">
        <v>15.635</v>
      </c>
      <c r="K158" s="112">
        <v>2.0381</v>
      </c>
      <c r="L158" s="109">
        <v>457</v>
      </c>
      <c r="M158" s="93">
        <v>36.599997999999999</v>
      </c>
      <c r="N158" s="114">
        <v>83.4</v>
      </c>
      <c r="O158" s="112">
        <v>1.9</v>
      </c>
      <c r="P158" s="115">
        <v>2.2999999999999998</v>
      </c>
      <c r="Q158" s="116">
        <v>10676</v>
      </c>
      <c r="R158" s="102">
        <v>23458</v>
      </c>
      <c r="S158" s="230">
        <v>0.3</v>
      </c>
      <c r="T158" s="115">
        <v>105</v>
      </c>
      <c r="U158" s="109">
        <v>11901.032999999999</v>
      </c>
      <c r="V158" s="118">
        <v>30.9</v>
      </c>
      <c r="W158" s="119">
        <v>15.635</v>
      </c>
      <c r="X158" s="121">
        <v>457</v>
      </c>
      <c r="Y158" s="108">
        <v>36.6</v>
      </c>
      <c r="Z158" s="119">
        <v>11901</v>
      </c>
      <c r="AA158" s="96">
        <v>78.999099999999999</v>
      </c>
      <c r="AB158" s="94">
        <v>66.766300000000001</v>
      </c>
      <c r="AC158" s="94">
        <v>6.9</v>
      </c>
      <c r="AD158" s="96">
        <v>61.942</v>
      </c>
    </row>
    <row r="159" spans="1:30">
      <c r="A159" s="109">
        <v>15</v>
      </c>
      <c r="B159" s="110" t="s">
        <v>25</v>
      </c>
      <c r="C159" s="110" t="s">
        <v>24</v>
      </c>
      <c r="D159" s="111">
        <v>2013</v>
      </c>
      <c r="E159" s="109">
        <v>20.5</v>
      </c>
      <c r="F159" s="93">
        <v>29.815000000000001</v>
      </c>
      <c r="G159" s="93">
        <v>73000000000</v>
      </c>
      <c r="H159" s="94">
        <v>47999.1</v>
      </c>
      <c r="I159" s="96">
        <v>0.71</v>
      </c>
      <c r="J159" s="109">
        <v>17.295000000000002</v>
      </c>
      <c r="K159" s="112">
        <v>1.9456</v>
      </c>
      <c r="L159" s="109">
        <v>454</v>
      </c>
      <c r="M159" s="93">
        <v>38.199998999999998</v>
      </c>
      <c r="N159" s="114">
        <v>83.3</v>
      </c>
      <c r="O159" s="112">
        <v>1.9</v>
      </c>
      <c r="P159" s="115">
        <v>19.100000000000001</v>
      </c>
      <c r="Q159" s="116">
        <v>10732</v>
      </c>
      <c r="R159" s="102">
        <v>24219</v>
      </c>
      <c r="S159" s="230">
        <v>0.53</v>
      </c>
      <c r="T159" s="115">
        <v>102</v>
      </c>
      <c r="U159" s="109">
        <v>12312.768</v>
      </c>
      <c r="V159" s="118">
        <v>30.9</v>
      </c>
      <c r="W159" s="119">
        <v>17.295000000000002</v>
      </c>
      <c r="X159" s="121">
        <v>454</v>
      </c>
      <c r="Y159" s="108"/>
      <c r="Z159" s="119">
        <v>12312.8</v>
      </c>
      <c r="AA159" s="96">
        <v>77.587299999999999</v>
      </c>
      <c r="AB159" s="94">
        <v>67.118799999999993</v>
      </c>
      <c r="AC159" s="94">
        <v>7.7</v>
      </c>
      <c r="AD159" s="96">
        <v>62.140999999999998</v>
      </c>
    </row>
    <row r="160" spans="1:30">
      <c r="A160" s="109">
        <v>15</v>
      </c>
      <c r="B160" s="110" t="s">
        <v>25</v>
      </c>
      <c r="C160" s="110" t="s">
        <v>24</v>
      </c>
      <c r="D160" s="111">
        <v>2014</v>
      </c>
      <c r="E160" s="109">
        <v>20.2</v>
      </c>
      <c r="F160" s="93">
        <v>39.321199999999997</v>
      </c>
      <c r="G160" s="93">
        <v>100000000000</v>
      </c>
      <c r="H160" s="94">
        <v>52098.1</v>
      </c>
      <c r="I160" s="96">
        <v>0.7</v>
      </c>
      <c r="J160" s="109">
        <v>16.541</v>
      </c>
      <c r="K160" s="112">
        <v>2.1812999999999998</v>
      </c>
      <c r="L160" s="109">
        <v>430</v>
      </c>
      <c r="M160" s="93">
        <v>39.799999</v>
      </c>
      <c r="N160" s="114">
        <v>83.7</v>
      </c>
      <c r="O160" s="112">
        <v>2.2000000000000002</v>
      </c>
      <c r="P160" s="115">
        <v>128.80000000000001</v>
      </c>
      <c r="Q160" s="116">
        <v>10702</v>
      </c>
      <c r="R160" s="102">
        <v>26019</v>
      </c>
      <c r="S160" s="230">
        <v>0.83</v>
      </c>
      <c r="T160" s="115">
        <v>108</v>
      </c>
      <c r="U160" s="109">
        <v>13099.977999999999</v>
      </c>
      <c r="V160" s="118">
        <v>31.1</v>
      </c>
      <c r="W160" s="119">
        <v>16.541</v>
      </c>
      <c r="X160" s="121">
        <v>430</v>
      </c>
      <c r="Y160" s="108">
        <v>39.799999999999997</v>
      </c>
      <c r="Z160" s="119">
        <v>13100</v>
      </c>
      <c r="AA160" s="96">
        <v>76.117999999999995</v>
      </c>
      <c r="AB160" s="94">
        <v>67.6113</v>
      </c>
      <c r="AC160" s="94">
        <v>8.8000000000000007</v>
      </c>
      <c r="AD160" s="96">
        <v>62.34</v>
      </c>
    </row>
    <row r="161" spans="1:30">
      <c r="A161" s="109">
        <v>15</v>
      </c>
      <c r="B161" s="110" t="s">
        <v>25</v>
      </c>
      <c r="C161" s="110" t="s">
        <v>24</v>
      </c>
      <c r="D161" s="111">
        <v>2015</v>
      </c>
      <c r="E161" s="109">
        <v>21</v>
      </c>
      <c r="F161" s="93">
        <v>74.745199999999997</v>
      </c>
      <c r="G161" s="93">
        <v>230000000000</v>
      </c>
      <c r="H161" s="94">
        <v>64311.8</v>
      </c>
      <c r="I161" s="96">
        <v>0.67</v>
      </c>
      <c r="J161" s="109">
        <v>13.846</v>
      </c>
      <c r="K161" s="112">
        <v>2.6347</v>
      </c>
      <c r="L161" s="109">
        <v>403</v>
      </c>
      <c r="M161" s="93">
        <v>40.25</v>
      </c>
      <c r="N161" s="114">
        <v>83.2</v>
      </c>
      <c r="O161" s="112">
        <v>2.1</v>
      </c>
      <c r="P161" s="115">
        <v>127</v>
      </c>
      <c r="Q161" s="116">
        <v>10955</v>
      </c>
      <c r="R161" s="102">
        <v>27163</v>
      </c>
      <c r="S161" s="230">
        <v>0.31</v>
      </c>
      <c r="T161" s="115">
        <v>104</v>
      </c>
      <c r="U161" s="109">
        <v>13499.369000000001</v>
      </c>
      <c r="V161" s="118">
        <v>32.1</v>
      </c>
      <c r="W161" s="119">
        <v>13.846</v>
      </c>
      <c r="X161" s="121">
        <v>403</v>
      </c>
      <c r="Y161" s="108"/>
      <c r="Z161" s="119">
        <v>13499.4</v>
      </c>
      <c r="AA161" s="96">
        <v>66.251199999999997</v>
      </c>
      <c r="AB161" s="94">
        <v>68.253100000000003</v>
      </c>
      <c r="AC161" s="94">
        <v>9.5</v>
      </c>
      <c r="AD161" s="96">
        <v>62.537999999999997</v>
      </c>
    </row>
    <row r="162" spans="1:30">
      <c r="A162" s="109">
        <v>15</v>
      </c>
      <c r="B162" s="110" t="s">
        <v>25</v>
      </c>
      <c r="C162" s="110" t="s">
        <v>24</v>
      </c>
      <c r="D162" s="111">
        <v>2016</v>
      </c>
      <c r="E162" s="109">
        <v>20.2</v>
      </c>
      <c r="F162" s="93">
        <v>26.099599999999999</v>
      </c>
      <c r="G162" s="93">
        <v>80000000000</v>
      </c>
      <c r="H162" s="94">
        <v>64367.4</v>
      </c>
      <c r="I162" s="96">
        <v>0.67</v>
      </c>
      <c r="J162" s="109">
        <v>16.716000000000001</v>
      </c>
      <c r="K162" s="112">
        <v>2.4965999999999999</v>
      </c>
      <c r="L162" s="109">
        <v>382</v>
      </c>
      <c r="M162" s="93">
        <v>40.700001</v>
      </c>
      <c r="N162" s="114">
        <v>85.1</v>
      </c>
      <c r="O162" s="112">
        <v>2</v>
      </c>
      <c r="P162" s="115">
        <v>88.3</v>
      </c>
      <c r="Q162" s="116">
        <v>10950</v>
      </c>
      <c r="R162" s="102">
        <v>28227</v>
      </c>
      <c r="S162" s="230">
        <v>1.04</v>
      </c>
      <c r="T162" s="115">
        <v>99</v>
      </c>
      <c r="U162" s="109">
        <v>13548.052</v>
      </c>
      <c r="V162" s="118">
        <v>29.9</v>
      </c>
      <c r="W162" s="119">
        <v>16.716000000000001</v>
      </c>
      <c r="X162" s="121">
        <v>382</v>
      </c>
      <c r="Y162" s="108">
        <v>40.700000000000003</v>
      </c>
      <c r="Z162" s="119">
        <v>13548.1</v>
      </c>
      <c r="AA162" s="96">
        <v>69.357500000000002</v>
      </c>
      <c r="AB162" s="94">
        <v>69.027900000000002</v>
      </c>
      <c r="AC162" s="94">
        <v>8.6</v>
      </c>
      <c r="AD162" s="96">
        <v>62.737000000000002</v>
      </c>
    </row>
    <row r="163" spans="1:30">
      <c r="A163" s="109">
        <v>15</v>
      </c>
      <c r="B163" s="110" t="s">
        <v>25</v>
      </c>
      <c r="C163" s="110" t="s">
        <v>24</v>
      </c>
      <c r="D163" s="111">
        <v>2017</v>
      </c>
      <c r="E163" s="109">
        <v>21</v>
      </c>
      <c r="F163" s="93">
        <v>20.406700000000001</v>
      </c>
      <c r="G163" s="93">
        <v>71000000000</v>
      </c>
      <c r="H163" s="94">
        <v>70069.100000000006</v>
      </c>
      <c r="I163" s="96">
        <v>0.69</v>
      </c>
      <c r="J163" s="109">
        <v>17.326000000000001</v>
      </c>
      <c r="K163" s="112">
        <v>2.593</v>
      </c>
      <c r="L163" s="109">
        <v>402</v>
      </c>
      <c r="M163" s="93">
        <v>40.400002000000001</v>
      </c>
      <c r="N163" s="114">
        <v>83.8</v>
      </c>
      <c r="O163" s="112">
        <v>1.9</v>
      </c>
      <c r="P163" s="115">
        <v>21.3</v>
      </c>
      <c r="Q163" s="116">
        <v>11210</v>
      </c>
      <c r="R163" s="102">
        <v>30489</v>
      </c>
      <c r="S163" s="230">
        <v>0.78</v>
      </c>
      <c r="T163" s="115">
        <v>105</v>
      </c>
      <c r="U163" s="109">
        <v>12963.296</v>
      </c>
      <c r="V163" s="118">
        <v>29.8</v>
      </c>
      <c r="W163" s="119">
        <v>17.326000000000001</v>
      </c>
      <c r="X163" s="121">
        <v>402</v>
      </c>
      <c r="Y163" s="108">
        <v>40.4</v>
      </c>
      <c r="Z163" s="119">
        <v>12963.3</v>
      </c>
      <c r="AA163" s="96">
        <v>66.150800000000004</v>
      </c>
      <c r="AB163" s="94">
        <v>69.783500000000004</v>
      </c>
      <c r="AC163" s="94">
        <v>10.1</v>
      </c>
      <c r="AD163" s="96">
        <v>62.947000000000003</v>
      </c>
    </row>
    <row r="164" spans="1:30">
      <c r="A164" s="109">
        <v>15</v>
      </c>
      <c r="B164" s="110" t="s">
        <v>25</v>
      </c>
      <c r="C164" s="110" t="s">
        <v>24</v>
      </c>
      <c r="D164" s="111">
        <v>2018</v>
      </c>
      <c r="E164" s="109">
        <v>21.3</v>
      </c>
      <c r="F164" s="93">
        <v>20.3766</v>
      </c>
      <c r="G164" s="93">
        <v>81000000000</v>
      </c>
      <c r="H164" s="94">
        <v>74427.600000000006</v>
      </c>
      <c r="I164" s="96">
        <v>0.67</v>
      </c>
      <c r="J164" s="109">
        <v>17.277000000000001</v>
      </c>
      <c r="K164" s="112">
        <v>2.6223999999999998</v>
      </c>
      <c r="L164" s="109">
        <v>379</v>
      </c>
      <c r="M164" s="93">
        <v>37.700001</v>
      </c>
      <c r="N164" s="114">
        <v>82.9</v>
      </c>
      <c r="O164" s="112">
        <v>1.9</v>
      </c>
      <c r="P164" s="115">
        <v>8.9</v>
      </c>
      <c r="Q164" s="116">
        <v>11297</v>
      </c>
      <c r="R164" s="102">
        <v>30721</v>
      </c>
      <c r="S164" s="230">
        <v>0.38</v>
      </c>
      <c r="T164" s="115">
        <v>99</v>
      </c>
      <c r="U164" s="109">
        <v>10273.424000000001</v>
      </c>
      <c r="V164" s="118">
        <v>30.7</v>
      </c>
      <c r="W164" s="119">
        <v>17.277000000000001</v>
      </c>
      <c r="X164" s="121">
        <v>379</v>
      </c>
      <c r="Y164" s="108">
        <v>37.700000000000003</v>
      </c>
      <c r="Z164" s="119">
        <v>10273.4</v>
      </c>
      <c r="AA164" s="96">
        <v>68.897499999999994</v>
      </c>
      <c r="AB164" s="94">
        <v>70.653499999999994</v>
      </c>
      <c r="AC164" s="94">
        <v>10.8</v>
      </c>
      <c r="AD164" s="96">
        <v>63.17</v>
      </c>
    </row>
    <row r="165" spans="1:30">
      <c r="A165" s="109">
        <v>15</v>
      </c>
      <c r="B165" s="110" t="s">
        <v>25</v>
      </c>
      <c r="C165" s="110" t="s">
        <v>24</v>
      </c>
      <c r="D165" s="111">
        <v>2019</v>
      </c>
      <c r="E165" s="109">
        <v>22</v>
      </c>
      <c r="F165" s="93">
        <v>7.6763199999999996</v>
      </c>
      <c r="G165" s="93">
        <v>31000000000</v>
      </c>
      <c r="H165" s="94">
        <v>77117.2</v>
      </c>
      <c r="I165" s="96">
        <v>0.66</v>
      </c>
      <c r="J165" s="109">
        <v>21.285</v>
      </c>
      <c r="K165" s="112">
        <v>2.6993</v>
      </c>
      <c r="L165" s="109">
        <v>386</v>
      </c>
      <c r="M165" s="93">
        <v>37.400002000000001</v>
      </c>
      <c r="N165" s="114">
        <v>84.9</v>
      </c>
      <c r="O165" s="112">
        <v>1.8</v>
      </c>
      <c r="P165" s="115">
        <v>4.4000000000000004</v>
      </c>
      <c r="Q165" s="116">
        <v>11692</v>
      </c>
      <c r="R165" s="102">
        <v>32165</v>
      </c>
      <c r="S165" s="230">
        <v>1.1000000000000001</v>
      </c>
      <c r="T165" s="115">
        <v>95</v>
      </c>
      <c r="U165" s="109">
        <v>7583.5518000000002</v>
      </c>
      <c r="V165" s="118">
        <v>28.6</v>
      </c>
      <c r="W165" s="119">
        <v>21.285</v>
      </c>
      <c r="X165" s="121">
        <v>386</v>
      </c>
      <c r="Y165" s="108">
        <v>37.4</v>
      </c>
      <c r="Z165" s="119">
        <v>0</v>
      </c>
      <c r="AA165" s="96">
        <v>66.497799999999998</v>
      </c>
      <c r="AB165" s="94">
        <v>71.626400000000004</v>
      </c>
      <c r="AC165" s="94">
        <v>12.3</v>
      </c>
      <c r="AD165" s="96">
        <v>63.405000000000001</v>
      </c>
    </row>
    <row r="166" spans="1:30">
      <c r="A166" s="109">
        <v>15</v>
      </c>
      <c r="B166" s="110" t="s">
        <v>25</v>
      </c>
      <c r="C166" s="110" t="s">
        <v>24</v>
      </c>
      <c r="D166" s="111">
        <v>2020</v>
      </c>
      <c r="E166" s="109">
        <v>22.6</v>
      </c>
      <c r="F166" s="93">
        <v>8.0833300000000001</v>
      </c>
      <c r="G166" s="93">
        <v>35000000000</v>
      </c>
      <c r="H166" s="94">
        <v>81791.100000000006</v>
      </c>
      <c r="I166" s="96">
        <v>0.64</v>
      </c>
      <c r="J166" s="109">
        <v>18.585999999999999</v>
      </c>
      <c r="K166" s="112">
        <v>3.0655999999999999</v>
      </c>
      <c r="L166" s="109">
        <v>379</v>
      </c>
      <c r="M166" s="93">
        <v>40.799999</v>
      </c>
      <c r="N166" s="114">
        <v>84.8</v>
      </c>
      <c r="O166" s="112">
        <v>1.8</v>
      </c>
      <c r="P166" s="115">
        <v>442.7</v>
      </c>
      <c r="Q166" s="116">
        <v>11866</v>
      </c>
      <c r="R166" s="102">
        <v>33250</v>
      </c>
      <c r="S166" s="230">
        <v>0.77</v>
      </c>
      <c r="T166" s="115">
        <v>84</v>
      </c>
      <c r="U166" s="109">
        <v>4893.6796999999997</v>
      </c>
      <c r="V166" s="118">
        <v>29.3</v>
      </c>
      <c r="W166" s="119">
        <v>18.585999999999999</v>
      </c>
      <c r="X166" s="121">
        <v>379</v>
      </c>
      <c r="Y166" s="108">
        <v>40.799999999999997</v>
      </c>
      <c r="Z166" s="119">
        <v>0</v>
      </c>
      <c r="AA166" s="96">
        <v>64.121700000000004</v>
      </c>
      <c r="AB166" s="94">
        <v>72.3673</v>
      </c>
      <c r="AC166" s="94">
        <v>13.7</v>
      </c>
      <c r="AD166" s="96">
        <v>63.652999999999999</v>
      </c>
    </row>
    <row r="167" spans="1:30">
      <c r="A167" s="109">
        <v>16</v>
      </c>
      <c r="B167" s="110" t="s">
        <v>23</v>
      </c>
      <c r="C167" s="110" t="s">
        <v>22</v>
      </c>
      <c r="D167" s="111">
        <v>2010</v>
      </c>
      <c r="E167" s="109">
        <v>15.5</v>
      </c>
      <c r="F167" s="93">
        <v>0.462974</v>
      </c>
      <c r="G167" s="93">
        <v>9900000000</v>
      </c>
      <c r="H167" s="94">
        <v>32220.5</v>
      </c>
      <c r="I167" s="96">
        <v>0.76</v>
      </c>
      <c r="J167" s="109">
        <v>15.068</v>
      </c>
      <c r="K167" s="112">
        <v>2.4975000000000001</v>
      </c>
      <c r="L167" s="109">
        <v>730</v>
      </c>
      <c r="M167" s="93">
        <v>31</v>
      </c>
      <c r="N167" s="114">
        <v>86.2</v>
      </c>
      <c r="O167" s="112">
        <v>11.6</v>
      </c>
      <c r="P167" s="115">
        <v>11746.9</v>
      </c>
      <c r="Q167" s="116">
        <v>29708</v>
      </c>
      <c r="R167" s="102">
        <v>576050</v>
      </c>
      <c r="S167" s="230">
        <v>0.48</v>
      </c>
      <c r="T167" s="115">
        <v>100</v>
      </c>
      <c r="U167" s="109">
        <v>6411.5766999999996</v>
      </c>
      <c r="V167" s="118">
        <v>41.7</v>
      </c>
      <c r="W167" s="119">
        <v>15.068</v>
      </c>
      <c r="X167" s="121">
        <v>730</v>
      </c>
      <c r="Y167" s="108">
        <v>31</v>
      </c>
      <c r="Z167" s="119">
        <v>6411.58</v>
      </c>
      <c r="AA167" s="96">
        <v>43.560699999999997</v>
      </c>
      <c r="AB167" s="94">
        <v>200.453</v>
      </c>
      <c r="AC167" s="94">
        <v>12.8</v>
      </c>
      <c r="AD167" s="96">
        <v>68.326999999999998</v>
      </c>
    </row>
    <row r="168" spans="1:30">
      <c r="A168" s="109">
        <v>16</v>
      </c>
      <c r="B168" s="110" t="s">
        <v>23</v>
      </c>
      <c r="C168" s="110" t="s">
        <v>22</v>
      </c>
      <c r="D168" s="111">
        <v>2011</v>
      </c>
      <c r="E168" s="109">
        <v>15.5</v>
      </c>
      <c r="F168" s="93">
        <v>1.49397</v>
      </c>
      <c r="G168" s="93">
        <v>34000000000</v>
      </c>
      <c r="H168" s="94">
        <v>32388.799999999999</v>
      </c>
      <c r="I168" s="96">
        <v>0.74</v>
      </c>
      <c r="J168" s="109">
        <v>15.186</v>
      </c>
      <c r="K168" s="112">
        <v>2.4862000000000002</v>
      </c>
      <c r="L168" s="109">
        <v>737</v>
      </c>
      <c r="M168" s="93">
        <v>35.5</v>
      </c>
      <c r="N168" s="114">
        <v>93.1</v>
      </c>
      <c r="O168" s="112">
        <v>11.6</v>
      </c>
      <c r="P168" s="115">
        <v>17080.5</v>
      </c>
      <c r="Q168" s="116">
        <v>29112</v>
      </c>
      <c r="R168" s="102">
        <v>560435</v>
      </c>
      <c r="S168" s="230">
        <v>0.5</v>
      </c>
      <c r="T168" s="115">
        <v>99</v>
      </c>
      <c r="U168" s="109">
        <v>5861.2676000000001</v>
      </c>
      <c r="V168" s="118">
        <v>40.5</v>
      </c>
      <c r="W168" s="119">
        <v>15.186</v>
      </c>
      <c r="X168" s="121">
        <v>737</v>
      </c>
      <c r="Y168" s="108">
        <v>35.5</v>
      </c>
      <c r="Z168" s="119">
        <v>5861.27</v>
      </c>
      <c r="AA168" s="96">
        <v>46.903199999999998</v>
      </c>
      <c r="AB168" s="94">
        <v>200.798</v>
      </c>
      <c r="AC168" s="94">
        <v>11.9</v>
      </c>
      <c r="AD168" s="96">
        <v>68.444000000000003</v>
      </c>
    </row>
    <row r="169" spans="1:30">
      <c r="A169" s="109">
        <v>16</v>
      </c>
      <c r="B169" s="110" t="s">
        <v>23</v>
      </c>
      <c r="C169" s="110" t="s">
        <v>22</v>
      </c>
      <c r="D169" s="111">
        <v>2012</v>
      </c>
      <c r="E169" s="109">
        <v>17</v>
      </c>
      <c r="F169" s="93">
        <v>1.6639999999999999E-3</v>
      </c>
      <c r="G169" s="93">
        <v>35000000</v>
      </c>
      <c r="H169" s="94">
        <v>31292.1</v>
      </c>
      <c r="I169" s="96">
        <v>0.76</v>
      </c>
      <c r="J169" s="109">
        <v>12.48</v>
      </c>
      <c r="K169" s="112">
        <v>2.827</v>
      </c>
      <c r="L169" s="109">
        <v>731</v>
      </c>
      <c r="M169" s="93">
        <v>38.400002000000001</v>
      </c>
      <c r="N169" s="114">
        <v>80</v>
      </c>
      <c r="O169" s="112">
        <v>13.9</v>
      </c>
      <c r="P169" s="115">
        <v>12917.7</v>
      </c>
      <c r="Q169" s="116">
        <v>30461</v>
      </c>
      <c r="R169" s="102">
        <v>573325</v>
      </c>
      <c r="S169" s="230">
        <v>0.56000000000000005</v>
      </c>
      <c r="T169" s="115">
        <v>97</v>
      </c>
      <c r="U169" s="109">
        <v>5547.0946999999996</v>
      </c>
      <c r="V169" s="118">
        <v>42.8</v>
      </c>
      <c r="W169" s="119">
        <v>12.48</v>
      </c>
      <c r="X169" s="121">
        <v>731</v>
      </c>
      <c r="Y169" s="108">
        <v>38.4</v>
      </c>
      <c r="Z169" s="119">
        <v>5547.09</v>
      </c>
      <c r="AA169" s="96">
        <v>47.184899999999999</v>
      </c>
      <c r="AB169" s="94">
        <v>201.34</v>
      </c>
      <c r="AC169" s="94">
        <v>14.4</v>
      </c>
      <c r="AD169" s="96">
        <v>68.683999999999997</v>
      </c>
    </row>
    <row r="170" spans="1:30">
      <c r="A170" s="109">
        <v>16</v>
      </c>
      <c r="B170" s="110" t="s">
        <v>23</v>
      </c>
      <c r="C170" s="110" t="s">
        <v>22</v>
      </c>
      <c r="D170" s="111">
        <v>2013</v>
      </c>
      <c r="E170" s="109">
        <v>17</v>
      </c>
      <c r="F170" s="93">
        <v>0.90707700000000002</v>
      </c>
      <c r="G170" s="93">
        <v>20000000000</v>
      </c>
      <c r="H170" s="94">
        <v>30369.1</v>
      </c>
      <c r="I170" s="96">
        <v>0.74</v>
      </c>
      <c r="J170" s="109">
        <v>11.032999999999999</v>
      </c>
      <c r="K170" s="112">
        <v>3.2759</v>
      </c>
      <c r="L170" s="109">
        <v>792</v>
      </c>
      <c r="M170" s="93">
        <v>39.400002000000001</v>
      </c>
      <c r="N170" s="114">
        <v>88</v>
      </c>
      <c r="O170" s="112">
        <v>16</v>
      </c>
      <c r="P170" s="115">
        <v>8994.7000000000007</v>
      </c>
      <c r="Q170" s="116">
        <v>31567</v>
      </c>
      <c r="R170" s="102">
        <v>579522</v>
      </c>
      <c r="S170" s="230">
        <v>0.45</v>
      </c>
      <c r="T170" s="115">
        <v>95</v>
      </c>
      <c r="U170" s="109">
        <v>5611.8940000000002</v>
      </c>
      <c r="V170" s="118">
        <v>46.5</v>
      </c>
      <c r="W170" s="119">
        <v>11.032999999999999</v>
      </c>
      <c r="X170" s="121">
        <v>792</v>
      </c>
      <c r="Y170" s="108">
        <v>39.4</v>
      </c>
      <c r="Z170" s="119">
        <v>5611.89</v>
      </c>
      <c r="AA170" s="96">
        <v>46.335799999999999</v>
      </c>
      <c r="AB170" s="94">
        <v>203.68700000000001</v>
      </c>
      <c r="AC170" s="94">
        <v>16.3</v>
      </c>
      <c r="AD170" s="96">
        <v>68.978999999999999</v>
      </c>
    </row>
    <row r="171" spans="1:30">
      <c r="A171" s="109">
        <v>16</v>
      </c>
      <c r="B171" s="110" t="s">
        <v>23</v>
      </c>
      <c r="C171" s="110" t="s">
        <v>22</v>
      </c>
      <c r="D171" s="111">
        <v>2014</v>
      </c>
      <c r="E171" s="109">
        <v>17.100000000000001</v>
      </c>
      <c r="F171" s="93">
        <v>0.78374299999999997</v>
      </c>
      <c r="G171" s="93">
        <v>17000000000</v>
      </c>
      <c r="H171" s="94">
        <v>30091.3</v>
      </c>
      <c r="I171" s="96">
        <v>0.76</v>
      </c>
      <c r="J171" s="109">
        <v>10.63</v>
      </c>
      <c r="K171" s="112">
        <v>3.2945000000000002</v>
      </c>
      <c r="L171" s="109">
        <v>772</v>
      </c>
      <c r="M171" s="93">
        <v>41.599997999999999</v>
      </c>
      <c r="N171" s="114">
        <v>82.3</v>
      </c>
      <c r="O171" s="112">
        <v>16.100000000000001</v>
      </c>
      <c r="P171" s="115">
        <v>8011.5</v>
      </c>
      <c r="Q171" s="116">
        <v>36383</v>
      </c>
      <c r="R171" s="102">
        <v>596574</v>
      </c>
      <c r="S171" s="230">
        <v>0.31</v>
      </c>
      <c r="T171" s="115">
        <v>102</v>
      </c>
      <c r="U171" s="109">
        <v>5580.9321</v>
      </c>
      <c r="V171" s="118">
        <v>46.5</v>
      </c>
      <c r="W171" s="119">
        <v>10.63</v>
      </c>
      <c r="X171" s="121">
        <v>772</v>
      </c>
      <c r="Y171" s="108">
        <v>41.6</v>
      </c>
      <c r="Z171" s="119">
        <v>5580.93</v>
      </c>
      <c r="AA171" s="96">
        <v>46.206800000000001</v>
      </c>
      <c r="AB171" s="94">
        <v>205.565</v>
      </c>
      <c r="AC171" s="94">
        <v>17.100000000000001</v>
      </c>
      <c r="AD171" s="96">
        <v>69.272000000000006</v>
      </c>
    </row>
    <row r="172" spans="1:30">
      <c r="A172" s="109">
        <v>16</v>
      </c>
      <c r="B172" s="110" t="s">
        <v>23</v>
      </c>
      <c r="C172" s="110" t="s">
        <v>22</v>
      </c>
      <c r="D172" s="111">
        <v>2015</v>
      </c>
      <c r="E172" s="109">
        <v>17.899999999999999</v>
      </c>
      <c r="F172" s="93">
        <v>0.72088600000000003</v>
      </c>
      <c r="G172" s="93">
        <v>13000000000</v>
      </c>
      <c r="H172" s="94">
        <v>30387.1</v>
      </c>
      <c r="I172" s="96">
        <v>0.78</v>
      </c>
      <c r="J172" s="109">
        <v>10.603999999999999</v>
      </c>
      <c r="K172" s="112">
        <v>3.4283999999999999</v>
      </c>
      <c r="L172" s="109">
        <v>718</v>
      </c>
      <c r="M172" s="93">
        <v>44.299999</v>
      </c>
      <c r="N172" s="114">
        <v>85.7</v>
      </c>
      <c r="O172" s="112">
        <v>17.2</v>
      </c>
      <c r="P172" s="115">
        <v>10095.6</v>
      </c>
      <c r="Q172" s="116">
        <v>37476</v>
      </c>
      <c r="R172" s="102">
        <v>603247</v>
      </c>
      <c r="S172" s="230">
        <v>0.34</v>
      </c>
      <c r="T172" s="115">
        <v>102</v>
      </c>
      <c r="U172" s="109">
        <v>5581.1864999999998</v>
      </c>
      <c r="V172" s="118">
        <v>48.6</v>
      </c>
      <c r="W172" s="119">
        <v>10.603999999999999</v>
      </c>
      <c r="X172" s="121">
        <v>718</v>
      </c>
      <c r="Y172" s="108">
        <v>44.3</v>
      </c>
      <c r="Z172" s="119">
        <v>5581.19</v>
      </c>
      <c r="AA172" s="96">
        <v>47.030200000000001</v>
      </c>
      <c r="AB172" s="94">
        <v>205.36699999999999</v>
      </c>
      <c r="AC172" s="94">
        <v>16.600000000000001</v>
      </c>
      <c r="AD172" s="96">
        <v>69.564999999999998</v>
      </c>
    </row>
    <row r="173" spans="1:30">
      <c r="A173" s="109">
        <v>16</v>
      </c>
      <c r="B173" s="110" t="s">
        <v>23</v>
      </c>
      <c r="C173" s="110" t="s">
        <v>22</v>
      </c>
      <c r="D173" s="111">
        <v>2016</v>
      </c>
      <c r="E173" s="109">
        <v>17.100000000000001</v>
      </c>
      <c r="F173" s="93">
        <v>1.3595699999999999</v>
      </c>
      <c r="G173" s="93">
        <v>26000000000</v>
      </c>
      <c r="H173" s="94">
        <v>30815.1</v>
      </c>
      <c r="I173" s="96">
        <v>0.76</v>
      </c>
      <c r="J173" s="109">
        <v>10.526999999999999</v>
      </c>
      <c r="K173" s="112">
        <v>3.4605999999999999</v>
      </c>
      <c r="L173" s="109">
        <v>651</v>
      </c>
      <c r="M173" s="93">
        <v>45.900002000000001</v>
      </c>
      <c r="N173" s="114">
        <v>86</v>
      </c>
      <c r="O173" s="112">
        <v>17.8</v>
      </c>
      <c r="P173" s="115">
        <v>8945.6</v>
      </c>
      <c r="Q173" s="116">
        <v>38378</v>
      </c>
      <c r="R173" s="102">
        <v>612645</v>
      </c>
      <c r="S173" s="230">
        <v>0.48</v>
      </c>
      <c r="T173" s="115">
        <v>103</v>
      </c>
      <c r="U173" s="109">
        <v>5476.9458000000004</v>
      </c>
      <c r="V173" s="118">
        <v>48.9</v>
      </c>
      <c r="W173" s="119">
        <v>10.526999999999999</v>
      </c>
      <c r="X173" s="121">
        <v>651</v>
      </c>
      <c r="Y173" s="108">
        <v>45.9</v>
      </c>
      <c r="Z173" s="119">
        <v>5476.95</v>
      </c>
      <c r="AA173" s="96">
        <v>46.024099999999997</v>
      </c>
      <c r="AB173" s="94">
        <v>205.018</v>
      </c>
      <c r="AC173" s="94">
        <v>16.100000000000001</v>
      </c>
      <c r="AD173" s="96">
        <v>69.855000000000004</v>
      </c>
    </row>
    <row r="174" spans="1:30">
      <c r="A174" s="109">
        <v>16</v>
      </c>
      <c r="B174" s="110" t="s">
        <v>23</v>
      </c>
      <c r="C174" s="110" t="s">
        <v>22</v>
      </c>
      <c r="D174" s="111">
        <v>2017</v>
      </c>
      <c r="E174" s="109">
        <v>17.7</v>
      </c>
      <c r="F174" s="93">
        <v>0.44334200000000001</v>
      </c>
      <c r="G174" s="93">
        <v>8700000000</v>
      </c>
      <c r="H174" s="94">
        <v>31356.2</v>
      </c>
      <c r="I174" s="96">
        <v>0.79</v>
      </c>
      <c r="J174" s="109">
        <v>10.391999999999999</v>
      </c>
      <c r="K174" s="112">
        <v>3.5396999999999998</v>
      </c>
      <c r="L174" s="109">
        <v>624</v>
      </c>
      <c r="M174" s="93">
        <v>47.799999</v>
      </c>
      <c r="N174" s="114">
        <v>88.9</v>
      </c>
      <c r="O174" s="112">
        <v>18.399999999999999</v>
      </c>
      <c r="P174" s="115">
        <v>8232.5</v>
      </c>
      <c r="Q174" s="116">
        <v>36657</v>
      </c>
      <c r="R174" s="102">
        <v>591196</v>
      </c>
      <c r="S174" s="230">
        <v>0.47</v>
      </c>
      <c r="T174" s="115">
        <v>108</v>
      </c>
      <c r="U174" s="109">
        <v>5370.5537000000004</v>
      </c>
      <c r="V174" s="118">
        <v>50.8</v>
      </c>
      <c r="W174" s="119">
        <v>10.391999999999999</v>
      </c>
      <c r="X174" s="121">
        <v>624</v>
      </c>
      <c r="Y174" s="108">
        <v>47.8</v>
      </c>
      <c r="Z174" s="119">
        <v>5370.55</v>
      </c>
      <c r="AA174" s="96">
        <v>48.740499999999997</v>
      </c>
      <c r="AB174" s="94">
        <v>204.71100000000001</v>
      </c>
      <c r="AC174" s="94">
        <v>16.399999999999999</v>
      </c>
      <c r="AD174" s="96">
        <v>70.144000000000005</v>
      </c>
    </row>
    <row r="175" spans="1:30">
      <c r="A175" s="109">
        <v>16</v>
      </c>
      <c r="B175" s="110" t="s">
        <v>23</v>
      </c>
      <c r="C175" s="110" t="s">
        <v>22</v>
      </c>
      <c r="D175" s="111">
        <v>2018</v>
      </c>
      <c r="E175" s="109">
        <v>17.899999999999999</v>
      </c>
      <c r="F175" s="93">
        <v>2.1076999999999999</v>
      </c>
      <c r="G175" s="93">
        <v>44000000000</v>
      </c>
      <c r="H175" s="94">
        <v>31675.599999999999</v>
      </c>
      <c r="I175" s="96">
        <v>0.77</v>
      </c>
      <c r="J175" s="109">
        <v>10.772</v>
      </c>
      <c r="K175" s="112">
        <v>3.5268999999999999</v>
      </c>
      <c r="L175" s="109">
        <v>616</v>
      </c>
      <c r="M175" s="93">
        <v>49.799999</v>
      </c>
      <c r="N175" s="114">
        <v>84.3</v>
      </c>
      <c r="O175" s="112">
        <v>18.8</v>
      </c>
      <c r="P175" s="115">
        <v>5439.6</v>
      </c>
      <c r="Q175" s="116">
        <v>37725</v>
      </c>
      <c r="R175" s="102">
        <v>585644</v>
      </c>
      <c r="S175" s="230">
        <v>0.39</v>
      </c>
      <c r="T175" s="115">
        <v>104</v>
      </c>
      <c r="U175" s="109">
        <v>4917.8227999999999</v>
      </c>
      <c r="V175" s="118">
        <v>50.6</v>
      </c>
      <c r="W175" s="119">
        <v>10.772</v>
      </c>
      <c r="X175" s="121">
        <v>616</v>
      </c>
      <c r="Y175" s="108">
        <v>49.8</v>
      </c>
      <c r="Z175" s="119">
        <v>4917.82</v>
      </c>
      <c r="AA175" s="96">
        <v>50.145200000000003</v>
      </c>
      <c r="AB175" s="94">
        <v>204.322</v>
      </c>
      <c r="AC175" s="94">
        <v>17.100000000000001</v>
      </c>
      <c r="AD175" s="96">
        <v>70.438000000000002</v>
      </c>
    </row>
    <row r="176" spans="1:30">
      <c r="A176" s="109">
        <v>16</v>
      </c>
      <c r="B176" s="110" t="s">
        <v>23</v>
      </c>
      <c r="C176" s="110" t="s">
        <v>22</v>
      </c>
      <c r="D176" s="111">
        <v>2019</v>
      </c>
      <c r="E176" s="109">
        <v>18.2</v>
      </c>
      <c r="F176" s="93">
        <v>1.77067</v>
      </c>
      <c r="G176" s="93">
        <v>36000000000</v>
      </c>
      <c r="H176" s="94">
        <v>32180.400000000001</v>
      </c>
      <c r="I176" s="96">
        <v>0.77</v>
      </c>
      <c r="J176" s="109">
        <v>10.547000000000001</v>
      </c>
      <c r="K176" s="112">
        <v>3.4611999999999998</v>
      </c>
      <c r="L176" s="109">
        <v>585</v>
      </c>
      <c r="M176" s="93">
        <v>51.400002000000001</v>
      </c>
      <c r="N176" s="114">
        <v>82.2</v>
      </c>
      <c r="O176" s="112">
        <v>18.8</v>
      </c>
      <c r="P176" s="115">
        <v>5429</v>
      </c>
      <c r="Q176" s="116">
        <v>42931</v>
      </c>
      <c r="R176" s="102">
        <v>644581</v>
      </c>
      <c r="S176" s="230">
        <v>0.81</v>
      </c>
      <c r="T176" s="115">
        <v>106</v>
      </c>
      <c r="U176" s="109">
        <v>4465.0918000000001</v>
      </c>
      <c r="V176" s="118">
        <v>48.9</v>
      </c>
      <c r="W176" s="119">
        <v>10.547000000000001</v>
      </c>
      <c r="X176" s="121">
        <v>585</v>
      </c>
      <c r="Y176" s="108">
        <v>51.4</v>
      </c>
      <c r="Z176" s="119">
        <v>0</v>
      </c>
      <c r="AA176" s="96">
        <v>50.144599999999997</v>
      </c>
      <c r="AB176" s="94">
        <v>201.98099999999999</v>
      </c>
      <c r="AC176" s="94">
        <v>17.3</v>
      </c>
      <c r="AD176" s="96">
        <v>70.736000000000004</v>
      </c>
    </row>
    <row r="177" spans="1:30">
      <c r="A177" s="109">
        <v>16</v>
      </c>
      <c r="B177" s="110" t="s">
        <v>23</v>
      </c>
      <c r="C177" s="110" t="s">
        <v>22</v>
      </c>
      <c r="D177" s="111">
        <v>2020</v>
      </c>
      <c r="E177" s="109">
        <v>18.7</v>
      </c>
      <c r="F177" s="93">
        <v>-0.89387000000000005</v>
      </c>
      <c r="G177" s="93">
        <v>-17000000000</v>
      </c>
      <c r="H177" s="94">
        <v>29469.8</v>
      </c>
      <c r="I177" s="96">
        <v>0.79</v>
      </c>
      <c r="J177" s="109">
        <v>9.6020002000000009</v>
      </c>
      <c r="K177" s="112">
        <v>3.4285999999999999</v>
      </c>
      <c r="L177" s="109">
        <v>554</v>
      </c>
      <c r="M177" s="93">
        <v>51.400002000000001</v>
      </c>
      <c r="N177" s="114">
        <v>86.4</v>
      </c>
      <c r="O177" s="112">
        <v>2.6</v>
      </c>
      <c r="P177" s="115">
        <v>6243.2</v>
      </c>
      <c r="Q177" s="116">
        <v>42737</v>
      </c>
      <c r="R177" s="102">
        <v>617149</v>
      </c>
      <c r="S177" s="230">
        <v>0.36</v>
      </c>
      <c r="T177" s="115">
        <v>101</v>
      </c>
      <c r="U177" s="109">
        <v>4012.3607999999999</v>
      </c>
      <c r="V177" s="118">
        <v>46.5</v>
      </c>
      <c r="W177" s="119">
        <v>9.6020000000000003</v>
      </c>
      <c r="X177" s="121">
        <v>0</v>
      </c>
      <c r="Y177" s="108">
        <v>51.4</v>
      </c>
      <c r="Z177" s="119">
        <v>0</v>
      </c>
      <c r="AA177" s="96">
        <v>48.580199999999998</v>
      </c>
      <c r="AB177" s="94">
        <v>200.999</v>
      </c>
      <c r="AC177" s="94">
        <v>18.7</v>
      </c>
      <c r="AD177" s="96">
        <v>71.039000000000001</v>
      </c>
    </row>
    <row r="178" spans="1:30">
      <c r="A178" s="109">
        <v>17</v>
      </c>
      <c r="B178" s="110" t="s">
        <v>21</v>
      </c>
      <c r="C178" s="110" t="s">
        <v>20</v>
      </c>
      <c r="D178" s="111">
        <v>2010</v>
      </c>
      <c r="E178" s="109">
        <v>24.5</v>
      </c>
      <c r="F178" s="93">
        <v>3.0097</v>
      </c>
      <c r="G178" s="93">
        <v>1100000000</v>
      </c>
      <c r="H178" s="94">
        <v>10884.1</v>
      </c>
      <c r="I178" s="96">
        <v>0.25</v>
      </c>
      <c r="J178" s="109">
        <v>13.795</v>
      </c>
      <c r="K178" s="112">
        <v>0.80610000000000004</v>
      </c>
      <c r="L178" s="109">
        <v>516</v>
      </c>
      <c r="M178" s="93">
        <v>4.9000000999999997</v>
      </c>
      <c r="N178" s="114">
        <v>72.400000000000006</v>
      </c>
      <c r="O178" s="112">
        <v>3.9</v>
      </c>
      <c r="P178" s="115">
        <v>123.3</v>
      </c>
      <c r="Q178" s="116">
        <v>313</v>
      </c>
      <c r="R178" s="102">
        <v>27198</v>
      </c>
      <c r="S178" s="230">
        <v>0.65</v>
      </c>
      <c r="T178" s="115">
        <v>100</v>
      </c>
      <c r="U178" s="109">
        <v>6380.5742</v>
      </c>
      <c r="V178" s="118">
        <v>41</v>
      </c>
      <c r="W178" s="119">
        <v>13.795</v>
      </c>
      <c r="X178" s="121">
        <v>516</v>
      </c>
      <c r="Y178" s="108">
        <v>4.9000000000000004</v>
      </c>
      <c r="Z178" s="119">
        <v>6380.57</v>
      </c>
      <c r="AA178" s="96">
        <v>120.506</v>
      </c>
      <c r="AB178" s="94">
        <v>49.418100000000003</v>
      </c>
      <c r="AC178" s="94">
        <v>21.5</v>
      </c>
      <c r="AD178" s="96">
        <v>66.757000000000005</v>
      </c>
    </row>
    <row r="179" spans="1:30">
      <c r="A179" s="109">
        <v>17</v>
      </c>
      <c r="B179" s="110" t="s">
        <v>21</v>
      </c>
      <c r="C179" s="110" t="s">
        <v>20</v>
      </c>
      <c r="D179" s="111">
        <v>2011</v>
      </c>
      <c r="E179" s="109">
        <v>26</v>
      </c>
      <c r="F179" s="93">
        <v>4.3550899999999997</v>
      </c>
      <c r="G179" s="93">
        <v>1900000000</v>
      </c>
      <c r="H179" s="94">
        <v>11836.7</v>
      </c>
      <c r="I179" s="96">
        <v>0.23</v>
      </c>
      <c r="J179" s="109">
        <v>15.941000000000001</v>
      </c>
      <c r="K179" s="112">
        <v>0.78800000000000003</v>
      </c>
      <c r="L179" s="109">
        <v>523</v>
      </c>
      <c r="M179" s="93">
        <v>20</v>
      </c>
      <c r="N179" s="114">
        <v>70.3</v>
      </c>
      <c r="O179" s="112">
        <v>3.6</v>
      </c>
      <c r="P179" s="115">
        <v>347.2</v>
      </c>
      <c r="Q179" s="116">
        <v>390</v>
      </c>
      <c r="R179" s="102">
        <v>29071</v>
      </c>
      <c r="S179" s="230">
        <v>0.5</v>
      </c>
      <c r="T179" s="115">
        <v>100</v>
      </c>
      <c r="U179" s="109">
        <v>6053.3266999999996</v>
      </c>
      <c r="V179" s="118">
        <v>40.299999999999997</v>
      </c>
      <c r="W179" s="119">
        <v>15.941000000000001</v>
      </c>
      <c r="X179" s="121">
        <v>523</v>
      </c>
      <c r="Y179" s="108">
        <v>20</v>
      </c>
      <c r="Z179" s="119">
        <v>6053.33</v>
      </c>
      <c r="AA179" s="96">
        <v>138.52199999999999</v>
      </c>
      <c r="AB179" s="94">
        <v>48.315300000000001</v>
      </c>
      <c r="AC179" s="94">
        <v>22.7</v>
      </c>
      <c r="AD179" s="96">
        <v>66.741</v>
      </c>
    </row>
    <row r="180" spans="1:30">
      <c r="A180" s="109">
        <v>17</v>
      </c>
      <c r="B180" s="110" t="s">
        <v>21</v>
      </c>
      <c r="C180" s="110" t="s">
        <v>20</v>
      </c>
      <c r="D180" s="111">
        <v>2012</v>
      </c>
      <c r="E180" s="109">
        <v>27</v>
      </c>
      <c r="F180" s="93">
        <v>1.5855600000000001</v>
      </c>
      <c r="G180" s="93">
        <v>680000000</v>
      </c>
      <c r="H180" s="94">
        <v>12522.3</v>
      </c>
      <c r="I180" s="96">
        <v>0.23</v>
      </c>
      <c r="J180" s="109">
        <v>14.603999999999999</v>
      </c>
      <c r="K180" s="112">
        <v>0.89180000000000004</v>
      </c>
      <c r="L180" s="109">
        <v>523</v>
      </c>
      <c r="M180" s="93">
        <v>23.5</v>
      </c>
      <c r="N180" s="114">
        <v>68.7</v>
      </c>
      <c r="O180" s="112">
        <v>3.8</v>
      </c>
      <c r="P180" s="115">
        <v>358.9</v>
      </c>
      <c r="Q180" s="116">
        <v>459</v>
      </c>
      <c r="R180" s="102">
        <v>30335</v>
      </c>
      <c r="S180" s="230">
        <v>0.38</v>
      </c>
      <c r="T180" s="115">
        <v>107</v>
      </c>
      <c r="U180" s="109">
        <v>6359.7129000000004</v>
      </c>
      <c r="V180" s="118">
        <v>41.8</v>
      </c>
      <c r="W180" s="119">
        <v>14.603999999999999</v>
      </c>
      <c r="X180" s="121">
        <v>523</v>
      </c>
      <c r="Y180" s="108">
        <v>23.5</v>
      </c>
      <c r="Z180" s="119">
        <v>6359.71</v>
      </c>
      <c r="AA180" s="96">
        <v>144.17400000000001</v>
      </c>
      <c r="AB180" s="94">
        <v>47.671599999999998</v>
      </c>
      <c r="AC180" s="94">
        <v>23.9</v>
      </c>
      <c r="AD180" s="96">
        <v>66.864000000000004</v>
      </c>
    </row>
    <row r="181" spans="1:30">
      <c r="A181" s="109">
        <v>17</v>
      </c>
      <c r="B181" s="110" t="s">
        <v>21</v>
      </c>
      <c r="C181" s="110" t="s">
        <v>20</v>
      </c>
      <c r="D181" s="111">
        <v>2013</v>
      </c>
      <c r="E181" s="109">
        <v>27</v>
      </c>
      <c r="F181" s="93">
        <v>1.66004</v>
      </c>
      <c r="G181" s="93">
        <v>770000000</v>
      </c>
      <c r="H181" s="94">
        <v>13161.6</v>
      </c>
      <c r="I181" s="96">
        <v>0.22</v>
      </c>
      <c r="J181" s="109">
        <v>17.415001</v>
      </c>
      <c r="K181" s="112">
        <v>0.76290000000000002</v>
      </c>
      <c r="L181" s="109">
        <v>539</v>
      </c>
      <c r="M181" s="93">
        <v>27.799999</v>
      </c>
      <c r="N181" s="114">
        <v>69.5</v>
      </c>
      <c r="O181" s="112">
        <v>3.1</v>
      </c>
      <c r="P181" s="115">
        <v>363.2</v>
      </c>
      <c r="Q181" s="116">
        <v>476</v>
      </c>
      <c r="R181" s="102">
        <v>33120</v>
      </c>
      <c r="S181" s="230">
        <v>0.34</v>
      </c>
      <c r="T181" s="115">
        <v>104</v>
      </c>
      <c r="U181" s="109">
        <v>6645.5801000000001</v>
      </c>
      <c r="V181" s="118">
        <v>38.6</v>
      </c>
      <c r="W181" s="119">
        <v>17.414999999999999</v>
      </c>
      <c r="X181" s="121">
        <v>539</v>
      </c>
      <c r="Y181" s="108">
        <v>27.8</v>
      </c>
      <c r="Z181" s="119">
        <v>6645.58</v>
      </c>
      <c r="AA181" s="96">
        <v>145.56899999999999</v>
      </c>
      <c r="AB181" s="94">
        <v>47.190899999999999</v>
      </c>
      <c r="AC181" s="94">
        <v>26.3</v>
      </c>
      <c r="AD181" s="96">
        <v>66.986000000000004</v>
      </c>
    </row>
    <row r="182" spans="1:30">
      <c r="A182" s="109">
        <v>17</v>
      </c>
      <c r="B182" s="110" t="s">
        <v>21</v>
      </c>
      <c r="C182" s="110" t="s">
        <v>20</v>
      </c>
      <c r="D182" s="111">
        <v>2014</v>
      </c>
      <c r="E182" s="109">
        <v>26.6</v>
      </c>
      <c r="F182" s="93">
        <v>0.739699</v>
      </c>
      <c r="G182" s="93">
        <v>360000000</v>
      </c>
      <c r="H182" s="94">
        <v>13776.1</v>
      </c>
      <c r="I182" s="96">
        <v>0.21</v>
      </c>
      <c r="J182" s="109">
        <v>17.320999</v>
      </c>
      <c r="K182" s="112">
        <v>0.84140000000000004</v>
      </c>
      <c r="L182" s="109">
        <v>544</v>
      </c>
      <c r="M182" s="93">
        <v>30.5</v>
      </c>
      <c r="N182" s="114">
        <v>75.7</v>
      </c>
      <c r="O182" s="112">
        <v>3.7</v>
      </c>
      <c r="P182" s="115">
        <v>475.7</v>
      </c>
      <c r="Q182" s="116">
        <v>556</v>
      </c>
      <c r="R182" s="102">
        <v>34685</v>
      </c>
      <c r="S182" s="230">
        <v>0</v>
      </c>
      <c r="T182" s="115">
        <v>104</v>
      </c>
      <c r="U182" s="109">
        <v>6605.3950000000004</v>
      </c>
      <c r="V182" s="118">
        <v>39.9</v>
      </c>
      <c r="W182" s="119">
        <v>17.321000000000002</v>
      </c>
      <c r="X182" s="121">
        <v>544</v>
      </c>
      <c r="Y182" s="108">
        <v>30.5</v>
      </c>
      <c r="Z182" s="119">
        <v>6605.4</v>
      </c>
      <c r="AA182" s="96">
        <v>138.03100000000001</v>
      </c>
      <c r="AB182" s="94">
        <v>46.805500000000002</v>
      </c>
      <c r="AC182" s="94">
        <v>27.7</v>
      </c>
      <c r="AD182" s="96">
        <v>67.108000000000004</v>
      </c>
    </row>
    <row r="183" spans="1:30">
      <c r="A183" s="109">
        <v>17</v>
      </c>
      <c r="B183" s="110" t="s">
        <v>21</v>
      </c>
      <c r="C183" s="110" t="s">
        <v>20</v>
      </c>
      <c r="D183" s="111">
        <v>2015</v>
      </c>
      <c r="E183" s="109">
        <v>27.5</v>
      </c>
      <c r="F183" s="93">
        <v>2.4962200000000001</v>
      </c>
      <c r="G183" s="93">
        <v>1000000000</v>
      </c>
      <c r="H183" s="94">
        <v>14300.3</v>
      </c>
      <c r="I183" s="96">
        <v>0.21</v>
      </c>
      <c r="J183" s="109">
        <v>16.568000999999999</v>
      </c>
      <c r="K183" s="112">
        <v>0.85860000000000003</v>
      </c>
      <c r="L183" s="109">
        <v>557</v>
      </c>
      <c r="M183" s="93">
        <v>33.200001</v>
      </c>
      <c r="N183" s="114">
        <v>80.7</v>
      </c>
      <c r="O183" s="112">
        <v>4.0999999999999996</v>
      </c>
      <c r="P183" s="115">
        <v>213.5</v>
      </c>
      <c r="Q183" s="116">
        <v>591</v>
      </c>
      <c r="R183" s="102">
        <v>34866</v>
      </c>
      <c r="S183" s="230">
        <v>0</v>
      </c>
      <c r="T183" s="115">
        <v>101</v>
      </c>
      <c r="U183" s="109">
        <v>6935.4277000000002</v>
      </c>
      <c r="V183" s="118">
        <v>40.700000000000003</v>
      </c>
      <c r="W183" s="119">
        <v>16.568000000000001</v>
      </c>
      <c r="X183" s="121">
        <v>557</v>
      </c>
      <c r="Y183" s="108">
        <v>33.200000000000003</v>
      </c>
      <c r="Z183" s="119">
        <v>6935.43</v>
      </c>
      <c r="AA183" s="96">
        <v>128.899</v>
      </c>
      <c r="AB183" s="94">
        <v>46.3673</v>
      </c>
      <c r="AC183" s="94">
        <v>29</v>
      </c>
      <c r="AD183" s="96">
        <v>67.23</v>
      </c>
    </row>
    <row r="184" spans="1:30">
      <c r="A184" s="109">
        <v>17</v>
      </c>
      <c r="B184" s="110" t="s">
        <v>21</v>
      </c>
      <c r="C184" s="110" t="s">
        <v>20</v>
      </c>
      <c r="D184" s="111">
        <v>2016</v>
      </c>
      <c r="E184" s="109">
        <v>26.6</v>
      </c>
      <c r="F184" s="93">
        <v>2.74031</v>
      </c>
      <c r="G184" s="93">
        <v>1200000000</v>
      </c>
      <c r="H184" s="94">
        <v>14870.1</v>
      </c>
      <c r="I184" s="96">
        <v>0.21</v>
      </c>
      <c r="J184" s="109">
        <v>17.969000000000001</v>
      </c>
      <c r="K184" s="112">
        <v>0.85009999999999997</v>
      </c>
      <c r="L184" s="109">
        <v>554</v>
      </c>
      <c r="M184" s="93">
        <v>48</v>
      </c>
      <c r="N184" s="114">
        <v>82.3</v>
      </c>
      <c r="O184" s="112">
        <v>4.5999999999999996</v>
      </c>
      <c r="P184" s="115">
        <v>158.1</v>
      </c>
      <c r="Q184" s="116">
        <v>711</v>
      </c>
      <c r="R184" s="102">
        <v>35211</v>
      </c>
      <c r="S184" s="230">
        <v>0</v>
      </c>
      <c r="T184" s="115">
        <v>102</v>
      </c>
      <c r="U184" s="109">
        <v>7232.6000999999997</v>
      </c>
      <c r="V184" s="118">
        <v>40.4</v>
      </c>
      <c r="W184" s="119">
        <v>17.969000000000001</v>
      </c>
      <c r="X184" s="121">
        <v>554</v>
      </c>
      <c r="Y184" s="108">
        <v>48</v>
      </c>
      <c r="Z184" s="119">
        <v>7232.6</v>
      </c>
      <c r="AA184" s="96">
        <v>121.911</v>
      </c>
      <c r="AB184" s="94">
        <v>45.787700000000001</v>
      </c>
      <c r="AC184" s="94">
        <v>31.5</v>
      </c>
      <c r="AD184" s="96">
        <v>67.366</v>
      </c>
    </row>
    <row r="185" spans="1:30">
      <c r="A185" s="109">
        <v>17</v>
      </c>
      <c r="B185" s="110" t="s">
        <v>21</v>
      </c>
      <c r="C185" s="110" t="s">
        <v>20</v>
      </c>
      <c r="D185" s="111">
        <v>2017</v>
      </c>
      <c r="E185" s="109">
        <v>27.3</v>
      </c>
      <c r="F185" s="93">
        <v>2.8974600000000001</v>
      </c>
      <c r="G185" s="93">
        <v>1400000000</v>
      </c>
      <c r="H185" s="94">
        <v>15775</v>
      </c>
      <c r="I185" s="96">
        <v>0.22</v>
      </c>
      <c r="J185" s="109">
        <v>20.277999999999999</v>
      </c>
      <c r="K185" s="112">
        <v>0.79190000000000005</v>
      </c>
      <c r="L185" s="109">
        <v>548</v>
      </c>
      <c r="M185" s="93">
        <v>48.099997999999999</v>
      </c>
      <c r="N185" s="114">
        <v>82.2</v>
      </c>
      <c r="O185" s="112">
        <v>4.4000000000000004</v>
      </c>
      <c r="P185" s="115">
        <v>145.4</v>
      </c>
      <c r="Q185" s="116">
        <v>822</v>
      </c>
      <c r="R185" s="102">
        <v>35822</v>
      </c>
      <c r="S185" s="230">
        <v>0</v>
      </c>
      <c r="T185" s="115">
        <v>105</v>
      </c>
      <c r="U185" s="109">
        <v>7385.2573000000002</v>
      </c>
      <c r="V185" s="118">
        <v>39.200000000000003</v>
      </c>
      <c r="W185" s="119">
        <v>20.277999999999999</v>
      </c>
      <c r="X185" s="121">
        <v>548</v>
      </c>
      <c r="Y185" s="108">
        <v>48.1</v>
      </c>
      <c r="Z185" s="119">
        <v>7385.26</v>
      </c>
      <c r="AA185" s="96">
        <v>130.15700000000001</v>
      </c>
      <c r="AB185" s="94">
        <v>45.1526</v>
      </c>
      <c r="AC185" s="94">
        <v>33.799999999999997</v>
      </c>
      <c r="AD185" s="96">
        <v>67.516000000000005</v>
      </c>
    </row>
    <row r="186" spans="1:30">
      <c r="A186" s="109">
        <v>17</v>
      </c>
      <c r="B186" s="110" t="s">
        <v>21</v>
      </c>
      <c r="C186" s="110" t="s">
        <v>20</v>
      </c>
      <c r="D186" s="111">
        <v>2018</v>
      </c>
      <c r="E186" s="109">
        <v>27.2</v>
      </c>
      <c r="F186" s="93">
        <v>2.3955000000000002</v>
      </c>
      <c r="G186" s="93">
        <v>1300000000</v>
      </c>
      <c r="H186" s="94">
        <v>16709.599999999999</v>
      </c>
      <c r="I186" s="96">
        <v>0.21</v>
      </c>
      <c r="J186" s="109">
        <v>20.193999999999999</v>
      </c>
      <c r="K186" s="112">
        <v>0.83740000000000003</v>
      </c>
      <c r="L186" s="109">
        <v>539</v>
      </c>
      <c r="M186" s="93">
        <v>52.599997999999999</v>
      </c>
      <c r="N186" s="114">
        <v>81.8</v>
      </c>
      <c r="O186" s="112">
        <v>4.3</v>
      </c>
      <c r="P186" s="115">
        <v>135</v>
      </c>
      <c r="Q186" s="116">
        <v>856</v>
      </c>
      <c r="R186" s="102">
        <v>35808</v>
      </c>
      <c r="S186" s="230">
        <v>0</v>
      </c>
      <c r="T186" s="115">
        <v>108</v>
      </c>
      <c r="U186" s="109">
        <v>8017.2529000000004</v>
      </c>
      <c r="V186" s="118">
        <v>41.4</v>
      </c>
      <c r="W186" s="119">
        <v>20.193999999999999</v>
      </c>
      <c r="X186" s="121">
        <v>539</v>
      </c>
      <c r="Y186" s="108">
        <v>52.6</v>
      </c>
      <c r="Z186" s="119">
        <v>8017.25</v>
      </c>
      <c r="AA186" s="96">
        <v>128.708</v>
      </c>
      <c r="AB186" s="94">
        <v>44.7316</v>
      </c>
      <c r="AC186" s="94">
        <v>33.700000000000003</v>
      </c>
      <c r="AD186" s="96">
        <v>67.679000000000002</v>
      </c>
    </row>
    <row r="187" spans="1:30">
      <c r="A187" s="109">
        <v>17</v>
      </c>
      <c r="B187" s="110" t="s">
        <v>21</v>
      </c>
      <c r="C187" s="110" t="s">
        <v>20</v>
      </c>
      <c r="D187" s="111">
        <v>2019</v>
      </c>
      <c r="E187" s="109">
        <v>27.9</v>
      </c>
      <c r="F187" s="93">
        <v>6.2303499999999996</v>
      </c>
      <c r="G187" s="93">
        <v>3400000000</v>
      </c>
      <c r="H187" s="94">
        <v>17537.5</v>
      </c>
      <c r="I187" s="96">
        <v>0.2</v>
      </c>
      <c r="J187" s="109">
        <v>20.562000000000001</v>
      </c>
      <c r="K187" s="112">
        <v>0.82050000000000001</v>
      </c>
      <c r="L187" s="109">
        <v>542</v>
      </c>
      <c r="M187" s="93">
        <v>49.700001</v>
      </c>
      <c r="N187" s="114">
        <v>82.7</v>
      </c>
      <c r="O187" s="112">
        <v>3.9</v>
      </c>
      <c r="P187" s="115">
        <v>353.4</v>
      </c>
      <c r="Q187" s="116">
        <v>979</v>
      </c>
      <c r="R187" s="102">
        <v>37606</v>
      </c>
      <c r="S187" s="230">
        <v>0.54</v>
      </c>
      <c r="T187" s="115">
        <v>110</v>
      </c>
      <c r="U187" s="109">
        <v>8649.2484999999997</v>
      </c>
      <c r="V187" s="118">
        <v>40.5</v>
      </c>
      <c r="W187" s="119">
        <v>20.562000000000001</v>
      </c>
      <c r="X187" s="121">
        <v>542</v>
      </c>
      <c r="Y187" s="108">
        <v>49.7</v>
      </c>
      <c r="Z187" s="119">
        <v>0</v>
      </c>
      <c r="AA187" s="96">
        <v>125.01300000000001</v>
      </c>
      <c r="AB187" s="94">
        <v>44.6205</v>
      </c>
      <c r="AC187" s="94">
        <v>33.5</v>
      </c>
      <c r="AD187" s="96">
        <v>67.855000000000004</v>
      </c>
    </row>
    <row r="188" spans="1:30">
      <c r="A188" s="109">
        <v>17</v>
      </c>
      <c r="B188" s="110" t="s">
        <v>21</v>
      </c>
      <c r="C188" s="110" t="s">
        <v>20</v>
      </c>
      <c r="D188" s="111">
        <v>2020</v>
      </c>
      <c r="E188" s="109">
        <v>28.5</v>
      </c>
      <c r="F188" s="93">
        <v>7.9434500000000003</v>
      </c>
      <c r="G188" s="93">
        <v>4600000000</v>
      </c>
      <c r="H188" s="94">
        <v>17540.3</v>
      </c>
      <c r="I188" s="96">
        <v>0.21</v>
      </c>
      <c r="J188" s="109">
        <v>21.863001000000001</v>
      </c>
      <c r="K188" s="112">
        <v>0.77559999999999996</v>
      </c>
      <c r="L188" s="109">
        <v>523</v>
      </c>
      <c r="M188" s="93">
        <v>45.299999</v>
      </c>
      <c r="N188" s="114">
        <v>82</v>
      </c>
      <c r="O188" s="112">
        <v>4</v>
      </c>
      <c r="P188" s="115">
        <v>406.2</v>
      </c>
      <c r="Q188" s="116">
        <v>952</v>
      </c>
      <c r="R188" s="102">
        <v>38335</v>
      </c>
      <c r="S188" s="230">
        <v>0</v>
      </c>
      <c r="T188" s="115">
        <v>112</v>
      </c>
      <c r="U188" s="109">
        <v>9281.2440999999999</v>
      </c>
      <c r="V188" s="118">
        <v>36.700000000000003</v>
      </c>
      <c r="W188" s="119">
        <v>21.863</v>
      </c>
      <c r="X188" s="121">
        <v>523</v>
      </c>
      <c r="Y188" s="108">
        <v>45.3</v>
      </c>
      <c r="Z188" s="119">
        <v>0</v>
      </c>
      <c r="AA188" s="96">
        <v>115.19199999999999</v>
      </c>
      <c r="AB188" s="94">
        <v>44.6325</v>
      </c>
      <c r="AC188" s="94">
        <v>31.7</v>
      </c>
      <c r="AD188" s="96">
        <v>68.046000000000006</v>
      </c>
    </row>
    <row r="189" spans="1:30">
      <c r="A189" s="109">
        <v>18</v>
      </c>
      <c r="B189" s="110" t="s">
        <v>19</v>
      </c>
      <c r="C189" s="110" t="s">
        <v>18</v>
      </c>
      <c r="D189" s="111">
        <v>2010</v>
      </c>
      <c r="E189" s="109">
        <v>28.5</v>
      </c>
      <c r="F189" s="93">
        <v>41.364600000000003</v>
      </c>
      <c r="G189" s="93">
        <v>23000000000</v>
      </c>
      <c r="H189" s="94">
        <v>106544</v>
      </c>
      <c r="I189" s="96">
        <v>0.74</v>
      </c>
      <c r="J189" s="109">
        <v>32.488998000000002</v>
      </c>
      <c r="K189" s="112">
        <v>4.2713000000000001</v>
      </c>
      <c r="L189" s="109">
        <v>486</v>
      </c>
      <c r="M189" s="93">
        <v>46.5</v>
      </c>
      <c r="N189" s="114">
        <v>85.7</v>
      </c>
      <c r="O189" s="112">
        <v>23.4</v>
      </c>
      <c r="P189" s="115">
        <v>2510.4</v>
      </c>
      <c r="Q189" s="116">
        <v>522</v>
      </c>
      <c r="R189" s="102">
        <v>1643</v>
      </c>
      <c r="S189" s="230">
        <v>3.55</v>
      </c>
      <c r="T189" s="115">
        <v>100</v>
      </c>
      <c r="U189" s="109">
        <v>14304.16</v>
      </c>
      <c r="V189" s="118">
        <v>90.2</v>
      </c>
      <c r="W189" s="119">
        <v>32.488999999999997</v>
      </c>
      <c r="X189" s="121">
        <v>486</v>
      </c>
      <c r="Y189" s="108">
        <v>46.5</v>
      </c>
      <c r="Z189" s="119">
        <v>14304.2</v>
      </c>
      <c r="AA189" s="96">
        <v>79.766599999999997</v>
      </c>
      <c r="AB189" s="94">
        <v>196.916</v>
      </c>
      <c r="AC189" s="94">
        <v>3.7</v>
      </c>
      <c r="AD189" s="96">
        <v>88.546999999999997</v>
      </c>
    </row>
    <row r="190" spans="1:30">
      <c r="A190" s="109">
        <v>18</v>
      </c>
      <c r="B190" s="110" t="s">
        <v>19</v>
      </c>
      <c r="C190" s="110" t="s">
        <v>18</v>
      </c>
      <c r="D190" s="111">
        <v>2011</v>
      </c>
      <c r="E190" s="109">
        <v>30</v>
      </c>
      <c r="F190" s="93">
        <v>17.368600000000001</v>
      </c>
      <c r="G190" s="93">
        <v>11000000000</v>
      </c>
      <c r="H190" s="94">
        <v>105290</v>
      </c>
      <c r="I190" s="96">
        <v>0.72</v>
      </c>
      <c r="J190" s="109">
        <v>32.759998000000003</v>
      </c>
      <c r="K190" s="112">
        <v>4.2560000000000002</v>
      </c>
      <c r="L190" s="109">
        <v>365</v>
      </c>
      <c r="M190" s="93">
        <v>46.400002000000001</v>
      </c>
      <c r="N190" s="114">
        <v>86</v>
      </c>
      <c r="O190" s="112">
        <v>19.8</v>
      </c>
      <c r="P190" s="115">
        <v>2139.3000000000002</v>
      </c>
      <c r="Q190" s="116">
        <v>528</v>
      </c>
      <c r="R190" s="102">
        <v>1700</v>
      </c>
      <c r="S190" s="230">
        <v>3.22</v>
      </c>
      <c r="T190" s="115">
        <v>103</v>
      </c>
      <c r="U190" s="109">
        <v>13678.361000000001</v>
      </c>
      <c r="V190" s="118">
        <v>91.9</v>
      </c>
      <c r="W190" s="119">
        <v>32.76</v>
      </c>
      <c r="X190" s="121">
        <v>365</v>
      </c>
      <c r="Y190" s="108">
        <v>46.4</v>
      </c>
      <c r="Z190" s="119">
        <v>13678.4</v>
      </c>
      <c r="AA190" s="96">
        <v>80.598100000000002</v>
      </c>
      <c r="AB190" s="94">
        <v>201.34200000000001</v>
      </c>
      <c r="AC190" s="94">
        <v>3.8</v>
      </c>
      <c r="AD190" s="96">
        <v>88.906000000000006</v>
      </c>
    </row>
    <row r="191" spans="1:30">
      <c r="A191" s="109">
        <v>18</v>
      </c>
      <c r="B191" s="110" t="s">
        <v>19</v>
      </c>
      <c r="C191" s="110" t="s">
        <v>18</v>
      </c>
      <c r="D191" s="111">
        <v>2012</v>
      </c>
      <c r="E191" s="109">
        <v>31.5</v>
      </c>
      <c r="F191" s="93">
        <v>-22.412299999999998</v>
      </c>
      <c r="G191" s="93">
        <v>-13000000000</v>
      </c>
      <c r="H191" s="94">
        <v>104488</v>
      </c>
      <c r="I191" s="96">
        <v>0.72</v>
      </c>
      <c r="J191" s="109">
        <v>29.759001000000001</v>
      </c>
      <c r="K191" s="112">
        <v>4.3634000000000004</v>
      </c>
      <c r="L191" s="109">
        <v>378</v>
      </c>
      <c r="M191" s="93">
        <v>47.400002000000001</v>
      </c>
      <c r="N191" s="114">
        <v>86.8</v>
      </c>
      <c r="O191" s="112">
        <v>17.7</v>
      </c>
      <c r="P191" s="115">
        <v>2640.2</v>
      </c>
      <c r="Q191" s="116">
        <v>432</v>
      </c>
      <c r="R191" s="102">
        <v>1722</v>
      </c>
      <c r="S191" s="230">
        <v>5.29</v>
      </c>
      <c r="T191" s="115">
        <v>108</v>
      </c>
      <c r="U191" s="109">
        <v>13784.6</v>
      </c>
      <c r="V191" s="118">
        <v>87.6</v>
      </c>
      <c r="W191" s="119">
        <v>29.759</v>
      </c>
      <c r="X191" s="121">
        <v>378</v>
      </c>
      <c r="Y191" s="108">
        <v>47.4</v>
      </c>
      <c r="Z191" s="119">
        <v>13784.6</v>
      </c>
      <c r="AA191" s="96">
        <v>77.582499999999996</v>
      </c>
      <c r="AB191" s="94">
        <v>206.23599999999999</v>
      </c>
      <c r="AC191" s="94">
        <v>4.2</v>
      </c>
      <c r="AD191" s="96">
        <v>89.248999999999995</v>
      </c>
    </row>
    <row r="192" spans="1:30">
      <c r="A192" s="109">
        <v>18</v>
      </c>
      <c r="B192" s="110" t="s">
        <v>19</v>
      </c>
      <c r="C192" s="110" t="s">
        <v>18</v>
      </c>
      <c r="D192" s="111">
        <v>2013</v>
      </c>
      <c r="E192" s="109">
        <v>31.5</v>
      </c>
      <c r="F192" s="93">
        <v>71.500399999999999</v>
      </c>
      <c r="G192" s="93">
        <v>47000000000</v>
      </c>
      <c r="H192" s="94">
        <v>105339</v>
      </c>
      <c r="I192" s="96">
        <v>0.72</v>
      </c>
      <c r="J192" s="109">
        <v>30.676000999999999</v>
      </c>
      <c r="K192" s="112">
        <v>4.4683999999999999</v>
      </c>
      <c r="L192" s="109">
        <v>405</v>
      </c>
      <c r="M192" s="93">
        <v>46.299999</v>
      </c>
      <c r="N192" s="114">
        <v>87.6</v>
      </c>
      <c r="O192" s="112">
        <v>15.2</v>
      </c>
      <c r="P192" s="115">
        <v>1588.1</v>
      </c>
      <c r="Q192" s="116">
        <v>466</v>
      </c>
      <c r="R192" s="102">
        <v>1799</v>
      </c>
      <c r="S192" s="230">
        <v>6.5</v>
      </c>
      <c r="T192" s="115">
        <v>108</v>
      </c>
      <c r="U192" s="109">
        <v>14971.602999999999</v>
      </c>
      <c r="V192" s="118">
        <v>87.2</v>
      </c>
      <c r="W192" s="119">
        <v>30.675999999999998</v>
      </c>
      <c r="X192" s="121">
        <v>405</v>
      </c>
      <c r="Y192" s="108">
        <v>46.3</v>
      </c>
      <c r="Z192" s="119">
        <v>14971.6</v>
      </c>
      <c r="AA192" s="96">
        <v>69.218900000000005</v>
      </c>
      <c r="AB192" s="94">
        <v>211.05799999999999</v>
      </c>
      <c r="AC192" s="94">
        <v>5.7</v>
      </c>
      <c r="AD192" s="96">
        <v>89.573999999999998</v>
      </c>
    </row>
    <row r="193" spans="1:30">
      <c r="A193" s="109">
        <v>18</v>
      </c>
      <c r="B193" s="110" t="s">
        <v>19</v>
      </c>
      <c r="C193" s="110" t="s">
        <v>18</v>
      </c>
      <c r="D193" s="111">
        <v>2014</v>
      </c>
      <c r="E193" s="109">
        <v>30.2</v>
      </c>
      <c r="F193" s="93">
        <v>63.106900000000003</v>
      </c>
      <c r="G193" s="93">
        <v>43000000000</v>
      </c>
      <c r="H193" s="94">
        <v>105584</v>
      </c>
      <c r="I193" s="96">
        <v>0.73</v>
      </c>
      <c r="J193" s="109">
        <v>29.841999000000001</v>
      </c>
      <c r="K193" s="112">
        <v>4.3621999999999996</v>
      </c>
      <c r="L193" s="109">
        <v>389</v>
      </c>
      <c r="M193" s="93">
        <v>47.700001</v>
      </c>
      <c r="N193" s="114">
        <v>88</v>
      </c>
      <c r="O193" s="112">
        <v>11.1</v>
      </c>
      <c r="P193" s="115">
        <v>2134</v>
      </c>
      <c r="Q193" s="116">
        <v>479</v>
      </c>
      <c r="R193" s="102">
        <v>1800</v>
      </c>
      <c r="S193" s="230">
        <v>11.9</v>
      </c>
      <c r="T193" s="115">
        <v>112</v>
      </c>
      <c r="U193" s="109">
        <v>14414.018</v>
      </c>
      <c r="V193" s="118">
        <v>89.3</v>
      </c>
      <c r="W193" s="119">
        <v>29.841999999999999</v>
      </c>
      <c r="X193" s="121">
        <v>389</v>
      </c>
      <c r="Y193" s="108">
        <v>47.7</v>
      </c>
      <c r="Z193" s="119">
        <v>14414</v>
      </c>
      <c r="AA193" s="96">
        <v>66.499700000000004</v>
      </c>
      <c r="AB193" s="94">
        <v>216.09200000000001</v>
      </c>
      <c r="AC193" s="94">
        <v>6.8</v>
      </c>
      <c r="AD193" s="96">
        <v>89.884</v>
      </c>
    </row>
    <row r="194" spans="1:30">
      <c r="A194" s="109">
        <v>18</v>
      </c>
      <c r="B194" s="110" t="s">
        <v>19</v>
      </c>
      <c r="C194" s="110" t="s">
        <v>18</v>
      </c>
      <c r="D194" s="111">
        <v>2015</v>
      </c>
      <c r="E194" s="109">
        <v>31.3</v>
      </c>
      <c r="F194" s="93">
        <v>53.1357</v>
      </c>
      <c r="G194" s="93">
        <v>32000000000</v>
      </c>
      <c r="H194" s="94">
        <v>105462</v>
      </c>
      <c r="I194" s="96">
        <v>0.72</v>
      </c>
      <c r="J194" s="109">
        <v>33.637999999999998</v>
      </c>
      <c r="K194" s="112">
        <v>3.8923000000000001</v>
      </c>
      <c r="L194" s="109">
        <v>373</v>
      </c>
      <c r="M194" s="93">
        <v>47.400002000000001</v>
      </c>
      <c r="N194" s="114">
        <v>86.9</v>
      </c>
      <c r="O194" s="112">
        <v>9.6</v>
      </c>
      <c r="P194" s="115">
        <v>1899.5</v>
      </c>
      <c r="Q194" s="116">
        <v>542</v>
      </c>
      <c r="R194" s="102">
        <v>1839</v>
      </c>
      <c r="S194" s="230">
        <v>6.21</v>
      </c>
      <c r="T194" s="115">
        <v>118</v>
      </c>
      <c r="U194" s="109">
        <v>14043.027</v>
      </c>
      <c r="V194" s="118">
        <v>91.2</v>
      </c>
      <c r="W194" s="119">
        <v>33.637999999999998</v>
      </c>
      <c r="X194" s="121">
        <v>373</v>
      </c>
      <c r="Y194" s="108">
        <v>47.4</v>
      </c>
      <c r="Z194" s="119">
        <v>14043</v>
      </c>
      <c r="AA194" s="96">
        <v>67.299700000000001</v>
      </c>
      <c r="AB194" s="94">
        <v>221.25200000000001</v>
      </c>
      <c r="AC194" s="94">
        <v>9.1</v>
      </c>
      <c r="AD194" s="96">
        <v>90.179000000000002</v>
      </c>
    </row>
    <row r="195" spans="1:30">
      <c r="A195" s="109">
        <v>18</v>
      </c>
      <c r="B195" s="110" t="s">
        <v>19</v>
      </c>
      <c r="C195" s="110" t="s">
        <v>18</v>
      </c>
      <c r="D195" s="111">
        <v>2016</v>
      </c>
      <c r="E195" s="109">
        <v>30.6</v>
      </c>
      <c r="F195" s="93">
        <v>-1.99438</v>
      </c>
      <c r="G195" s="93">
        <v>-1200000000</v>
      </c>
      <c r="H195" s="94">
        <v>108351</v>
      </c>
      <c r="I195" s="96">
        <v>0.74</v>
      </c>
      <c r="J195" s="109">
        <v>30.891000999999999</v>
      </c>
      <c r="K195" s="112">
        <v>4.0552000000000001</v>
      </c>
      <c r="L195" s="109">
        <v>387</v>
      </c>
      <c r="M195" s="93">
        <v>49.200001</v>
      </c>
      <c r="N195" s="114">
        <v>87.4</v>
      </c>
      <c r="O195" s="112">
        <v>7.1</v>
      </c>
      <c r="P195" s="115">
        <v>2087.8000000000002</v>
      </c>
      <c r="Q195" s="116">
        <v>586</v>
      </c>
      <c r="R195" s="102">
        <v>1924</v>
      </c>
      <c r="S195" s="230">
        <v>4.6399999999999997</v>
      </c>
      <c r="T195" s="115">
        <v>118</v>
      </c>
      <c r="U195" s="109">
        <v>13998.786</v>
      </c>
      <c r="V195" s="118">
        <v>90.9</v>
      </c>
      <c r="W195" s="119">
        <v>30.890999999999998</v>
      </c>
      <c r="X195" s="121">
        <v>387</v>
      </c>
      <c r="Y195" s="108">
        <v>49.2</v>
      </c>
      <c r="Z195" s="119">
        <v>13998.8</v>
      </c>
      <c r="AA195" s="96">
        <v>60.542999999999999</v>
      </c>
      <c r="AB195" s="94">
        <v>226.072</v>
      </c>
      <c r="AC195" s="94">
        <v>13.5</v>
      </c>
      <c r="AD195" s="96">
        <v>90.46</v>
      </c>
    </row>
    <row r="196" spans="1:30">
      <c r="A196" s="109">
        <v>18</v>
      </c>
      <c r="B196" s="110" t="s">
        <v>19</v>
      </c>
      <c r="C196" s="110" t="s">
        <v>18</v>
      </c>
      <c r="D196" s="111">
        <v>2017</v>
      </c>
      <c r="E196" s="109">
        <v>31.3</v>
      </c>
      <c r="F196" s="93">
        <v>22.855799999999999</v>
      </c>
      <c r="G196" s="93">
        <v>15000000000</v>
      </c>
      <c r="H196" s="94">
        <v>107142</v>
      </c>
      <c r="I196" s="96">
        <v>0.73</v>
      </c>
      <c r="J196" s="109">
        <v>32.426997999999998</v>
      </c>
      <c r="K196" s="112">
        <v>3.8776999999999999</v>
      </c>
      <c r="L196" s="109">
        <v>405</v>
      </c>
      <c r="M196" s="93">
        <v>48.900002000000001</v>
      </c>
      <c r="N196" s="114">
        <v>89.1</v>
      </c>
      <c r="O196" s="112">
        <v>1.6</v>
      </c>
      <c r="P196" s="115">
        <v>1532.2</v>
      </c>
      <c r="Q196" s="116">
        <v>657</v>
      </c>
      <c r="R196" s="102">
        <v>1956</v>
      </c>
      <c r="S196" s="230">
        <v>9.6300000000000008</v>
      </c>
      <c r="T196" s="115">
        <v>122</v>
      </c>
      <c r="U196" s="109">
        <v>14711.663</v>
      </c>
      <c r="V196" s="118">
        <v>91.4</v>
      </c>
      <c r="W196" s="119">
        <v>32.427</v>
      </c>
      <c r="X196" s="121">
        <v>405</v>
      </c>
      <c r="Y196" s="108">
        <v>48.9</v>
      </c>
      <c r="Z196" s="119">
        <v>14711.7</v>
      </c>
      <c r="AA196" s="96">
        <v>58.7973</v>
      </c>
      <c r="AB196" s="94">
        <v>231.63499999999999</v>
      </c>
      <c r="AC196" s="94">
        <v>15.3</v>
      </c>
      <c r="AD196" s="96">
        <v>90.727000000000004</v>
      </c>
    </row>
    <row r="197" spans="1:30">
      <c r="A197" s="109">
        <v>18</v>
      </c>
      <c r="B197" s="110" t="s">
        <v>19</v>
      </c>
      <c r="C197" s="110" t="s">
        <v>18</v>
      </c>
      <c r="D197" s="111">
        <v>2018</v>
      </c>
      <c r="E197" s="109">
        <v>31.3</v>
      </c>
      <c r="F197" s="93">
        <v>30.784500000000001</v>
      </c>
      <c r="G197" s="93">
        <v>22000000000</v>
      </c>
      <c r="H197" s="94">
        <v>106377</v>
      </c>
      <c r="I197" s="96">
        <v>0.73</v>
      </c>
      <c r="J197" s="109">
        <v>28.334999</v>
      </c>
      <c r="K197" s="112">
        <v>4.1608000000000001</v>
      </c>
      <c r="L197" s="109">
        <v>419</v>
      </c>
      <c r="M197" s="93">
        <v>49</v>
      </c>
      <c r="N197" s="114">
        <v>88</v>
      </c>
      <c r="O197" s="112">
        <v>1.8</v>
      </c>
      <c r="P197" s="115">
        <v>1676.6</v>
      </c>
      <c r="Q197" s="116">
        <v>710</v>
      </c>
      <c r="R197" s="102">
        <v>2106</v>
      </c>
      <c r="S197" s="230">
        <v>3.83</v>
      </c>
      <c r="T197" s="115">
        <v>122</v>
      </c>
      <c r="U197" s="109">
        <v>13076.89</v>
      </c>
      <c r="V197" s="118">
        <v>91.2</v>
      </c>
      <c r="W197" s="119">
        <v>28.335000000000001</v>
      </c>
      <c r="X197" s="121">
        <v>419</v>
      </c>
      <c r="Y197" s="108">
        <v>49</v>
      </c>
      <c r="Z197" s="119">
        <v>13076.9</v>
      </c>
      <c r="AA197" s="96">
        <v>57.164499999999997</v>
      </c>
      <c r="AB197" s="94">
        <v>236.14699999999999</v>
      </c>
      <c r="AC197" s="94">
        <v>16</v>
      </c>
      <c r="AD197" s="96">
        <v>90.980999999999995</v>
      </c>
    </row>
    <row r="198" spans="1:30">
      <c r="A198" s="109">
        <v>18</v>
      </c>
      <c r="B198" s="110" t="s">
        <v>19</v>
      </c>
      <c r="C198" s="110" t="s">
        <v>18</v>
      </c>
      <c r="D198" s="111">
        <v>2019</v>
      </c>
      <c r="E198" s="109">
        <v>32.200000000000003</v>
      </c>
      <c r="F198" s="93">
        <v>252.92</v>
      </c>
      <c r="G198" s="93">
        <v>180000000000</v>
      </c>
      <c r="H198" s="94">
        <v>107351</v>
      </c>
      <c r="I198" s="96">
        <v>0.73</v>
      </c>
      <c r="J198" s="109">
        <v>27.068000999999999</v>
      </c>
      <c r="K198" s="112">
        <v>4.2287999999999997</v>
      </c>
      <c r="L198" s="109">
        <v>428</v>
      </c>
      <c r="M198" s="93">
        <v>48.900002000000001</v>
      </c>
      <c r="N198" s="114">
        <v>88.5</v>
      </c>
      <c r="O198" s="112">
        <v>9.1</v>
      </c>
      <c r="P198" s="115">
        <v>1483.2</v>
      </c>
      <c r="Q198" s="116">
        <v>806</v>
      </c>
      <c r="R198" s="102">
        <v>2074</v>
      </c>
      <c r="S198" s="230">
        <v>3.23</v>
      </c>
      <c r="T198" s="115">
        <v>125</v>
      </c>
      <c r="U198" s="109">
        <v>11442.116</v>
      </c>
      <c r="V198" s="118">
        <v>91</v>
      </c>
      <c r="W198" s="119">
        <v>27.068000000000001</v>
      </c>
      <c r="X198" s="121">
        <v>428</v>
      </c>
      <c r="Y198" s="108">
        <v>48.9</v>
      </c>
      <c r="Z198" s="119">
        <v>0</v>
      </c>
      <c r="AA198" s="96">
        <v>58.255400000000002</v>
      </c>
      <c r="AB198" s="94">
        <v>240.828</v>
      </c>
      <c r="AC198" s="94">
        <v>16.399999999999999</v>
      </c>
      <c r="AD198" s="96">
        <v>91.222999999999999</v>
      </c>
    </row>
    <row r="199" spans="1:30">
      <c r="A199" s="109">
        <v>18</v>
      </c>
      <c r="B199" s="110" t="s">
        <v>19</v>
      </c>
      <c r="C199" s="110" t="s">
        <v>18</v>
      </c>
      <c r="D199" s="111">
        <v>2020</v>
      </c>
      <c r="E199" s="109">
        <v>32.799999999999997</v>
      </c>
      <c r="F199" s="93">
        <v>200.83199999999999</v>
      </c>
      <c r="G199" s="93">
        <v>150000000000</v>
      </c>
      <c r="H199" s="94">
        <v>104616</v>
      </c>
      <c r="I199" s="96">
        <v>0.72</v>
      </c>
      <c r="J199" s="109">
        <v>27.395</v>
      </c>
      <c r="K199" s="112">
        <v>4.0842999999999998</v>
      </c>
      <c r="L199" s="109">
        <v>381</v>
      </c>
      <c r="M199" s="93">
        <v>52.799999</v>
      </c>
      <c r="N199" s="114">
        <v>87.9</v>
      </c>
      <c r="O199" s="112">
        <v>9.4</v>
      </c>
      <c r="P199" s="115">
        <v>936.1</v>
      </c>
      <c r="Q199" s="116">
        <v>751</v>
      </c>
      <c r="R199" s="102">
        <v>2100</v>
      </c>
      <c r="S199" s="230">
        <v>3.97</v>
      </c>
      <c r="T199" s="115">
        <v>126</v>
      </c>
      <c r="U199" s="109">
        <v>9807.3428000000004</v>
      </c>
      <c r="V199" s="118">
        <v>90.4</v>
      </c>
      <c r="W199" s="119">
        <v>27.395</v>
      </c>
      <c r="X199" s="121">
        <v>381</v>
      </c>
      <c r="Y199" s="108">
        <v>52.8</v>
      </c>
      <c r="Z199" s="119">
        <v>0</v>
      </c>
      <c r="AA199" s="96">
        <v>47.495699999999999</v>
      </c>
      <c r="AB199" s="94">
        <v>244.874</v>
      </c>
      <c r="AC199" s="94">
        <v>20.8</v>
      </c>
      <c r="AD199" s="96">
        <v>91.453000000000003</v>
      </c>
    </row>
    <row r="200" spans="1:30">
      <c r="A200" s="109">
        <v>19</v>
      </c>
      <c r="B200" s="110" t="s">
        <v>17</v>
      </c>
      <c r="C200" s="110" t="s">
        <v>16</v>
      </c>
      <c r="D200" s="111">
        <v>2010</v>
      </c>
      <c r="E200" s="109">
        <v>21</v>
      </c>
      <c r="F200" s="93">
        <v>2.02393</v>
      </c>
      <c r="G200" s="93">
        <v>470000000</v>
      </c>
      <c r="H200" s="94">
        <v>10500.9</v>
      </c>
      <c r="I200" s="96">
        <v>0.31</v>
      </c>
      <c r="J200" s="109">
        <v>11.654</v>
      </c>
      <c r="K200" s="112">
        <v>1.0379</v>
      </c>
      <c r="L200" s="109">
        <v>480</v>
      </c>
      <c r="M200" s="93">
        <v>9.3999995999999992</v>
      </c>
      <c r="N200" s="114">
        <v>84.6</v>
      </c>
      <c r="O200" s="112">
        <v>1.2</v>
      </c>
      <c r="P200" s="115">
        <v>48.8</v>
      </c>
      <c r="Q200" s="116">
        <v>326</v>
      </c>
      <c r="R200" s="102">
        <v>18815</v>
      </c>
      <c r="S200" s="230">
        <v>0.72</v>
      </c>
      <c r="T200" s="115">
        <v>100</v>
      </c>
      <c r="U200" s="109">
        <v>5150.2847000000002</v>
      </c>
      <c r="V200" s="118">
        <v>26.4</v>
      </c>
      <c r="W200" s="119">
        <v>11.654</v>
      </c>
      <c r="X200" s="121">
        <v>480</v>
      </c>
      <c r="Y200" s="108">
        <v>9.4</v>
      </c>
      <c r="Z200" s="119">
        <v>5150.28</v>
      </c>
      <c r="AA200" s="96">
        <v>90.432500000000005</v>
      </c>
      <c r="AB200" s="94">
        <v>33.708100000000002</v>
      </c>
      <c r="AC200" s="94">
        <v>33.1</v>
      </c>
      <c r="AD200" s="96">
        <v>67.840999999999994</v>
      </c>
    </row>
    <row r="201" spans="1:30">
      <c r="A201" s="109">
        <v>19</v>
      </c>
      <c r="B201" s="110" t="s">
        <v>17</v>
      </c>
      <c r="C201" s="110" t="s">
        <v>16</v>
      </c>
      <c r="D201" s="111">
        <v>2011</v>
      </c>
      <c r="E201" s="109">
        <v>22</v>
      </c>
      <c r="F201" s="93">
        <v>5.7177300000000004</v>
      </c>
      <c r="G201" s="93">
        <v>1500000000</v>
      </c>
      <c r="H201" s="94">
        <v>11018.5</v>
      </c>
      <c r="I201" s="96">
        <v>0.3</v>
      </c>
      <c r="J201" s="109">
        <v>14.446</v>
      </c>
      <c r="K201" s="112">
        <v>0.92090000000000005</v>
      </c>
      <c r="L201" s="109">
        <v>479</v>
      </c>
      <c r="M201" s="93">
        <v>9.6999998000000005</v>
      </c>
      <c r="N201" s="114">
        <v>81.5</v>
      </c>
      <c r="O201" s="112">
        <v>2.9</v>
      </c>
      <c r="P201" s="115">
        <v>59.1</v>
      </c>
      <c r="Q201" s="116">
        <v>319</v>
      </c>
      <c r="R201" s="102">
        <v>19182</v>
      </c>
      <c r="S201" s="230">
        <v>0</v>
      </c>
      <c r="T201" s="115">
        <v>99</v>
      </c>
      <c r="U201" s="109">
        <v>5081.0219999999999</v>
      </c>
      <c r="V201" s="118">
        <v>27.4</v>
      </c>
      <c r="W201" s="119">
        <v>14.446</v>
      </c>
      <c r="X201" s="121">
        <v>479</v>
      </c>
      <c r="Y201" s="108">
        <v>9.6999999999999993</v>
      </c>
      <c r="Z201" s="119">
        <v>5081.0200000000004</v>
      </c>
      <c r="AA201" s="96">
        <v>110.703</v>
      </c>
      <c r="AB201" s="94">
        <v>33.099899999999998</v>
      </c>
      <c r="AC201" s="94">
        <v>35.5</v>
      </c>
      <c r="AD201" s="96">
        <v>67.869</v>
      </c>
    </row>
    <row r="202" spans="1:30">
      <c r="A202" s="109">
        <v>19</v>
      </c>
      <c r="B202" s="110" t="s">
        <v>17</v>
      </c>
      <c r="C202" s="110" t="s">
        <v>16</v>
      </c>
      <c r="D202" s="111">
        <v>2012</v>
      </c>
      <c r="E202" s="109">
        <v>22.5</v>
      </c>
      <c r="F202" s="93">
        <v>3.9857399999999998</v>
      </c>
      <c r="G202" s="93">
        <v>1100000000</v>
      </c>
      <c r="H202" s="94">
        <v>11971</v>
      </c>
      <c r="I202" s="96">
        <v>0.28000000000000003</v>
      </c>
      <c r="J202" s="109">
        <v>13.606999999999999</v>
      </c>
      <c r="K202" s="112">
        <v>0.98119999999999996</v>
      </c>
      <c r="L202" s="109">
        <v>465</v>
      </c>
      <c r="M202" s="93">
        <v>14.6</v>
      </c>
      <c r="N202" s="114">
        <v>83.6</v>
      </c>
      <c r="O202" s="112">
        <v>1.3</v>
      </c>
      <c r="P202" s="115">
        <v>36.1</v>
      </c>
      <c r="Q202" s="116">
        <v>348</v>
      </c>
      <c r="R202" s="102">
        <v>20476</v>
      </c>
      <c r="S202" s="230">
        <v>1.1499999999999999</v>
      </c>
      <c r="T202" s="115">
        <v>98</v>
      </c>
      <c r="U202" s="109">
        <v>5084.9486999999999</v>
      </c>
      <c r="V202" s="118">
        <v>30.3</v>
      </c>
      <c r="W202" s="119">
        <v>13.606999999999999</v>
      </c>
      <c r="X202" s="121">
        <v>465</v>
      </c>
      <c r="Y202" s="108">
        <v>14.6</v>
      </c>
      <c r="Z202" s="119">
        <v>5084.95</v>
      </c>
      <c r="AA202" s="96">
        <v>115.57299999999999</v>
      </c>
      <c r="AB202" s="94">
        <v>32.691899999999997</v>
      </c>
      <c r="AC202" s="94">
        <v>40.4</v>
      </c>
      <c r="AD202" s="96">
        <v>67.897000000000006</v>
      </c>
    </row>
    <row r="203" spans="1:30">
      <c r="A203" s="109">
        <v>19</v>
      </c>
      <c r="B203" s="110" t="s">
        <v>17</v>
      </c>
      <c r="C203" s="110" t="s">
        <v>16</v>
      </c>
      <c r="D203" s="111">
        <v>2013</v>
      </c>
      <c r="E203" s="109">
        <v>22.5</v>
      </c>
      <c r="F203" s="93">
        <v>3.3935200000000001</v>
      </c>
      <c r="G203" s="93">
        <v>990000000</v>
      </c>
      <c r="H203" s="94">
        <v>12353.5</v>
      </c>
      <c r="I203" s="96">
        <v>0.26</v>
      </c>
      <c r="J203" s="109">
        <v>14.958</v>
      </c>
      <c r="K203" s="112">
        <v>0.92649999999999999</v>
      </c>
      <c r="L203" s="109">
        <v>654</v>
      </c>
      <c r="M203" s="93">
        <v>25.9</v>
      </c>
      <c r="N203" s="114">
        <v>90.3</v>
      </c>
      <c r="O203" s="112">
        <v>3.9</v>
      </c>
      <c r="P203" s="115">
        <v>44.9</v>
      </c>
      <c r="Q203" s="116">
        <v>349</v>
      </c>
      <c r="R203" s="102">
        <v>21567</v>
      </c>
      <c r="S203" s="230">
        <v>1.99</v>
      </c>
      <c r="T203" s="115">
        <v>94</v>
      </c>
      <c r="U203" s="109">
        <v>5270.7056000000002</v>
      </c>
      <c r="V203" s="118">
        <v>29.7</v>
      </c>
      <c r="W203" s="119">
        <v>14.958</v>
      </c>
      <c r="X203" s="121">
        <v>654</v>
      </c>
      <c r="Y203" s="108">
        <v>25.9</v>
      </c>
      <c r="Z203" s="119">
        <v>5270.71</v>
      </c>
      <c r="AA203" s="96">
        <v>110.908</v>
      </c>
      <c r="AB203" s="94">
        <v>32.343600000000002</v>
      </c>
      <c r="AC203" s="94">
        <v>39.6</v>
      </c>
      <c r="AD203" s="96">
        <v>67.924999999999997</v>
      </c>
    </row>
    <row r="204" spans="1:30">
      <c r="A204" s="109">
        <v>19</v>
      </c>
      <c r="B204" s="110" t="s">
        <v>17</v>
      </c>
      <c r="C204" s="110" t="s">
        <v>16</v>
      </c>
      <c r="D204" s="111">
        <v>2014</v>
      </c>
      <c r="E204" s="109">
        <v>21.5</v>
      </c>
      <c r="F204" s="93">
        <v>3.4518</v>
      </c>
      <c r="G204" s="93">
        <v>1000000000</v>
      </c>
      <c r="H204" s="94">
        <v>12731.7</v>
      </c>
      <c r="I204" s="96">
        <v>0.25</v>
      </c>
      <c r="J204" s="109">
        <v>14.996</v>
      </c>
      <c r="K204" s="112">
        <v>0.98809999999999998</v>
      </c>
      <c r="L204" s="109">
        <v>646</v>
      </c>
      <c r="M204" s="93">
        <v>27</v>
      </c>
      <c r="N204" s="114">
        <v>90.3</v>
      </c>
      <c r="O204" s="112">
        <v>5.3</v>
      </c>
      <c r="P204" s="115">
        <v>7.7</v>
      </c>
      <c r="Q204" s="116">
        <v>360</v>
      </c>
      <c r="R204" s="102">
        <v>22835</v>
      </c>
      <c r="S204" s="230">
        <v>0.04</v>
      </c>
      <c r="T204" s="115">
        <v>97</v>
      </c>
      <c r="U204" s="109">
        <v>5254.8545000000004</v>
      </c>
      <c r="V204" s="118">
        <v>31.1</v>
      </c>
      <c r="W204" s="119">
        <v>14.996</v>
      </c>
      <c r="X204" s="121">
        <v>646</v>
      </c>
      <c r="Y204" s="108">
        <v>27</v>
      </c>
      <c r="Z204" s="119">
        <v>5254.85</v>
      </c>
      <c r="AA204" s="96">
        <v>107.93300000000001</v>
      </c>
      <c r="AB204" s="94">
        <v>32.040500000000002</v>
      </c>
      <c r="AC204" s="94">
        <v>40.200000000000003</v>
      </c>
      <c r="AD204" s="96">
        <v>67.951999999999998</v>
      </c>
    </row>
    <row r="205" spans="1:30">
      <c r="A205" s="109">
        <v>19</v>
      </c>
      <c r="B205" s="110" t="s">
        <v>17</v>
      </c>
      <c r="C205" s="110" t="s">
        <v>16</v>
      </c>
      <c r="D205" s="111">
        <v>2015</v>
      </c>
      <c r="E205" s="109">
        <v>22.2</v>
      </c>
      <c r="F205" s="93">
        <v>3.0854300000000001</v>
      </c>
      <c r="G205" s="93">
        <v>810000000</v>
      </c>
      <c r="H205" s="94">
        <v>13322</v>
      </c>
      <c r="I205" s="96">
        <v>0.24</v>
      </c>
      <c r="J205" s="109">
        <v>16.131001000000001</v>
      </c>
      <c r="K205" s="112">
        <v>0.95979999999999999</v>
      </c>
      <c r="L205" s="109">
        <v>653</v>
      </c>
      <c r="M205" s="93">
        <v>28.700001</v>
      </c>
      <c r="N205" s="114">
        <v>82.2</v>
      </c>
      <c r="O205" s="112">
        <v>5.3</v>
      </c>
      <c r="P205" s="115">
        <v>0.7</v>
      </c>
      <c r="Q205" s="116">
        <v>365</v>
      </c>
      <c r="R205" s="102">
        <v>23214</v>
      </c>
      <c r="S205" s="230">
        <v>1.1599999999999999</v>
      </c>
      <c r="T205" s="115">
        <v>100</v>
      </c>
      <c r="U205" s="109">
        <v>5380.8500999999997</v>
      </c>
      <c r="V205" s="118">
        <v>31.4</v>
      </c>
      <c r="W205" s="119">
        <v>16.131</v>
      </c>
      <c r="X205" s="121">
        <v>653</v>
      </c>
      <c r="Y205" s="108">
        <v>28.7</v>
      </c>
      <c r="Z205" s="119">
        <v>5380.85</v>
      </c>
      <c r="AA205" s="96">
        <v>102.50700000000001</v>
      </c>
      <c r="AB205" s="94">
        <v>31.779199999999999</v>
      </c>
      <c r="AC205" s="94">
        <v>38.1</v>
      </c>
      <c r="AD205" s="96">
        <v>67.98</v>
      </c>
    </row>
    <row r="206" spans="1:30">
      <c r="A206" s="109">
        <v>19</v>
      </c>
      <c r="B206" s="110" t="s">
        <v>17</v>
      </c>
      <c r="C206" s="110" t="s">
        <v>16</v>
      </c>
      <c r="D206" s="111">
        <v>2016</v>
      </c>
      <c r="E206" s="109">
        <v>21.4</v>
      </c>
      <c r="F206" s="93">
        <v>1.2369399999999999</v>
      </c>
      <c r="G206" s="93">
        <v>340000000</v>
      </c>
      <c r="H206" s="94">
        <v>13787.3</v>
      </c>
      <c r="I206" s="96">
        <v>0.25</v>
      </c>
      <c r="J206" s="109">
        <v>14.500999999999999</v>
      </c>
      <c r="K206" s="112">
        <v>1.0949</v>
      </c>
      <c r="L206" s="109">
        <v>678</v>
      </c>
      <c r="M206" s="93">
        <v>25.200001</v>
      </c>
      <c r="N206" s="114">
        <v>88.5</v>
      </c>
      <c r="O206" s="112">
        <v>6.6</v>
      </c>
      <c r="P206" s="115">
        <v>75.3</v>
      </c>
      <c r="Q206" s="116">
        <v>389</v>
      </c>
      <c r="R206" s="102">
        <v>23624</v>
      </c>
      <c r="S206" s="230">
        <v>0.51</v>
      </c>
      <c r="T206" s="115">
        <v>102</v>
      </c>
      <c r="U206" s="109">
        <v>5656.7637000000004</v>
      </c>
      <c r="V206" s="118">
        <v>32</v>
      </c>
      <c r="W206" s="119">
        <v>14.500999999999999</v>
      </c>
      <c r="X206" s="121">
        <v>678</v>
      </c>
      <c r="Y206" s="108">
        <v>25.2</v>
      </c>
      <c r="Z206" s="119">
        <v>5656.76</v>
      </c>
      <c r="AA206" s="96">
        <v>98.565100000000001</v>
      </c>
      <c r="AB206" s="94">
        <v>31.490100000000002</v>
      </c>
      <c r="AC206" s="94">
        <v>38.5</v>
      </c>
      <c r="AD206" s="96">
        <v>68.021000000000001</v>
      </c>
    </row>
    <row r="207" spans="1:30">
      <c r="A207" s="109">
        <v>19</v>
      </c>
      <c r="B207" s="110" t="s">
        <v>17</v>
      </c>
      <c r="C207" s="110" t="s">
        <v>16</v>
      </c>
      <c r="D207" s="111">
        <v>2017</v>
      </c>
      <c r="E207" s="109">
        <v>21.9</v>
      </c>
      <c r="F207" s="93">
        <v>4.0488</v>
      </c>
      <c r="G207" s="93">
        <v>1200000000</v>
      </c>
      <c r="H207" s="94">
        <v>14382.9</v>
      </c>
      <c r="I207" s="96">
        <v>0.25</v>
      </c>
      <c r="J207" s="109">
        <v>16.427</v>
      </c>
      <c r="K207" s="112">
        <v>1.0106999999999999</v>
      </c>
      <c r="L207" s="109">
        <v>679</v>
      </c>
      <c r="M207" s="93">
        <v>24.799999</v>
      </c>
      <c r="N207" s="114">
        <v>80.8</v>
      </c>
      <c r="O207" s="112">
        <v>5.5</v>
      </c>
      <c r="P207" s="115">
        <v>49</v>
      </c>
      <c r="Q207" s="116">
        <v>411</v>
      </c>
      <c r="R207" s="102">
        <v>23397</v>
      </c>
      <c r="S207" s="230">
        <v>0.51</v>
      </c>
      <c r="T207" s="115">
        <v>102</v>
      </c>
      <c r="U207" s="109">
        <v>5777.3813</v>
      </c>
      <c r="V207" s="118">
        <v>30.5</v>
      </c>
      <c r="W207" s="119">
        <v>16.427</v>
      </c>
      <c r="X207" s="121">
        <v>679</v>
      </c>
      <c r="Y207" s="108">
        <v>24.8</v>
      </c>
      <c r="Z207" s="119">
        <v>5777.38</v>
      </c>
      <c r="AA207" s="96">
        <v>106.015</v>
      </c>
      <c r="AB207" s="94">
        <v>31.212299999999999</v>
      </c>
      <c r="AC207" s="94">
        <v>42.6</v>
      </c>
      <c r="AD207" s="96">
        <v>68.075000000000003</v>
      </c>
    </row>
    <row r="208" spans="1:30">
      <c r="A208" s="109">
        <v>19</v>
      </c>
      <c r="B208" s="110" t="s">
        <v>17</v>
      </c>
      <c r="C208" s="110" t="s">
        <v>16</v>
      </c>
      <c r="D208" s="111">
        <v>2018</v>
      </c>
      <c r="E208" s="109">
        <v>22</v>
      </c>
      <c r="F208" s="93">
        <v>1.32077</v>
      </c>
      <c r="G208" s="93">
        <v>440000000</v>
      </c>
      <c r="H208" s="94">
        <v>15120.1</v>
      </c>
      <c r="I208" s="96">
        <v>0.25</v>
      </c>
      <c r="J208" s="109">
        <v>17.047999999999998</v>
      </c>
      <c r="K208" s="112">
        <v>0.9647</v>
      </c>
      <c r="L208" s="109">
        <v>672</v>
      </c>
      <c r="M208" s="93">
        <v>25.200001</v>
      </c>
      <c r="N208" s="114">
        <v>81.400000000000006</v>
      </c>
      <c r="O208" s="112">
        <v>4.7</v>
      </c>
      <c r="P208" s="115">
        <v>38.6</v>
      </c>
      <c r="Q208" s="116">
        <v>512</v>
      </c>
      <c r="R208" s="102">
        <v>22420</v>
      </c>
      <c r="S208" s="230">
        <v>0</v>
      </c>
      <c r="T208" s="115">
        <v>102</v>
      </c>
      <c r="U208" s="109">
        <v>4970.0097999999998</v>
      </c>
      <c r="V208" s="118">
        <v>32.9</v>
      </c>
      <c r="W208" s="119">
        <v>17.047999999999998</v>
      </c>
      <c r="X208" s="121">
        <v>672</v>
      </c>
      <c r="Y208" s="108">
        <v>25.2</v>
      </c>
      <c r="Z208" s="119">
        <v>4970.01</v>
      </c>
      <c r="AA208" s="96">
        <v>107.81699999999999</v>
      </c>
      <c r="AB208" s="94">
        <v>30.970099999999999</v>
      </c>
      <c r="AC208" s="94">
        <v>41</v>
      </c>
      <c r="AD208" s="96">
        <v>68.141999999999996</v>
      </c>
    </row>
    <row r="209" spans="1:30">
      <c r="A209" s="109">
        <v>19</v>
      </c>
      <c r="B209" s="110" t="s">
        <v>17</v>
      </c>
      <c r="C209" s="110" t="s">
        <v>16</v>
      </c>
      <c r="D209" s="111">
        <v>2019</v>
      </c>
      <c r="E209" s="109">
        <v>22.6</v>
      </c>
      <c r="F209" s="93">
        <v>3.371</v>
      </c>
      <c r="G209" s="93">
        <v>1100000000</v>
      </c>
      <c r="H209" s="94">
        <v>15328.4</v>
      </c>
      <c r="I209" s="96">
        <v>0.22</v>
      </c>
      <c r="J209" s="109">
        <v>17.306000000000001</v>
      </c>
      <c r="K209" s="112">
        <v>0.96840000000000004</v>
      </c>
      <c r="L209" s="109">
        <v>683</v>
      </c>
      <c r="M209" s="93">
        <v>41</v>
      </c>
      <c r="N209" s="114">
        <v>83</v>
      </c>
      <c r="O209" s="112">
        <v>4.8</v>
      </c>
      <c r="P209" s="115">
        <v>2.7</v>
      </c>
      <c r="Q209" s="116">
        <v>552</v>
      </c>
      <c r="R209" s="102">
        <v>21108</v>
      </c>
      <c r="S209" s="230">
        <v>0</v>
      </c>
      <c r="T209" s="115">
        <v>103</v>
      </c>
      <c r="U209" s="109">
        <v>6995.9408999999996</v>
      </c>
      <c r="V209" s="118">
        <v>31.5</v>
      </c>
      <c r="W209" s="119">
        <v>17.306000000000001</v>
      </c>
      <c r="X209" s="121">
        <v>683</v>
      </c>
      <c r="Y209" s="108">
        <v>41</v>
      </c>
      <c r="Z209" s="119">
        <v>6995.94</v>
      </c>
      <c r="AA209" s="96">
        <v>104.727</v>
      </c>
      <c r="AB209" s="94">
        <v>30.755500000000001</v>
      </c>
      <c r="AC209" s="94">
        <v>41.5</v>
      </c>
      <c r="AD209" s="96">
        <v>68.221999999999994</v>
      </c>
    </row>
    <row r="210" spans="1:30">
      <c r="A210" s="109">
        <v>19</v>
      </c>
      <c r="B210" s="110" t="s">
        <v>17</v>
      </c>
      <c r="C210" s="110" t="s">
        <v>16</v>
      </c>
      <c r="D210" s="111">
        <v>2020</v>
      </c>
      <c r="E210" s="109">
        <v>23.2</v>
      </c>
      <c r="F210" s="93">
        <v>2.8141400000000001</v>
      </c>
      <c r="G210" s="93">
        <v>940000000</v>
      </c>
      <c r="H210" s="94">
        <v>14900.7</v>
      </c>
      <c r="I210" s="96">
        <v>0.21</v>
      </c>
      <c r="J210" s="109">
        <v>17.551000999999999</v>
      </c>
      <c r="K210" s="112">
        <v>0.93100000000000005</v>
      </c>
      <c r="L210" s="109">
        <v>695</v>
      </c>
      <c r="M210" s="93">
        <v>39.700001</v>
      </c>
      <c r="N210" s="114">
        <v>83.5</v>
      </c>
      <c r="O210" s="112">
        <v>5.2</v>
      </c>
      <c r="P210" s="115">
        <v>5</v>
      </c>
      <c r="Q210" s="116">
        <v>478</v>
      </c>
      <c r="R210" s="102">
        <v>23720</v>
      </c>
      <c r="S210" s="230">
        <v>0.26</v>
      </c>
      <c r="T210" s="115">
        <v>104</v>
      </c>
      <c r="U210" s="109">
        <v>7534.9961000000003</v>
      </c>
      <c r="V210" s="118">
        <v>32</v>
      </c>
      <c r="W210" s="119">
        <v>17.550999999999998</v>
      </c>
      <c r="X210" s="121">
        <v>695</v>
      </c>
      <c r="Y210" s="108">
        <v>39.700000000000003</v>
      </c>
      <c r="Z210" s="119">
        <v>7535</v>
      </c>
      <c r="AA210" s="96">
        <v>104.188</v>
      </c>
      <c r="AB210" s="94">
        <v>30.539100000000001</v>
      </c>
      <c r="AC210" s="94">
        <v>43.8</v>
      </c>
      <c r="AD210" s="96">
        <v>68.314999999999998</v>
      </c>
    </row>
    <row r="211" spans="1:30">
      <c r="A211" s="109">
        <v>20</v>
      </c>
      <c r="B211" s="110" t="s">
        <v>15</v>
      </c>
      <c r="C211" s="110" t="s">
        <v>14</v>
      </c>
      <c r="D211" s="111">
        <v>2010</v>
      </c>
      <c r="E211" s="109">
        <v>15.5</v>
      </c>
      <c r="F211" s="93">
        <v>101.626</v>
      </c>
      <c r="G211" s="93">
        <v>9200000000</v>
      </c>
      <c r="H211" s="94">
        <v>20750.599999999999</v>
      </c>
      <c r="I211" s="96">
        <v>0.51</v>
      </c>
      <c r="J211" s="109">
        <v>13.776</v>
      </c>
      <c r="K211" s="112">
        <v>2.5857000000000001</v>
      </c>
      <c r="L211" s="109">
        <v>803</v>
      </c>
      <c r="M211" s="93">
        <v>8.8999995999999992</v>
      </c>
      <c r="N211" s="114">
        <v>56.4</v>
      </c>
      <c r="O211" s="112">
        <v>5.3</v>
      </c>
      <c r="P211" s="115">
        <v>4.9000000000000004</v>
      </c>
      <c r="Q211" s="116">
        <v>132</v>
      </c>
      <c r="R211" s="102">
        <v>4436</v>
      </c>
      <c r="S211" s="230">
        <v>0</v>
      </c>
      <c r="T211" s="115">
        <v>100</v>
      </c>
      <c r="U211" s="109">
        <v>7419.8339999999998</v>
      </c>
      <c r="V211" s="118">
        <v>57.7</v>
      </c>
      <c r="W211" s="119">
        <v>13.776</v>
      </c>
      <c r="X211" s="121">
        <v>803</v>
      </c>
      <c r="Y211" s="108">
        <v>8.9</v>
      </c>
      <c r="Z211" s="119">
        <v>7419.83</v>
      </c>
      <c r="AA211" s="96">
        <v>95.063800000000001</v>
      </c>
      <c r="AB211" s="94">
        <v>1295.3399999999999</v>
      </c>
      <c r="AC211" s="94">
        <v>1.2</v>
      </c>
      <c r="AD211" s="96">
        <v>94.072000000000003</v>
      </c>
    </row>
    <row r="212" spans="1:30">
      <c r="A212" s="109">
        <v>20</v>
      </c>
      <c r="B212" s="110" t="s">
        <v>15</v>
      </c>
      <c r="C212" s="110" t="s">
        <v>14</v>
      </c>
      <c r="D212" s="111">
        <v>2011</v>
      </c>
      <c r="E212" s="109">
        <v>15.5</v>
      </c>
      <c r="F212" s="93">
        <v>79.748900000000006</v>
      </c>
      <c r="G212" s="93">
        <v>7800000000</v>
      </c>
      <c r="H212" s="94">
        <v>20867.8</v>
      </c>
      <c r="I212" s="96">
        <v>0.51</v>
      </c>
      <c r="J212" s="109">
        <v>13.589</v>
      </c>
      <c r="K212" s="112">
        <v>1.9716</v>
      </c>
      <c r="L212" s="109">
        <v>791</v>
      </c>
      <c r="M212" s="93">
        <v>15.4</v>
      </c>
      <c r="N212" s="114">
        <v>122.8</v>
      </c>
      <c r="O212" s="112">
        <v>4.5</v>
      </c>
      <c r="P212" s="115">
        <v>1.6</v>
      </c>
      <c r="Q212" s="116">
        <v>144</v>
      </c>
      <c r="R212" s="102">
        <v>4359</v>
      </c>
      <c r="S212" s="230">
        <v>0</v>
      </c>
      <c r="T212" s="115">
        <v>102</v>
      </c>
      <c r="U212" s="109">
        <v>6626.7847000000002</v>
      </c>
      <c r="V212" s="118">
        <v>62.4</v>
      </c>
      <c r="W212" s="119">
        <v>13.589</v>
      </c>
      <c r="X212" s="121">
        <v>791</v>
      </c>
      <c r="Y212" s="108">
        <v>15.4</v>
      </c>
      <c r="Z212" s="119">
        <v>6626.78</v>
      </c>
      <c r="AA212" s="96">
        <v>109.08799999999999</v>
      </c>
      <c r="AB212" s="94">
        <v>1300.8399999999999</v>
      </c>
      <c r="AC212" s="94">
        <v>2</v>
      </c>
      <c r="AD212" s="96">
        <v>94.141000000000005</v>
      </c>
    </row>
    <row r="213" spans="1:30">
      <c r="A213" s="109">
        <v>20</v>
      </c>
      <c r="B213" s="110" t="s">
        <v>15</v>
      </c>
      <c r="C213" s="110" t="s">
        <v>14</v>
      </c>
      <c r="D213" s="111">
        <v>2012</v>
      </c>
      <c r="E213" s="109">
        <v>16</v>
      </c>
      <c r="F213" s="93">
        <v>34.586500000000001</v>
      </c>
      <c r="G213" s="93">
        <v>3300000000</v>
      </c>
      <c r="H213" s="94">
        <v>21529.5</v>
      </c>
      <c r="I213" s="96">
        <v>0.53</v>
      </c>
      <c r="J213" s="109">
        <v>11.734</v>
      </c>
      <c r="K213" s="112">
        <v>1.8024</v>
      </c>
      <c r="L213" s="109">
        <v>790</v>
      </c>
      <c r="M213" s="93">
        <v>14.8</v>
      </c>
      <c r="N213" s="114">
        <v>71.7</v>
      </c>
      <c r="O213" s="112">
        <v>3.9</v>
      </c>
      <c r="P213" s="115">
        <v>1.2</v>
      </c>
      <c r="Q213" s="116">
        <v>156</v>
      </c>
      <c r="R213" s="102">
        <v>4361</v>
      </c>
      <c r="S213" s="230">
        <v>0</v>
      </c>
      <c r="T213" s="115">
        <v>107</v>
      </c>
      <c r="U213" s="109">
        <v>6527.2606999999998</v>
      </c>
      <c r="V213" s="118">
        <v>68.099999999999994</v>
      </c>
      <c r="W213" s="119">
        <v>11.734</v>
      </c>
      <c r="X213" s="121">
        <v>790</v>
      </c>
      <c r="Y213" s="108">
        <v>14.8</v>
      </c>
      <c r="Z213" s="119">
        <v>6527.26</v>
      </c>
      <c r="AA213" s="96">
        <v>112.88800000000001</v>
      </c>
      <c r="AB213" s="94">
        <v>1312.59</v>
      </c>
      <c r="AC213" s="94">
        <v>2.7</v>
      </c>
      <c r="AD213" s="96">
        <v>94.210999999999999</v>
      </c>
    </row>
    <row r="214" spans="1:30">
      <c r="A214" s="109">
        <v>20</v>
      </c>
      <c r="B214" s="110" t="s">
        <v>15</v>
      </c>
      <c r="C214" s="110" t="s">
        <v>14</v>
      </c>
      <c r="D214" s="111">
        <v>2013</v>
      </c>
      <c r="E214" s="109">
        <v>16</v>
      </c>
      <c r="F214" s="93">
        <v>4.7241600000000004</v>
      </c>
      <c r="G214" s="93">
        <v>510000000</v>
      </c>
      <c r="H214" s="94">
        <v>22565</v>
      </c>
      <c r="I214" s="96">
        <v>0.54</v>
      </c>
      <c r="J214" s="109">
        <v>12.587999999999999</v>
      </c>
      <c r="K214" s="112">
        <v>2.2766000000000002</v>
      </c>
      <c r="L214" s="109">
        <v>793</v>
      </c>
      <c r="M214" s="93">
        <v>12.5</v>
      </c>
      <c r="N214" s="114">
        <v>97.5</v>
      </c>
      <c r="O214" s="112">
        <v>6.3</v>
      </c>
      <c r="P214" s="115">
        <v>0.1</v>
      </c>
      <c r="Q214" s="116">
        <v>169</v>
      </c>
      <c r="R214" s="102">
        <v>4365</v>
      </c>
      <c r="S214" s="230">
        <v>0</v>
      </c>
      <c r="T214" s="115">
        <v>110</v>
      </c>
      <c r="U214" s="109">
        <v>4740.8549999999996</v>
      </c>
      <c r="V214" s="118">
        <v>68.8</v>
      </c>
      <c r="W214" s="119">
        <v>12.587999999999999</v>
      </c>
      <c r="X214" s="121">
        <v>793</v>
      </c>
      <c r="Y214" s="108">
        <v>12.5</v>
      </c>
      <c r="Z214" s="119">
        <v>4740.8500000000004</v>
      </c>
      <c r="AA214" s="96">
        <v>90.573300000000003</v>
      </c>
      <c r="AB214" s="94">
        <v>1331.15</v>
      </c>
      <c r="AC214" s="94">
        <v>3.2</v>
      </c>
      <c r="AD214" s="96">
        <v>94.278999999999996</v>
      </c>
    </row>
    <row r="215" spans="1:30">
      <c r="A215" s="109">
        <v>20</v>
      </c>
      <c r="B215" s="110" t="s">
        <v>15</v>
      </c>
      <c r="C215" s="110" t="s">
        <v>14</v>
      </c>
      <c r="D215" s="111">
        <v>2014</v>
      </c>
      <c r="E215" s="109">
        <v>15.4</v>
      </c>
      <c r="F215" s="93">
        <v>1.3112200000000001</v>
      </c>
      <c r="G215" s="93">
        <v>160000000</v>
      </c>
      <c r="H215" s="94">
        <v>23806.799999999999</v>
      </c>
      <c r="I215" s="96">
        <v>0.53</v>
      </c>
      <c r="J215" s="109">
        <v>11.731999999999999</v>
      </c>
      <c r="K215" s="112">
        <v>1.7686999999999999</v>
      </c>
      <c r="L215" s="109">
        <v>721</v>
      </c>
      <c r="M215" s="93">
        <v>11.7</v>
      </c>
      <c r="N215" s="114">
        <v>107.1</v>
      </c>
      <c r="O215" s="112">
        <v>6.4</v>
      </c>
      <c r="P215" s="115">
        <v>4.5999999999999996</v>
      </c>
      <c r="Q215" s="116">
        <v>181</v>
      </c>
      <c r="R215" s="102">
        <v>4393</v>
      </c>
      <c r="S215" s="230">
        <v>1.73</v>
      </c>
      <c r="T215" s="115">
        <v>114</v>
      </c>
      <c r="U215" s="109">
        <v>3936.3499000000002</v>
      </c>
      <c r="V215" s="118">
        <v>74</v>
      </c>
      <c r="W215" s="119">
        <v>11.731999999999999</v>
      </c>
      <c r="X215" s="121">
        <v>721</v>
      </c>
      <c r="Y215" s="108">
        <v>11.7</v>
      </c>
      <c r="Z215" s="119">
        <v>3936.35</v>
      </c>
      <c r="AA215" s="96">
        <v>81.821799999999996</v>
      </c>
      <c r="AB215" s="94">
        <v>1357.99</v>
      </c>
      <c r="AC215" s="94">
        <v>4.5</v>
      </c>
      <c r="AD215" s="96">
        <v>94.346999999999994</v>
      </c>
    </row>
    <row r="216" spans="1:30">
      <c r="A216" s="109">
        <v>20</v>
      </c>
      <c r="B216" s="110" t="s">
        <v>15</v>
      </c>
      <c r="C216" s="110" t="s">
        <v>14</v>
      </c>
      <c r="D216" s="111">
        <v>2015</v>
      </c>
      <c r="E216" s="109">
        <v>16.2</v>
      </c>
      <c r="F216" s="93">
        <v>32.102699999999999</v>
      </c>
      <c r="G216" s="93">
        <v>3600000000</v>
      </c>
      <c r="H216" s="94">
        <v>25481.9</v>
      </c>
      <c r="I216" s="96">
        <v>0.54</v>
      </c>
      <c r="J216" s="109">
        <v>13.973000000000001</v>
      </c>
      <c r="K216" s="112">
        <v>1.627</v>
      </c>
      <c r="L216" s="109">
        <v>271</v>
      </c>
      <c r="M216" s="93">
        <v>10.9</v>
      </c>
      <c r="N216" s="114">
        <v>65.099999999999994</v>
      </c>
      <c r="O216" s="112">
        <v>4.5999999999999996</v>
      </c>
      <c r="P216" s="115">
        <v>2.8</v>
      </c>
      <c r="Q216" s="116">
        <v>195</v>
      </c>
      <c r="R216" s="102">
        <v>4474</v>
      </c>
      <c r="S216" s="230">
        <v>2.25</v>
      </c>
      <c r="T216" s="115">
        <v>117</v>
      </c>
      <c r="U216" s="109">
        <v>4136.3095999999996</v>
      </c>
      <c r="V216" s="118">
        <v>74.599999999999994</v>
      </c>
      <c r="W216" s="119">
        <v>13.973000000000001</v>
      </c>
      <c r="X216" s="121">
        <v>271</v>
      </c>
      <c r="Y216" s="108">
        <v>10.9</v>
      </c>
      <c r="Z216" s="119">
        <v>4136.3100000000004</v>
      </c>
      <c r="AA216" s="96">
        <v>76.211600000000004</v>
      </c>
      <c r="AB216" s="94">
        <v>1390.79</v>
      </c>
      <c r="AC216" s="94">
        <v>6</v>
      </c>
      <c r="AD216" s="96">
        <v>94.414000000000001</v>
      </c>
    </row>
    <row r="217" spans="1:30">
      <c r="A217" s="109">
        <v>20</v>
      </c>
      <c r="B217" s="110" t="s">
        <v>15</v>
      </c>
      <c r="C217" s="110" t="s">
        <v>14</v>
      </c>
      <c r="D217" s="111">
        <v>2016</v>
      </c>
      <c r="E217" s="109">
        <v>15.2</v>
      </c>
      <c r="F217" s="93">
        <v>23.084</v>
      </c>
      <c r="G217" s="93">
        <v>2800000000</v>
      </c>
      <c r="H217" s="94">
        <v>25920.9</v>
      </c>
      <c r="I217" s="96">
        <v>0.52</v>
      </c>
      <c r="J217" s="109">
        <v>11.981</v>
      </c>
      <c r="K217" s="112">
        <v>1.671</v>
      </c>
      <c r="L217" s="109">
        <v>305</v>
      </c>
      <c r="M217" s="93">
        <v>12.7</v>
      </c>
      <c r="N217" s="114">
        <v>103.4</v>
      </c>
      <c r="O217" s="112">
        <v>4.2</v>
      </c>
      <c r="P217" s="115">
        <v>0.3</v>
      </c>
      <c r="Q217" s="116">
        <v>246</v>
      </c>
      <c r="R217" s="102">
        <v>4749</v>
      </c>
      <c r="S217" s="230">
        <v>0</v>
      </c>
      <c r="T217" s="115">
        <v>124</v>
      </c>
      <c r="U217" s="109">
        <v>4247.5298000000003</v>
      </c>
      <c r="V217" s="118">
        <v>75.3</v>
      </c>
      <c r="W217" s="119">
        <v>11.981</v>
      </c>
      <c r="X217" s="121">
        <v>305</v>
      </c>
      <c r="Y217" s="108">
        <v>12.7</v>
      </c>
      <c r="Z217" s="119">
        <v>4247.53</v>
      </c>
      <c r="AA217" s="96">
        <v>80.0779</v>
      </c>
      <c r="AB217" s="94">
        <v>1422.99</v>
      </c>
      <c r="AC217" s="94">
        <v>9.1999999999999993</v>
      </c>
      <c r="AD217" s="96">
        <v>94.48</v>
      </c>
    </row>
    <row r="218" spans="1:30">
      <c r="A218" s="109">
        <v>20</v>
      </c>
      <c r="B218" s="110" t="s">
        <v>15</v>
      </c>
      <c r="C218" s="110" t="s">
        <v>14</v>
      </c>
      <c r="D218" s="111">
        <v>2017</v>
      </c>
      <c r="E218" s="109">
        <v>15.7</v>
      </c>
      <c r="F218" s="93">
        <v>299.82499999999999</v>
      </c>
      <c r="G218" s="93">
        <v>42000000000</v>
      </c>
      <c r="H218" s="94">
        <v>28492.3</v>
      </c>
      <c r="I218" s="96">
        <v>0.56000000000000005</v>
      </c>
      <c r="J218" s="109">
        <v>10.78</v>
      </c>
      <c r="K218" s="112">
        <v>2.1501000000000001</v>
      </c>
      <c r="L218" s="109">
        <v>343</v>
      </c>
      <c r="M218" s="93">
        <v>11.5</v>
      </c>
      <c r="N218" s="114">
        <v>72.099999999999994</v>
      </c>
      <c r="O218" s="112">
        <v>6.5</v>
      </c>
      <c r="P218" s="115">
        <v>2.9</v>
      </c>
      <c r="Q218" s="116">
        <v>297</v>
      </c>
      <c r="R218" s="102">
        <v>4809</v>
      </c>
      <c r="S218" s="230">
        <v>0</v>
      </c>
      <c r="T218" s="115">
        <v>133</v>
      </c>
      <c r="U218" s="109">
        <v>5349.6162000000004</v>
      </c>
      <c r="V218" s="118">
        <v>77.099999999999994</v>
      </c>
      <c r="W218" s="119">
        <v>10.78</v>
      </c>
      <c r="X218" s="121">
        <v>343</v>
      </c>
      <c r="Y218" s="108">
        <v>11.5</v>
      </c>
      <c r="Z218" s="119">
        <v>5349.62</v>
      </c>
      <c r="AA218" s="96">
        <v>62.529299999999999</v>
      </c>
      <c r="AB218" s="94">
        <v>1462.5</v>
      </c>
      <c r="AC218" s="94">
        <v>7.3</v>
      </c>
      <c r="AD218" s="96">
        <v>94.546000000000006</v>
      </c>
    </row>
    <row r="219" spans="1:30">
      <c r="A219" s="109">
        <v>20</v>
      </c>
      <c r="B219" s="110" t="s">
        <v>15</v>
      </c>
      <c r="C219" s="110" t="s">
        <v>14</v>
      </c>
      <c r="D219" s="111">
        <v>2018</v>
      </c>
      <c r="E219" s="109">
        <v>16</v>
      </c>
      <c r="F219" s="93">
        <v>452.221</v>
      </c>
      <c r="G219" s="93">
        <v>73000000000</v>
      </c>
      <c r="H219" s="94">
        <v>29492.6</v>
      </c>
      <c r="I219" s="96">
        <v>0.53</v>
      </c>
      <c r="J219" s="109">
        <v>9.9980001000000005</v>
      </c>
      <c r="K219" s="112">
        <v>1.9567000000000001</v>
      </c>
      <c r="L219" s="109">
        <v>304</v>
      </c>
      <c r="M219" s="93">
        <v>10.4</v>
      </c>
      <c r="N219" s="114">
        <v>73.599999999999994</v>
      </c>
      <c r="O219" s="112">
        <v>8.3000000000000007</v>
      </c>
      <c r="P219" s="115">
        <v>0.1</v>
      </c>
      <c r="Q219" s="116">
        <v>348</v>
      </c>
      <c r="R219" s="102">
        <v>4949</v>
      </c>
      <c r="S219" s="230">
        <v>0</v>
      </c>
      <c r="T219" s="115">
        <v>136</v>
      </c>
      <c r="U219" s="109">
        <v>4737.8915999999999</v>
      </c>
      <c r="V219" s="118">
        <v>75.099999999999994</v>
      </c>
      <c r="W219" s="119">
        <v>9.9979999999999993</v>
      </c>
      <c r="X219" s="121">
        <v>304</v>
      </c>
      <c r="Y219" s="108">
        <v>10.4</v>
      </c>
      <c r="Z219" s="119">
        <v>4737.8900000000003</v>
      </c>
      <c r="AA219" s="96">
        <v>61.663600000000002</v>
      </c>
      <c r="AB219" s="94">
        <v>1514.47</v>
      </c>
      <c r="AC219" s="94">
        <v>7.6</v>
      </c>
      <c r="AD219" s="96">
        <v>94.611999999999995</v>
      </c>
    </row>
    <row r="220" spans="1:30">
      <c r="A220" s="109">
        <v>20</v>
      </c>
      <c r="B220" s="110" t="s">
        <v>15</v>
      </c>
      <c r="C220" s="110" t="s">
        <v>14</v>
      </c>
      <c r="D220" s="111">
        <v>2019</v>
      </c>
      <c r="E220" s="109">
        <v>16.8</v>
      </c>
      <c r="F220" s="93">
        <v>198.2</v>
      </c>
      <c r="G220" s="93">
        <v>32000000000</v>
      </c>
      <c r="H220" s="94">
        <v>29513.9</v>
      </c>
      <c r="I220" s="96">
        <v>0.52</v>
      </c>
      <c r="J220" s="109">
        <v>10.988</v>
      </c>
      <c r="K220" s="112">
        <v>2.2004000000000001</v>
      </c>
      <c r="L220" s="109">
        <v>318</v>
      </c>
      <c r="M220" s="93">
        <v>9.1000004000000008</v>
      </c>
      <c r="N220" s="114">
        <v>59.8</v>
      </c>
      <c r="O220" s="112">
        <v>12.8</v>
      </c>
      <c r="P220" s="115">
        <v>0.3</v>
      </c>
      <c r="Q220" s="116">
        <v>414</v>
      </c>
      <c r="R220" s="102">
        <v>5029</v>
      </c>
      <c r="S220" s="230">
        <v>0</v>
      </c>
      <c r="T220" s="115">
        <v>142</v>
      </c>
      <c r="U220" s="109">
        <v>12672.775</v>
      </c>
      <c r="V220" s="118">
        <v>70.099999999999994</v>
      </c>
      <c r="W220" s="119">
        <v>10.988</v>
      </c>
      <c r="X220" s="121">
        <v>318</v>
      </c>
      <c r="Y220" s="108">
        <v>9.1</v>
      </c>
      <c r="Z220" s="119">
        <v>12672.8</v>
      </c>
      <c r="AA220" s="96">
        <v>64.6721</v>
      </c>
      <c r="AB220" s="94">
        <v>1575.19</v>
      </c>
      <c r="AC220" s="94">
        <v>7.4</v>
      </c>
      <c r="AD220" s="96">
        <v>94.677999999999997</v>
      </c>
    </row>
    <row r="221" spans="1:30">
      <c r="A221" s="109">
        <v>20</v>
      </c>
      <c r="B221" s="110" t="s">
        <v>15</v>
      </c>
      <c r="C221" s="110" t="s">
        <v>14</v>
      </c>
      <c r="D221" s="111">
        <v>2020</v>
      </c>
      <c r="E221" s="109">
        <v>17.2</v>
      </c>
      <c r="F221" s="93">
        <v>192.14099999999999</v>
      </c>
      <c r="G221" s="93">
        <v>31000000000</v>
      </c>
      <c r="H221" s="94">
        <v>27865.3</v>
      </c>
      <c r="I221" s="96">
        <v>0.53</v>
      </c>
      <c r="J221" s="109">
        <v>11.098000000000001</v>
      </c>
      <c r="K221" s="112">
        <v>1.8367</v>
      </c>
      <c r="L221" s="109">
        <v>320</v>
      </c>
      <c r="M221" s="93">
        <v>10.9</v>
      </c>
      <c r="N221" s="114">
        <v>58.3</v>
      </c>
      <c r="O221" s="112">
        <v>16.5</v>
      </c>
      <c r="P221" s="115">
        <v>0.2</v>
      </c>
      <c r="Q221" s="116">
        <v>389</v>
      </c>
      <c r="R221" s="102">
        <v>4857</v>
      </c>
      <c r="S221" s="230">
        <v>0</v>
      </c>
      <c r="T221" s="115">
        <v>140</v>
      </c>
      <c r="U221" s="109">
        <v>12579.778</v>
      </c>
      <c r="V221" s="118">
        <v>69.3</v>
      </c>
      <c r="W221" s="119">
        <v>11.098000000000001</v>
      </c>
      <c r="X221" s="121">
        <v>320</v>
      </c>
      <c r="Y221" s="108">
        <v>10.9</v>
      </c>
      <c r="Z221" s="119">
        <v>12579.8</v>
      </c>
      <c r="AA221" s="96">
        <v>52.209499999999998</v>
      </c>
      <c r="AB221" s="94">
        <v>1610.41</v>
      </c>
      <c r="AC221" s="94">
        <v>9.1999999999999993</v>
      </c>
      <c r="AD221" s="96">
        <v>94.744</v>
      </c>
    </row>
    <row r="222" spans="1:30">
      <c r="A222" s="109">
        <v>21</v>
      </c>
      <c r="B222" s="110" t="s">
        <v>13</v>
      </c>
      <c r="C222" s="110" t="s">
        <v>12</v>
      </c>
      <c r="D222" s="111">
        <v>2010</v>
      </c>
      <c r="E222" s="109">
        <v>25</v>
      </c>
      <c r="F222" s="93">
        <v>6.2507599999999996</v>
      </c>
      <c r="G222" s="93">
        <v>53000000000</v>
      </c>
      <c r="H222" s="94">
        <v>44659.3</v>
      </c>
      <c r="I222" s="96">
        <v>0.81</v>
      </c>
      <c r="J222" s="109">
        <v>11.702</v>
      </c>
      <c r="K222" s="112">
        <v>3.5455000000000001</v>
      </c>
      <c r="L222" s="109">
        <v>410</v>
      </c>
      <c r="M222" s="93">
        <v>49.200001</v>
      </c>
      <c r="N222" s="114">
        <v>79.900000000000006</v>
      </c>
      <c r="O222" s="112">
        <v>25.5</v>
      </c>
      <c r="P222" s="115">
        <v>19598.2</v>
      </c>
      <c r="Q222" s="116">
        <v>7212</v>
      </c>
      <c r="R222" s="102">
        <v>97728</v>
      </c>
      <c r="S222" s="230">
        <v>0.68</v>
      </c>
      <c r="T222" s="115">
        <v>100</v>
      </c>
      <c r="U222" s="109">
        <v>10571.016</v>
      </c>
      <c r="V222" s="118">
        <v>72.3</v>
      </c>
      <c r="W222" s="119">
        <v>11.702</v>
      </c>
      <c r="X222" s="121">
        <v>410</v>
      </c>
      <c r="Y222" s="108">
        <v>49.2</v>
      </c>
      <c r="Z222" s="119">
        <v>10571</v>
      </c>
      <c r="AA222" s="96">
        <v>127.94199999999999</v>
      </c>
      <c r="AB222" s="94">
        <v>492.6</v>
      </c>
      <c r="AC222" s="94">
        <v>3.9</v>
      </c>
      <c r="AD222" s="96">
        <v>87.134</v>
      </c>
    </row>
    <row r="223" spans="1:30">
      <c r="A223" s="109">
        <v>21</v>
      </c>
      <c r="B223" s="110" t="s">
        <v>13</v>
      </c>
      <c r="C223" s="110" t="s">
        <v>12</v>
      </c>
      <c r="D223" s="111">
        <v>2011</v>
      </c>
      <c r="E223" s="109">
        <v>25.5</v>
      </c>
      <c r="F223" s="93">
        <v>38.813299999999998</v>
      </c>
      <c r="G223" s="93">
        <v>350000000000</v>
      </c>
      <c r="H223" s="94">
        <v>45239.7</v>
      </c>
      <c r="I223" s="96">
        <v>0.78</v>
      </c>
      <c r="J223" s="109">
        <v>11.914999999999999</v>
      </c>
      <c r="K223" s="112">
        <v>3.6305999999999998</v>
      </c>
      <c r="L223" s="109">
        <v>411</v>
      </c>
      <c r="M223" s="93">
        <v>49.099997999999999</v>
      </c>
      <c r="N223" s="114">
        <v>81.8</v>
      </c>
      <c r="O223" s="112">
        <v>25</v>
      </c>
      <c r="P223" s="115">
        <v>22106.2</v>
      </c>
      <c r="Q223" s="116">
        <v>7245</v>
      </c>
      <c r="R223" s="102">
        <v>98805</v>
      </c>
      <c r="S223" s="230">
        <v>1.1100000000000001</v>
      </c>
      <c r="T223" s="115">
        <v>97</v>
      </c>
      <c r="U223" s="109">
        <v>10515.981</v>
      </c>
      <c r="V223" s="118">
        <v>72.5</v>
      </c>
      <c r="W223" s="119">
        <v>11.914999999999999</v>
      </c>
      <c r="X223" s="121">
        <v>411</v>
      </c>
      <c r="Y223" s="108">
        <v>49.1</v>
      </c>
      <c r="Z223" s="119">
        <v>10516</v>
      </c>
      <c r="AA223" s="96">
        <v>138.14599999999999</v>
      </c>
      <c r="AB223" s="94">
        <v>495.05</v>
      </c>
      <c r="AC223" s="94">
        <v>4.7</v>
      </c>
      <c r="AD223" s="96">
        <v>87.879000000000005</v>
      </c>
    </row>
    <row r="224" spans="1:30">
      <c r="A224" s="109">
        <v>21</v>
      </c>
      <c r="B224" s="110" t="s">
        <v>13</v>
      </c>
      <c r="C224" s="110" t="s">
        <v>12</v>
      </c>
      <c r="D224" s="111">
        <v>2012</v>
      </c>
      <c r="E224" s="109">
        <v>27</v>
      </c>
      <c r="F224" s="93">
        <v>30.700500000000002</v>
      </c>
      <c r="G224" s="93">
        <v>260000000000</v>
      </c>
      <c r="H224" s="94">
        <v>44631.9</v>
      </c>
      <c r="I224" s="96">
        <v>0.75</v>
      </c>
      <c r="J224" s="109">
        <v>10.426</v>
      </c>
      <c r="K224" s="112">
        <v>3.7286999999999999</v>
      </c>
      <c r="L224" s="109">
        <v>407</v>
      </c>
      <c r="M224" s="93">
        <v>49.400002000000001</v>
      </c>
      <c r="N224" s="114">
        <v>83</v>
      </c>
      <c r="O224" s="112">
        <v>26.3</v>
      </c>
      <c r="P224" s="115">
        <v>25925</v>
      </c>
      <c r="Q224" s="116">
        <v>7386</v>
      </c>
      <c r="R224" s="102">
        <v>99896</v>
      </c>
      <c r="S224" s="230">
        <v>1.1100000000000001</v>
      </c>
      <c r="T224" s="115">
        <v>98</v>
      </c>
      <c r="U224" s="109">
        <v>10431.257</v>
      </c>
      <c r="V224" s="118">
        <v>73.400000000000006</v>
      </c>
      <c r="W224" s="119">
        <v>10.426</v>
      </c>
      <c r="X224" s="121">
        <v>407</v>
      </c>
      <c r="Y224" s="108">
        <v>49.4</v>
      </c>
      <c r="Z224" s="119">
        <v>10431.299999999999</v>
      </c>
      <c r="AA224" s="96">
        <v>146.898</v>
      </c>
      <c r="AB224" s="94">
        <v>496.88499999999999</v>
      </c>
      <c r="AC224" s="94">
        <v>4.9000000000000004</v>
      </c>
      <c r="AD224" s="96">
        <v>88.587999999999994</v>
      </c>
    </row>
    <row r="225" spans="1:30">
      <c r="A225" s="109">
        <v>21</v>
      </c>
      <c r="B225" s="110" t="s">
        <v>13</v>
      </c>
      <c r="C225" s="110" t="s">
        <v>12</v>
      </c>
      <c r="D225" s="111">
        <v>2013</v>
      </c>
      <c r="E225" s="109">
        <v>27</v>
      </c>
      <c r="F225" s="93">
        <v>35.131500000000003</v>
      </c>
      <c r="G225" s="93">
        <v>310000000000</v>
      </c>
      <c r="H225" s="94">
        <v>44487</v>
      </c>
      <c r="I225" s="96">
        <v>0.74</v>
      </c>
      <c r="J225" s="109">
        <v>9.5290002999999999</v>
      </c>
      <c r="K225" s="112">
        <v>3.9167000000000001</v>
      </c>
      <c r="L225" s="109">
        <v>439</v>
      </c>
      <c r="M225" s="93">
        <v>49.799999</v>
      </c>
      <c r="N225" s="114">
        <v>83.1</v>
      </c>
      <c r="O225" s="112">
        <v>26.8</v>
      </c>
      <c r="P225" s="115">
        <v>19481.2</v>
      </c>
      <c r="Q225" s="116">
        <v>7023</v>
      </c>
      <c r="R225" s="102">
        <v>95338</v>
      </c>
      <c r="S225" s="230">
        <v>1.06</v>
      </c>
      <c r="T225" s="115">
        <v>102</v>
      </c>
      <c r="U225" s="109">
        <v>10750.746999999999</v>
      </c>
      <c r="V225" s="118">
        <v>73.3</v>
      </c>
      <c r="W225" s="119">
        <v>9.5289999999999999</v>
      </c>
      <c r="X225" s="121">
        <v>439</v>
      </c>
      <c r="Y225" s="108">
        <v>49.8</v>
      </c>
      <c r="Z225" s="119">
        <v>10750.7</v>
      </c>
      <c r="AA225" s="96">
        <v>142.684</v>
      </c>
      <c r="AB225" s="94">
        <v>498.79599999999999</v>
      </c>
      <c r="AC225" s="94">
        <v>5</v>
      </c>
      <c r="AD225" s="96">
        <v>89.186999999999998</v>
      </c>
    </row>
    <row r="226" spans="1:30">
      <c r="A226" s="109">
        <v>21</v>
      </c>
      <c r="B226" s="110" t="s">
        <v>13</v>
      </c>
      <c r="C226" s="110" t="s">
        <v>12</v>
      </c>
      <c r="D226" s="111">
        <v>2014</v>
      </c>
      <c r="E226" s="109">
        <v>26.2</v>
      </c>
      <c r="F226" s="93">
        <v>15.8698</v>
      </c>
      <c r="G226" s="93">
        <v>140000000000</v>
      </c>
      <c r="H226" s="94">
        <v>45042.1</v>
      </c>
      <c r="I226" s="96">
        <v>0.73</v>
      </c>
      <c r="J226" s="109">
        <v>9.2299994999999999</v>
      </c>
      <c r="K226" s="112">
        <v>3.9037000000000002</v>
      </c>
      <c r="L226" s="109">
        <v>478</v>
      </c>
      <c r="M226" s="93">
        <v>50.900002000000001</v>
      </c>
      <c r="N226" s="114">
        <v>82.4</v>
      </c>
      <c r="O226" s="112">
        <v>26.5</v>
      </c>
      <c r="P226" s="115">
        <v>17750.400000000001</v>
      </c>
      <c r="Q226" s="116">
        <v>7024</v>
      </c>
      <c r="R226" s="102">
        <v>92761</v>
      </c>
      <c r="S226" s="230">
        <v>1.32</v>
      </c>
      <c r="T226" s="115">
        <v>105</v>
      </c>
      <c r="U226" s="109">
        <v>10647.218999999999</v>
      </c>
      <c r="V226" s="118">
        <v>74.3</v>
      </c>
      <c r="W226" s="119">
        <v>9.23</v>
      </c>
      <c r="X226" s="121">
        <v>478</v>
      </c>
      <c r="Y226" s="108">
        <v>50.9</v>
      </c>
      <c r="Z226" s="119">
        <v>10647.2</v>
      </c>
      <c r="AA226" s="96">
        <v>139.97800000000001</v>
      </c>
      <c r="AB226" s="94">
        <v>500.59399999999999</v>
      </c>
      <c r="AC226" s="94">
        <v>5.6</v>
      </c>
      <c r="AD226" s="96">
        <v>89.69</v>
      </c>
    </row>
    <row r="227" spans="1:30">
      <c r="A227" s="109">
        <v>21</v>
      </c>
      <c r="B227" s="110" t="s">
        <v>13</v>
      </c>
      <c r="C227" s="110" t="s">
        <v>12</v>
      </c>
      <c r="D227" s="111">
        <v>2015</v>
      </c>
      <c r="E227" s="109">
        <v>27</v>
      </c>
      <c r="F227" s="93">
        <v>48.501100000000001</v>
      </c>
      <c r="G227" s="93">
        <v>380000000000</v>
      </c>
      <c r="H227" s="94">
        <v>45793.8</v>
      </c>
      <c r="I227" s="96">
        <v>0.72</v>
      </c>
      <c r="J227" s="109">
        <v>10.803000000000001</v>
      </c>
      <c r="K227" s="112">
        <v>3.8976000000000002</v>
      </c>
      <c r="L227" s="109">
        <v>461</v>
      </c>
      <c r="M227" s="93">
        <v>51.799999</v>
      </c>
      <c r="N227" s="114">
        <v>82.1</v>
      </c>
      <c r="O227" s="112">
        <v>26.7</v>
      </c>
      <c r="P227" s="115">
        <v>27479.5</v>
      </c>
      <c r="Q227" s="116">
        <v>7178</v>
      </c>
      <c r="R227" s="102">
        <v>95504</v>
      </c>
      <c r="S227" s="230">
        <v>1.41</v>
      </c>
      <c r="T227" s="115">
        <v>106</v>
      </c>
      <c r="U227" s="109">
        <v>10424.392</v>
      </c>
      <c r="V227" s="118">
        <v>77.099999999999994</v>
      </c>
      <c r="W227" s="119">
        <v>10.803000000000001</v>
      </c>
      <c r="X227" s="121">
        <v>461</v>
      </c>
      <c r="Y227" s="108">
        <v>51.8</v>
      </c>
      <c r="Z227" s="119">
        <v>10424.4</v>
      </c>
      <c r="AA227" s="96">
        <v>139.55000000000001</v>
      </c>
      <c r="AB227" s="94">
        <v>503.11599999999999</v>
      </c>
      <c r="AC227" s="94">
        <v>5.8</v>
      </c>
      <c r="AD227" s="96">
        <v>90.173000000000002</v>
      </c>
    </row>
    <row r="228" spans="1:30">
      <c r="A228" s="109">
        <v>21</v>
      </c>
      <c r="B228" s="110" t="s">
        <v>13</v>
      </c>
      <c r="C228" s="110" t="s">
        <v>12</v>
      </c>
      <c r="D228" s="111">
        <v>2016</v>
      </c>
      <c r="E228" s="109">
        <v>25.9</v>
      </c>
      <c r="F228" s="93">
        <v>34.567799999999998</v>
      </c>
      <c r="G228" s="93">
        <v>280000000000</v>
      </c>
      <c r="H228" s="94">
        <v>46655</v>
      </c>
      <c r="I228" s="96">
        <v>0.73</v>
      </c>
      <c r="J228" s="109">
        <v>8.3210000999999991</v>
      </c>
      <c r="K228" s="112">
        <v>4.3448000000000002</v>
      </c>
      <c r="L228" s="109">
        <v>464</v>
      </c>
      <c r="M228" s="93">
        <v>53.5</v>
      </c>
      <c r="N228" s="114">
        <v>80.900000000000006</v>
      </c>
      <c r="O228" s="112">
        <v>29</v>
      </c>
      <c r="P228" s="115">
        <v>24224.9</v>
      </c>
      <c r="Q228" s="116">
        <v>7654</v>
      </c>
      <c r="R228" s="102">
        <v>97501</v>
      </c>
      <c r="S228" s="230">
        <v>1.42</v>
      </c>
      <c r="T228" s="115">
        <v>109</v>
      </c>
      <c r="U228" s="109">
        <v>10047.965</v>
      </c>
      <c r="V228" s="118">
        <v>78.099999999999994</v>
      </c>
      <c r="W228" s="119">
        <v>8.3209999999999997</v>
      </c>
      <c r="X228" s="121">
        <v>464</v>
      </c>
      <c r="Y228" s="108">
        <v>53.5</v>
      </c>
      <c r="Z228" s="119">
        <v>10048</v>
      </c>
      <c r="AA228" s="96">
        <v>134.40199999999999</v>
      </c>
      <c r="AB228" s="94">
        <v>505.80099999999999</v>
      </c>
      <c r="AC228" s="94">
        <v>5.6</v>
      </c>
      <c r="AD228" s="96">
        <v>90.635000000000005</v>
      </c>
    </row>
    <row r="229" spans="1:30">
      <c r="A229" s="109">
        <v>21</v>
      </c>
      <c r="B229" s="110" t="s">
        <v>13</v>
      </c>
      <c r="C229" s="110" t="s">
        <v>12</v>
      </c>
      <c r="D229" s="111">
        <v>2017</v>
      </c>
      <c r="E229" s="109">
        <v>26.7</v>
      </c>
      <c r="F229" s="93">
        <v>23.520199999999999</v>
      </c>
      <c r="G229" s="93">
        <v>200000000000</v>
      </c>
      <c r="H229" s="94">
        <v>47670.1</v>
      </c>
      <c r="I229" s="96">
        <v>0.75</v>
      </c>
      <c r="J229" s="109">
        <v>7.9310001999999997</v>
      </c>
      <c r="K229" s="112">
        <v>4.0293999999999999</v>
      </c>
      <c r="L229" s="109">
        <v>533</v>
      </c>
      <c r="M229" s="93">
        <v>54.599997999999999</v>
      </c>
      <c r="N229" s="114">
        <v>81.599999999999994</v>
      </c>
      <c r="O229" s="112">
        <v>26.7</v>
      </c>
      <c r="P229" s="115">
        <v>34742.199999999997</v>
      </c>
      <c r="Q229" s="116">
        <v>7991</v>
      </c>
      <c r="R229" s="102">
        <v>101143</v>
      </c>
      <c r="S229" s="230">
        <v>1.43</v>
      </c>
      <c r="T229" s="115">
        <v>111</v>
      </c>
      <c r="U229" s="109">
        <v>9810.5889000000006</v>
      </c>
      <c r="V229" s="118">
        <v>78.8</v>
      </c>
      <c r="W229" s="119">
        <v>7.931</v>
      </c>
      <c r="X229" s="121">
        <v>533</v>
      </c>
      <c r="Y229" s="108">
        <v>54.6</v>
      </c>
      <c r="Z229" s="119">
        <v>9810.59</v>
      </c>
      <c r="AA229" s="96">
        <v>144.619</v>
      </c>
      <c r="AB229" s="94">
        <v>508.8</v>
      </c>
      <c r="AC229" s="94">
        <v>6.4</v>
      </c>
      <c r="AD229" s="96">
        <v>91.076999999999998</v>
      </c>
    </row>
    <row r="230" spans="1:30">
      <c r="A230" s="109">
        <v>21</v>
      </c>
      <c r="B230" s="110" t="s">
        <v>13</v>
      </c>
      <c r="C230" s="110" t="s">
        <v>12</v>
      </c>
      <c r="D230" s="111">
        <v>2018</v>
      </c>
      <c r="E230" s="109">
        <v>27</v>
      </c>
      <c r="F230" s="93">
        <v>-30.7775</v>
      </c>
      <c r="G230" s="93">
        <v>-290000000000</v>
      </c>
      <c r="H230" s="94">
        <v>48463</v>
      </c>
      <c r="I230" s="96">
        <v>0.74</v>
      </c>
      <c r="J230" s="109">
        <v>9.0010004000000006</v>
      </c>
      <c r="K230" s="112">
        <v>3.9192999999999998</v>
      </c>
      <c r="L230" s="109">
        <v>540</v>
      </c>
      <c r="M230" s="93">
        <v>55.900002000000001</v>
      </c>
      <c r="N230" s="114">
        <v>75.599999999999994</v>
      </c>
      <c r="O230" s="112">
        <v>25.8</v>
      </c>
      <c r="P230" s="115">
        <v>41549.9</v>
      </c>
      <c r="Q230" s="116">
        <v>8539</v>
      </c>
      <c r="R230" s="102">
        <v>105760</v>
      </c>
      <c r="S230" s="230">
        <v>1.94</v>
      </c>
      <c r="T230" s="115">
        <v>116</v>
      </c>
      <c r="U230" s="109">
        <v>8679.0342000000001</v>
      </c>
      <c r="V230" s="118">
        <v>80.400000000000006</v>
      </c>
      <c r="W230" s="119">
        <v>9.0009999999999994</v>
      </c>
      <c r="X230" s="121">
        <v>540</v>
      </c>
      <c r="Y230" s="108">
        <v>55.9</v>
      </c>
      <c r="Z230" s="119">
        <v>8679.0300000000007</v>
      </c>
      <c r="AA230" s="96">
        <v>147.59100000000001</v>
      </c>
      <c r="AB230" s="94">
        <v>511.78</v>
      </c>
      <c r="AC230" s="94">
        <v>7.4</v>
      </c>
      <c r="AD230" s="96">
        <v>91.49</v>
      </c>
    </row>
    <row r="231" spans="1:30">
      <c r="A231" s="109">
        <v>21</v>
      </c>
      <c r="B231" s="110" t="s">
        <v>13</v>
      </c>
      <c r="C231" s="110" t="s">
        <v>12</v>
      </c>
      <c r="D231" s="111">
        <v>2019</v>
      </c>
      <c r="E231" s="109">
        <v>27.7</v>
      </c>
      <c r="F231" s="93">
        <v>-13.673999999999999</v>
      </c>
      <c r="G231" s="93">
        <v>-130000000000</v>
      </c>
      <c r="H231" s="94">
        <v>49254</v>
      </c>
      <c r="I231" s="96">
        <v>0.73</v>
      </c>
      <c r="J231" s="109">
        <v>9.2959995000000006</v>
      </c>
      <c r="K231" s="112">
        <v>4.1224999999999996</v>
      </c>
      <c r="L231" s="109">
        <v>541</v>
      </c>
      <c r="M231" s="93">
        <v>56.900002000000001</v>
      </c>
      <c r="N231" s="114">
        <v>69.599999999999994</v>
      </c>
      <c r="O231" s="112">
        <v>25.6</v>
      </c>
      <c r="P231" s="115">
        <v>35751.1</v>
      </c>
      <c r="Q231" s="116">
        <v>8986</v>
      </c>
      <c r="R231" s="102">
        <v>108283</v>
      </c>
      <c r="S231" s="230">
        <v>1.93</v>
      </c>
      <c r="T231" s="115">
        <v>117</v>
      </c>
      <c r="U231" s="109">
        <v>7547.4795000000004</v>
      </c>
      <c r="V231" s="118">
        <v>80.599999999999994</v>
      </c>
      <c r="W231" s="119">
        <v>9.2959999999999994</v>
      </c>
      <c r="X231" s="121">
        <v>541</v>
      </c>
      <c r="Y231" s="108">
        <v>56.9</v>
      </c>
      <c r="Z231" s="119">
        <v>0</v>
      </c>
      <c r="AA231" s="96">
        <v>144.71600000000001</v>
      </c>
      <c r="AB231" s="94">
        <v>515.14300000000003</v>
      </c>
      <c r="AC231" s="94">
        <v>8.6</v>
      </c>
      <c r="AD231" s="96">
        <v>91.876000000000005</v>
      </c>
    </row>
    <row r="232" spans="1:30">
      <c r="A232" s="109">
        <v>21</v>
      </c>
      <c r="B232" s="110" t="s">
        <v>13</v>
      </c>
      <c r="C232" s="110" t="s">
        <v>12</v>
      </c>
      <c r="D232" s="111">
        <v>2020</v>
      </c>
      <c r="E232" s="109">
        <v>28.3</v>
      </c>
      <c r="F232" s="93">
        <v>-23.709499999999998</v>
      </c>
      <c r="G232" s="93">
        <v>-220000000000</v>
      </c>
      <c r="H232" s="94">
        <v>47086.6</v>
      </c>
      <c r="I232" s="96">
        <v>0.72</v>
      </c>
      <c r="J232" s="109">
        <v>9.2639999</v>
      </c>
      <c r="K232" s="112">
        <v>4.3422000000000001</v>
      </c>
      <c r="L232" s="109">
        <v>580</v>
      </c>
      <c r="M232" s="93">
        <v>56.900002000000001</v>
      </c>
      <c r="N232" s="114">
        <v>74</v>
      </c>
      <c r="O232" s="112">
        <v>27.1</v>
      </c>
      <c r="P232" s="115">
        <v>39992.400000000001</v>
      </c>
      <c r="Q232" s="116">
        <v>8488</v>
      </c>
      <c r="R232" s="102">
        <v>104905</v>
      </c>
      <c r="S232" s="230">
        <v>0.76</v>
      </c>
      <c r="T232" s="115">
        <v>109</v>
      </c>
      <c r="U232" s="109">
        <v>6415.9247999999998</v>
      </c>
      <c r="V232" s="118">
        <v>81</v>
      </c>
      <c r="W232" s="119">
        <v>9.2639999999999993</v>
      </c>
      <c r="X232" s="121">
        <v>580</v>
      </c>
      <c r="Y232" s="108">
        <v>56.9</v>
      </c>
      <c r="Z232" s="119">
        <v>0</v>
      </c>
      <c r="AA232" s="96">
        <v>136.155</v>
      </c>
      <c r="AB232" s="94">
        <v>518.01300000000003</v>
      </c>
      <c r="AC232" s="94">
        <v>10.7</v>
      </c>
      <c r="AD232" s="96">
        <v>92.236000000000004</v>
      </c>
    </row>
    <row r="233" spans="1:30">
      <c r="A233" s="109">
        <v>22</v>
      </c>
      <c r="B233" s="110" t="s">
        <v>11</v>
      </c>
      <c r="C233" s="110" t="s">
        <v>10</v>
      </c>
      <c r="D233" s="111">
        <v>2010</v>
      </c>
      <c r="E233" s="109">
        <v>17.5</v>
      </c>
      <c r="F233" s="93">
        <v>3.94489</v>
      </c>
      <c r="G233" s="93">
        <v>19000000000</v>
      </c>
      <c r="H233" s="94">
        <v>10808.4</v>
      </c>
      <c r="I233" s="96">
        <v>0.45</v>
      </c>
      <c r="J233" s="109">
        <v>15.673</v>
      </c>
      <c r="K233" s="112">
        <v>0.58730000000000004</v>
      </c>
      <c r="L233" s="109">
        <v>629</v>
      </c>
      <c r="M233" s="93">
        <v>16.299999</v>
      </c>
      <c r="N233" s="114">
        <v>78.400000000000006</v>
      </c>
      <c r="O233" s="112">
        <v>11.1</v>
      </c>
      <c r="P233" s="115">
        <v>556.4</v>
      </c>
      <c r="Q233" s="116">
        <v>6629</v>
      </c>
      <c r="R233" s="102">
        <v>371159</v>
      </c>
      <c r="S233" s="230">
        <v>0.91</v>
      </c>
      <c r="T233" s="115">
        <v>100</v>
      </c>
      <c r="U233" s="109">
        <v>9139.2353999999996</v>
      </c>
      <c r="V233" s="118">
        <v>16.899999999999999</v>
      </c>
      <c r="W233" s="119">
        <v>15.673</v>
      </c>
      <c r="X233" s="121">
        <v>629</v>
      </c>
      <c r="Y233" s="108">
        <v>16.3</v>
      </c>
      <c r="Z233" s="119">
        <v>9139.24</v>
      </c>
      <c r="AA233" s="96">
        <v>70.647300000000001</v>
      </c>
      <c r="AB233" s="94">
        <v>124.209</v>
      </c>
      <c r="AC233" s="94">
        <v>9.5</v>
      </c>
      <c r="AD233" s="96">
        <v>60.892000000000003</v>
      </c>
    </row>
    <row r="234" spans="1:30">
      <c r="A234" s="109">
        <v>22</v>
      </c>
      <c r="B234" s="110" t="s">
        <v>11</v>
      </c>
      <c r="C234" s="110" t="s">
        <v>10</v>
      </c>
      <c r="D234" s="111">
        <v>2011</v>
      </c>
      <c r="E234" s="109">
        <v>19</v>
      </c>
      <c r="F234" s="93">
        <v>3.5712899999999999</v>
      </c>
      <c r="G234" s="93">
        <v>19000000000</v>
      </c>
      <c r="H234" s="94">
        <v>11370.3</v>
      </c>
      <c r="I234" s="96">
        <v>0.48</v>
      </c>
      <c r="J234" s="109">
        <v>19.528998999999999</v>
      </c>
      <c r="K234" s="112">
        <v>0.498</v>
      </c>
      <c r="L234" s="109">
        <v>643</v>
      </c>
      <c r="M234" s="93">
        <v>11.4</v>
      </c>
      <c r="N234" s="114">
        <v>90</v>
      </c>
      <c r="O234" s="112">
        <v>9.4</v>
      </c>
      <c r="P234" s="115">
        <v>1331.9</v>
      </c>
      <c r="Q234" s="116">
        <v>7384</v>
      </c>
      <c r="R234" s="102">
        <v>380152</v>
      </c>
      <c r="S234" s="230">
        <v>0.97</v>
      </c>
      <c r="T234" s="115">
        <v>100</v>
      </c>
      <c r="U234" s="109">
        <v>9072.0234</v>
      </c>
      <c r="V234" s="118">
        <v>15.3</v>
      </c>
      <c r="W234" s="119">
        <v>19.529</v>
      </c>
      <c r="X234" s="121">
        <v>643</v>
      </c>
      <c r="Y234" s="108">
        <v>11.4</v>
      </c>
      <c r="Z234" s="119">
        <v>9072.02</v>
      </c>
      <c r="AA234" s="96">
        <v>75.645399999999995</v>
      </c>
      <c r="AB234" s="94">
        <v>124.29600000000001</v>
      </c>
      <c r="AC234" s="94">
        <v>10.4</v>
      </c>
      <c r="AD234" s="96">
        <v>60.78</v>
      </c>
    </row>
    <row r="235" spans="1:30">
      <c r="A235" s="109">
        <v>22</v>
      </c>
      <c r="B235" s="110" t="s">
        <v>11</v>
      </c>
      <c r="C235" s="110" t="s">
        <v>10</v>
      </c>
      <c r="D235" s="111">
        <v>2012</v>
      </c>
      <c r="E235" s="109">
        <v>20.5</v>
      </c>
      <c r="F235" s="93">
        <v>1.5288600000000001</v>
      </c>
      <c r="G235" s="93">
        <v>7600000000</v>
      </c>
      <c r="H235" s="94">
        <v>11542.2</v>
      </c>
      <c r="I235" s="96">
        <v>0.46</v>
      </c>
      <c r="J235" s="109">
        <v>16.399000000000001</v>
      </c>
      <c r="K235" s="112">
        <v>0.58960000000000001</v>
      </c>
      <c r="L235" s="109">
        <v>643</v>
      </c>
      <c r="M235" s="93">
        <v>12</v>
      </c>
      <c r="N235" s="114">
        <v>76.3</v>
      </c>
      <c r="O235" s="112">
        <v>11</v>
      </c>
      <c r="P235" s="115">
        <v>217.5</v>
      </c>
      <c r="Q235" s="116">
        <v>7376</v>
      </c>
      <c r="R235" s="102">
        <v>387443</v>
      </c>
      <c r="S235" s="230">
        <v>1.46</v>
      </c>
      <c r="T235" s="115">
        <v>100</v>
      </c>
      <c r="U235" s="109">
        <v>8864.9326000000001</v>
      </c>
      <c r="V235" s="118">
        <v>16.2</v>
      </c>
      <c r="W235" s="119">
        <v>16.399000000000001</v>
      </c>
      <c r="X235" s="121">
        <v>643</v>
      </c>
      <c r="Y235" s="108">
        <v>12</v>
      </c>
      <c r="Z235" s="119">
        <v>8864.93</v>
      </c>
      <c r="AA235" s="96">
        <v>77.172499999999999</v>
      </c>
      <c r="AB235" s="94">
        <v>124.3</v>
      </c>
      <c r="AC235" s="94">
        <v>10.9</v>
      </c>
      <c r="AD235" s="96">
        <v>60.654000000000003</v>
      </c>
    </row>
    <row r="236" spans="1:30">
      <c r="A236" s="109">
        <v>22</v>
      </c>
      <c r="B236" s="110" t="s">
        <v>11</v>
      </c>
      <c r="C236" s="110" t="s">
        <v>10</v>
      </c>
      <c r="D236" s="111">
        <v>2013</v>
      </c>
      <c r="E236" s="109">
        <v>20.5</v>
      </c>
      <c r="F236" s="93">
        <v>0.25898300000000002</v>
      </c>
      <c r="G236" s="93">
        <v>1300000000</v>
      </c>
      <c r="H236" s="94">
        <v>11628.2</v>
      </c>
      <c r="I236" s="96">
        <v>0.46</v>
      </c>
      <c r="J236" s="109">
        <v>15.401999999999999</v>
      </c>
      <c r="K236" s="112">
        <v>0.62360000000000004</v>
      </c>
      <c r="L236" s="109">
        <v>667</v>
      </c>
      <c r="M236" s="93">
        <v>15.1</v>
      </c>
      <c r="N236" s="114">
        <v>75.599999999999994</v>
      </c>
      <c r="O236" s="112">
        <v>12.2</v>
      </c>
      <c r="P236" s="115">
        <v>288.8</v>
      </c>
      <c r="Q236" s="116">
        <v>7781</v>
      </c>
      <c r="R236" s="102">
        <v>399380</v>
      </c>
      <c r="S236" s="230">
        <v>0.97</v>
      </c>
      <c r="T236" s="115">
        <v>100</v>
      </c>
      <c r="U236" s="109">
        <v>8943.4727000000003</v>
      </c>
      <c r="V236" s="118">
        <v>16</v>
      </c>
      <c r="W236" s="119">
        <v>15.401999999999999</v>
      </c>
      <c r="X236" s="121">
        <v>667</v>
      </c>
      <c r="Y236" s="108">
        <v>15.1</v>
      </c>
      <c r="Z236" s="119">
        <v>8943.4699999999993</v>
      </c>
      <c r="AA236" s="96">
        <v>79.623099999999994</v>
      </c>
      <c r="AB236" s="94">
        <v>124.229</v>
      </c>
      <c r="AC236" s="94">
        <v>11.4</v>
      </c>
      <c r="AD236" s="96">
        <v>60.529000000000003</v>
      </c>
    </row>
    <row r="237" spans="1:30">
      <c r="A237" s="109">
        <v>22</v>
      </c>
      <c r="B237" s="110" t="s">
        <v>11</v>
      </c>
      <c r="C237" s="110" t="s">
        <v>10</v>
      </c>
      <c r="D237" s="111">
        <v>2014</v>
      </c>
      <c r="E237" s="109">
        <v>20.2</v>
      </c>
      <c r="F237" s="93">
        <v>3.8508900000000001</v>
      </c>
      <c r="G237" s="93">
        <v>21000000000</v>
      </c>
      <c r="H237" s="94">
        <v>12093.2</v>
      </c>
      <c r="I237" s="96">
        <v>0.45</v>
      </c>
      <c r="J237" s="109">
        <v>15.516999999999999</v>
      </c>
      <c r="K237" s="112">
        <v>0.65339999999999998</v>
      </c>
      <c r="L237" s="109">
        <v>673</v>
      </c>
      <c r="M237" s="93">
        <v>26.5</v>
      </c>
      <c r="N237" s="114">
        <v>73.5</v>
      </c>
      <c r="O237" s="112">
        <v>13</v>
      </c>
      <c r="P237" s="115">
        <v>466.6</v>
      </c>
      <c r="Q237" s="116">
        <v>8000</v>
      </c>
      <c r="R237" s="102">
        <v>398677</v>
      </c>
      <c r="S237" s="230">
        <v>0.74</v>
      </c>
      <c r="T237" s="115">
        <v>105</v>
      </c>
      <c r="U237" s="109">
        <v>9228.9053000000004</v>
      </c>
      <c r="V237" s="118">
        <v>17</v>
      </c>
      <c r="W237" s="119">
        <v>15.516999999999999</v>
      </c>
      <c r="X237" s="121">
        <v>673</v>
      </c>
      <c r="Y237" s="108">
        <v>26.5</v>
      </c>
      <c r="Z237" s="119">
        <v>9228.91</v>
      </c>
      <c r="AA237" s="96">
        <v>81.8262</v>
      </c>
      <c r="AB237" s="94">
        <v>124.14400000000001</v>
      </c>
      <c r="AC237" s="94">
        <v>11.6</v>
      </c>
      <c r="AD237" s="96">
        <v>60.402999999999999</v>
      </c>
    </row>
    <row r="238" spans="1:30">
      <c r="A238" s="109">
        <v>22</v>
      </c>
      <c r="B238" s="110" t="s">
        <v>11</v>
      </c>
      <c r="C238" s="110" t="s">
        <v>10</v>
      </c>
      <c r="D238" s="111">
        <v>2015</v>
      </c>
      <c r="E238" s="109">
        <v>20.9</v>
      </c>
      <c r="F238" s="93">
        <v>3.2954599999999998</v>
      </c>
      <c r="G238" s="93">
        <v>16000000000</v>
      </c>
      <c r="H238" s="94">
        <v>12637.5</v>
      </c>
      <c r="I238" s="96">
        <v>0.46</v>
      </c>
      <c r="J238" s="109">
        <v>15.577</v>
      </c>
      <c r="K238" s="112">
        <v>0.68720000000000003</v>
      </c>
      <c r="L238" s="109">
        <v>697</v>
      </c>
      <c r="M238" s="93">
        <v>32.5</v>
      </c>
      <c r="N238" s="114">
        <v>69.7</v>
      </c>
      <c r="O238" s="112">
        <v>11.9</v>
      </c>
      <c r="P238" s="115">
        <v>484.5</v>
      </c>
      <c r="Q238" s="116">
        <v>8160</v>
      </c>
      <c r="R238" s="102">
        <v>418033</v>
      </c>
      <c r="S238" s="230">
        <v>1.83</v>
      </c>
      <c r="T238" s="115">
        <v>108</v>
      </c>
      <c r="U238" s="109">
        <v>9703.5810999999994</v>
      </c>
      <c r="V238" s="118">
        <v>17.600000000000001</v>
      </c>
      <c r="W238" s="119">
        <v>15.577</v>
      </c>
      <c r="X238" s="121">
        <v>697</v>
      </c>
      <c r="Y238" s="108">
        <v>32.5</v>
      </c>
      <c r="Z238" s="119">
        <v>9703.58</v>
      </c>
      <c r="AA238" s="96">
        <v>82.406800000000004</v>
      </c>
      <c r="AB238" s="94">
        <v>124.062</v>
      </c>
      <c r="AC238" s="94">
        <v>11.9</v>
      </c>
      <c r="AD238" s="96">
        <v>60.277999999999999</v>
      </c>
    </row>
    <row r="239" spans="1:30">
      <c r="A239" s="109">
        <v>22</v>
      </c>
      <c r="B239" s="110" t="s">
        <v>11</v>
      </c>
      <c r="C239" s="110" t="s">
        <v>10</v>
      </c>
      <c r="D239" s="111">
        <v>2016</v>
      </c>
      <c r="E239" s="109">
        <v>19.600000000000001</v>
      </c>
      <c r="F239" s="93">
        <v>3.81609</v>
      </c>
      <c r="G239" s="93">
        <v>18000000000</v>
      </c>
      <c r="H239" s="94">
        <v>13026.2</v>
      </c>
      <c r="I239" s="96">
        <v>0.45</v>
      </c>
      <c r="J239" s="109">
        <v>15.962</v>
      </c>
      <c r="K239" s="112">
        <v>0.68889999999999996</v>
      </c>
      <c r="L239" s="109">
        <v>642</v>
      </c>
      <c r="M239" s="93">
        <v>34.799999</v>
      </c>
      <c r="N239" s="114">
        <v>82.2</v>
      </c>
      <c r="O239" s="112">
        <v>1.6</v>
      </c>
      <c r="P239" s="115">
        <v>412.7</v>
      </c>
      <c r="Q239" s="116">
        <v>8263</v>
      </c>
      <c r="R239" s="102">
        <v>422007</v>
      </c>
      <c r="S239" s="230">
        <v>1.17</v>
      </c>
      <c r="T239" s="115">
        <v>116</v>
      </c>
      <c r="U239" s="109">
        <v>9701.8330000000005</v>
      </c>
      <c r="V239" s="118">
        <v>17.8</v>
      </c>
      <c r="W239" s="119">
        <v>15.962</v>
      </c>
      <c r="X239" s="121">
        <v>642</v>
      </c>
      <c r="Y239" s="108">
        <v>34.799999999999997</v>
      </c>
      <c r="Z239" s="119">
        <v>9701.83</v>
      </c>
      <c r="AA239" s="96">
        <v>85.222399999999993</v>
      </c>
      <c r="AB239" s="94">
        <v>124.008</v>
      </c>
      <c r="AC239" s="94">
        <v>11.3</v>
      </c>
      <c r="AD239" s="96">
        <v>60.177999999999997</v>
      </c>
    </row>
    <row r="240" spans="1:30">
      <c r="A240" s="109">
        <v>22</v>
      </c>
      <c r="B240" s="110" t="s">
        <v>11</v>
      </c>
      <c r="C240" s="110" t="s">
        <v>10</v>
      </c>
      <c r="D240" s="111">
        <v>2017</v>
      </c>
      <c r="E240" s="109">
        <v>20.100000000000001</v>
      </c>
      <c r="F240" s="93">
        <v>2.3781300000000001</v>
      </c>
      <c r="G240" s="93">
        <v>13000000000</v>
      </c>
      <c r="H240" s="94">
        <v>13695.6</v>
      </c>
      <c r="I240" s="96">
        <v>0.47</v>
      </c>
      <c r="J240" s="109">
        <v>17.292998999999998</v>
      </c>
      <c r="K240" s="112">
        <v>0.68049999999999999</v>
      </c>
      <c r="L240" s="109">
        <v>611</v>
      </c>
      <c r="M240" s="93">
        <v>33.799999</v>
      </c>
      <c r="N240" s="114">
        <v>82.7</v>
      </c>
      <c r="O240" s="112">
        <v>1.4</v>
      </c>
      <c r="P240" s="115">
        <v>1619.4</v>
      </c>
      <c r="Q240" s="116">
        <v>9092</v>
      </c>
      <c r="R240" s="102">
        <v>427247</v>
      </c>
      <c r="S240" s="230">
        <v>0.9</v>
      </c>
      <c r="T240" s="115">
        <v>119</v>
      </c>
      <c r="U240" s="109">
        <v>9251.5985999999994</v>
      </c>
      <c r="V240" s="118">
        <v>18.100000000000001</v>
      </c>
      <c r="W240" s="119">
        <v>17.292999999999999</v>
      </c>
      <c r="X240" s="121">
        <v>611</v>
      </c>
      <c r="Y240" s="108">
        <v>33.799999999999997</v>
      </c>
      <c r="Z240" s="119">
        <v>9251.6</v>
      </c>
      <c r="AA240" s="96">
        <v>88.609800000000007</v>
      </c>
      <c r="AB240" s="94">
        <v>124.024</v>
      </c>
      <c r="AC240" s="94">
        <v>11.1</v>
      </c>
      <c r="AD240" s="96">
        <v>60.104999999999997</v>
      </c>
    </row>
    <row r="241" spans="1:30">
      <c r="A241" s="109">
        <v>22</v>
      </c>
      <c r="B241" s="110" t="s">
        <v>11</v>
      </c>
      <c r="C241" s="110" t="s">
        <v>10</v>
      </c>
      <c r="D241" s="111">
        <v>2018</v>
      </c>
      <c r="E241" s="109">
        <v>20.399999999999999</v>
      </c>
      <c r="F241" s="93">
        <v>3.3480400000000001</v>
      </c>
      <c r="G241" s="93">
        <v>20000000000</v>
      </c>
      <c r="H241" s="94">
        <v>14551.1</v>
      </c>
      <c r="I241" s="96">
        <v>0.44</v>
      </c>
      <c r="J241" s="109">
        <v>17.794001000000002</v>
      </c>
      <c r="K241" s="112">
        <v>0.70269999999999999</v>
      </c>
      <c r="L241" s="109">
        <v>618</v>
      </c>
      <c r="M241" s="93">
        <v>34.299999</v>
      </c>
      <c r="N241" s="114">
        <v>87.6</v>
      </c>
      <c r="O241" s="112">
        <v>1.5</v>
      </c>
      <c r="P241" s="115">
        <v>1975.2</v>
      </c>
      <c r="Q241" s="116">
        <v>9628</v>
      </c>
      <c r="R241" s="102">
        <v>429029</v>
      </c>
      <c r="S241" s="230">
        <v>0.57999999999999996</v>
      </c>
      <c r="T241" s="115">
        <v>122</v>
      </c>
      <c r="U241" s="109">
        <v>8841.4385000000002</v>
      </c>
      <c r="V241" s="118">
        <v>19.5</v>
      </c>
      <c r="W241" s="119">
        <v>17.794</v>
      </c>
      <c r="X241" s="121">
        <v>618</v>
      </c>
      <c r="Y241" s="108">
        <v>34.299999999999997</v>
      </c>
      <c r="Z241" s="119">
        <v>8841.44</v>
      </c>
      <c r="AA241" s="96">
        <v>89.558199999999999</v>
      </c>
      <c r="AB241" s="94">
        <v>124.032</v>
      </c>
      <c r="AC241" s="94">
        <v>15.1</v>
      </c>
      <c r="AD241" s="96">
        <v>60.058</v>
      </c>
    </row>
    <row r="242" spans="1:30">
      <c r="A242" s="109">
        <v>22</v>
      </c>
      <c r="B242" s="110" t="s">
        <v>11</v>
      </c>
      <c r="C242" s="110" t="s">
        <v>10</v>
      </c>
      <c r="D242" s="111">
        <v>2019</v>
      </c>
      <c r="E242" s="109">
        <v>20.9</v>
      </c>
      <c r="F242" s="93">
        <v>3.15456</v>
      </c>
      <c r="G242" s="93">
        <v>19000000000</v>
      </c>
      <c r="H242" s="94">
        <v>15221.3</v>
      </c>
      <c r="I242" s="96">
        <v>0.43</v>
      </c>
      <c r="J242" s="109">
        <v>17.056999000000001</v>
      </c>
      <c r="K242" s="112">
        <v>0.77110000000000001</v>
      </c>
      <c r="L242" s="109">
        <v>598</v>
      </c>
      <c r="M242" s="93">
        <v>34.099997999999999</v>
      </c>
      <c r="N242" s="114">
        <v>82.4</v>
      </c>
      <c r="O242" s="112">
        <v>9.1999999999999993</v>
      </c>
      <c r="P242" s="115">
        <v>1577.3</v>
      </c>
      <c r="Q242" s="116">
        <v>10590</v>
      </c>
      <c r="R242" s="102">
        <v>435574</v>
      </c>
      <c r="S242" s="230">
        <v>0.53</v>
      </c>
      <c r="T242" s="115">
        <v>124</v>
      </c>
      <c r="U242" s="109">
        <v>6967.3500999999997</v>
      </c>
      <c r="V242" s="118">
        <v>19.5</v>
      </c>
      <c r="W242" s="119">
        <v>17.056999999999999</v>
      </c>
      <c r="X242" s="121">
        <v>598</v>
      </c>
      <c r="Y242" s="108">
        <v>34.1</v>
      </c>
      <c r="Z242" s="119">
        <v>6967.35</v>
      </c>
      <c r="AA242" s="96">
        <v>88.251400000000004</v>
      </c>
      <c r="AB242" s="94">
        <v>124.026</v>
      </c>
      <c r="AC242" s="94">
        <v>15.6</v>
      </c>
      <c r="AD242" s="96">
        <v>60.036999999999999</v>
      </c>
    </row>
    <row r="243" spans="1:30">
      <c r="A243" s="109">
        <v>22</v>
      </c>
      <c r="B243" s="110" t="s">
        <v>11</v>
      </c>
      <c r="C243" s="110" t="s">
        <v>10</v>
      </c>
      <c r="D243" s="111">
        <v>2020</v>
      </c>
      <c r="E243" s="109">
        <v>21.5</v>
      </c>
      <c r="F243" s="93">
        <v>3.3149899999999999</v>
      </c>
      <c r="G243" s="93">
        <v>20000000000</v>
      </c>
      <c r="H243" s="94">
        <v>14937.6</v>
      </c>
      <c r="I243" s="96">
        <v>0.45</v>
      </c>
      <c r="J243" s="109">
        <v>16.774999999999999</v>
      </c>
      <c r="K243" s="112">
        <v>0.76490000000000002</v>
      </c>
      <c r="L243" s="109">
        <v>595</v>
      </c>
      <c r="M243" s="93">
        <v>38.700001</v>
      </c>
      <c r="N243" s="114">
        <v>85.9</v>
      </c>
      <c r="O243" s="112">
        <v>7.4</v>
      </c>
      <c r="P243" s="115">
        <v>736.6</v>
      </c>
      <c r="Q243" s="116">
        <v>10025</v>
      </c>
      <c r="R243" s="102">
        <v>437080</v>
      </c>
      <c r="S243" s="230">
        <v>0.46</v>
      </c>
      <c r="T243" s="115">
        <v>127</v>
      </c>
      <c r="U243" s="109">
        <v>6900.0181000000002</v>
      </c>
      <c r="V243" s="118">
        <v>19.3</v>
      </c>
      <c r="W243" s="119">
        <v>16.774999999999999</v>
      </c>
      <c r="X243" s="121">
        <v>595</v>
      </c>
      <c r="Y243" s="108">
        <v>38.700000000000003</v>
      </c>
      <c r="Z243" s="119">
        <v>6900.02</v>
      </c>
      <c r="AA243" s="96">
        <v>88.372399999999999</v>
      </c>
      <c r="AB243" s="94">
        <v>123.801</v>
      </c>
      <c r="AC243" s="94">
        <v>16.100000000000001</v>
      </c>
      <c r="AD243" s="96">
        <v>60.042999999999999</v>
      </c>
    </row>
    <row r="244" spans="1:30">
      <c r="A244" s="109">
        <v>23</v>
      </c>
      <c r="B244" s="110" t="s">
        <v>9</v>
      </c>
      <c r="C244" s="110" t="s">
        <v>8</v>
      </c>
      <c r="D244" s="111">
        <v>2010</v>
      </c>
      <c r="E244" s="109">
        <v>31</v>
      </c>
      <c r="F244" s="93">
        <v>3.7606000000000002</v>
      </c>
      <c r="G244" s="93">
        <v>9000000000</v>
      </c>
      <c r="H244" s="94">
        <v>19698.7</v>
      </c>
      <c r="I244" s="96">
        <v>0.72</v>
      </c>
      <c r="J244" s="109">
        <v>19.722000000000001</v>
      </c>
      <c r="K244" s="112">
        <v>0.92290000000000005</v>
      </c>
      <c r="L244" s="109">
        <v>549</v>
      </c>
      <c r="M244" s="93">
        <v>18.700001</v>
      </c>
      <c r="N244" s="114">
        <v>85</v>
      </c>
      <c r="O244" s="112">
        <v>1.8</v>
      </c>
      <c r="P244" s="115">
        <v>17661</v>
      </c>
      <c r="Q244" s="116">
        <v>2750</v>
      </c>
      <c r="R244" s="102">
        <v>89774</v>
      </c>
      <c r="S244" s="230">
        <v>0.24</v>
      </c>
      <c r="T244" s="115">
        <v>100</v>
      </c>
      <c r="U244" s="109">
        <v>5589.5312999999996</v>
      </c>
      <c r="V244" s="118">
        <v>23.6</v>
      </c>
      <c r="W244" s="119">
        <v>19.722000000000001</v>
      </c>
      <c r="X244" s="121">
        <v>549</v>
      </c>
      <c r="Y244" s="108">
        <v>18.7</v>
      </c>
      <c r="Z244" s="119">
        <v>5589.53</v>
      </c>
      <c r="AA244" s="96">
        <v>53.326999999999998</v>
      </c>
      <c r="AB244" s="94">
        <v>115.43899999999999</v>
      </c>
      <c r="AC244" s="94">
        <v>27.8</v>
      </c>
      <c r="AD244" s="96">
        <v>60.567</v>
      </c>
    </row>
    <row r="245" spans="1:30">
      <c r="A245" s="109">
        <v>23</v>
      </c>
      <c r="B245" s="110" t="s">
        <v>9</v>
      </c>
      <c r="C245" s="110" t="s">
        <v>8</v>
      </c>
      <c r="D245" s="111">
        <v>2011</v>
      </c>
      <c r="E245" s="109">
        <v>31.5</v>
      </c>
      <c r="F245" s="93">
        <v>4.0016299999999996</v>
      </c>
      <c r="G245" s="93">
        <v>9800000000</v>
      </c>
      <c r="H245" s="94">
        <v>19389.599999999999</v>
      </c>
      <c r="I245" s="96">
        <v>0.67</v>
      </c>
      <c r="J245" s="109">
        <v>18.235001</v>
      </c>
      <c r="K245" s="112">
        <v>0.97929999999999995</v>
      </c>
      <c r="L245" s="109">
        <v>526</v>
      </c>
      <c r="M245" s="93">
        <v>20.100000000000001</v>
      </c>
      <c r="N245" s="114">
        <v>83</v>
      </c>
      <c r="O245" s="112">
        <v>1.7</v>
      </c>
      <c r="P245" s="115">
        <v>17629</v>
      </c>
      <c r="Q245" s="116">
        <v>2626</v>
      </c>
      <c r="R245" s="102">
        <v>87587</v>
      </c>
      <c r="S245" s="230">
        <v>0.5</v>
      </c>
      <c r="T245" s="115">
        <v>95</v>
      </c>
      <c r="U245" s="109">
        <v>5443.8306000000002</v>
      </c>
      <c r="V245" s="118">
        <v>24.3</v>
      </c>
      <c r="W245" s="119">
        <v>18.234999999999999</v>
      </c>
      <c r="X245" s="121">
        <v>526</v>
      </c>
      <c r="Y245" s="108">
        <v>20.100000000000001</v>
      </c>
      <c r="Z245" s="119">
        <v>5443.83</v>
      </c>
      <c r="AA245" s="96">
        <v>58.067399999999999</v>
      </c>
      <c r="AB245" s="94">
        <v>115.27</v>
      </c>
      <c r="AC245" s="94">
        <v>27.2</v>
      </c>
      <c r="AD245" s="96">
        <v>61.167000000000002</v>
      </c>
    </row>
    <row r="246" spans="1:30">
      <c r="A246" s="109">
        <v>23</v>
      </c>
      <c r="B246" s="110" t="s">
        <v>9</v>
      </c>
      <c r="C246" s="110" t="s">
        <v>8</v>
      </c>
      <c r="D246" s="111">
        <v>2012</v>
      </c>
      <c r="E246" s="109">
        <v>34</v>
      </c>
      <c r="F246" s="93">
        <v>9.8811800000000005</v>
      </c>
      <c r="G246" s="93">
        <v>21000000000</v>
      </c>
      <c r="H246" s="94">
        <v>18679.8</v>
      </c>
      <c r="I246" s="96">
        <v>0.65</v>
      </c>
      <c r="J246" s="109">
        <v>16.080998999999998</v>
      </c>
      <c r="K246" s="112">
        <v>1.0243</v>
      </c>
      <c r="L246" s="109">
        <v>527</v>
      </c>
      <c r="M246" s="93">
        <v>26.1</v>
      </c>
      <c r="N246" s="114">
        <v>86.6</v>
      </c>
      <c r="O246" s="112">
        <v>2</v>
      </c>
      <c r="P246" s="115">
        <v>19036.900000000001</v>
      </c>
      <c r="Q246" s="116">
        <v>2453</v>
      </c>
      <c r="R246" s="102">
        <v>82546</v>
      </c>
      <c r="S246" s="230">
        <v>0.27</v>
      </c>
      <c r="T246" s="115">
        <v>91</v>
      </c>
      <c r="U246" s="109">
        <v>5466.8407999999999</v>
      </c>
      <c r="V246" s="118">
        <v>25.4</v>
      </c>
      <c r="W246" s="119">
        <v>16.081</v>
      </c>
      <c r="X246" s="121">
        <v>527</v>
      </c>
      <c r="Y246" s="108">
        <v>26.1</v>
      </c>
      <c r="Z246" s="119">
        <v>5466.84</v>
      </c>
      <c r="AA246" s="96">
        <v>60.275700000000001</v>
      </c>
      <c r="AB246" s="94">
        <v>114.803</v>
      </c>
      <c r="AC246" s="94">
        <v>25.5</v>
      </c>
      <c r="AD246" s="96">
        <v>61.762999999999998</v>
      </c>
    </row>
    <row r="247" spans="1:30">
      <c r="A247" s="109">
        <v>23</v>
      </c>
      <c r="B247" s="110" t="s">
        <v>9</v>
      </c>
      <c r="C247" s="110" t="s">
        <v>8</v>
      </c>
      <c r="D247" s="111">
        <v>2013</v>
      </c>
      <c r="E247" s="109">
        <v>34</v>
      </c>
      <c r="F247" s="93">
        <v>6.9460899999999999</v>
      </c>
      <c r="G247" s="93">
        <v>16000000000</v>
      </c>
      <c r="H247" s="94">
        <v>18597.7</v>
      </c>
      <c r="I247" s="96">
        <v>0.68</v>
      </c>
      <c r="J247" s="109">
        <v>13.871</v>
      </c>
      <c r="K247" s="112">
        <v>1.1931</v>
      </c>
      <c r="L247" s="109">
        <v>523</v>
      </c>
      <c r="M247" s="93">
        <v>25.799999</v>
      </c>
      <c r="N247" s="114">
        <v>86.6</v>
      </c>
      <c r="O247" s="112">
        <v>2.5</v>
      </c>
      <c r="P247" s="115">
        <v>17528.8</v>
      </c>
      <c r="Q247" s="116">
        <v>2361</v>
      </c>
      <c r="R247" s="102">
        <v>79255</v>
      </c>
      <c r="S247" s="230">
        <v>0.28999999999999998</v>
      </c>
      <c r="T247" s="115">
        <v>92</v>
      </c>
      <c r="U247" s="109">
        <v>5890.4008999999996</v>
      </c>
      <c r="V247" s="118">
        <v>28.8</v>
      </c>
      <c r="W247" s="119">
        <v>13.871</v>
      </c>
      <c r="X247" s="121">
        <v>523</v>
      </c>
      <c r="Y247" s="108">
        <v>25.8</v>
      </c>
      <c r="Z247" s="119">
        <v>5890.4</v>
      </c>
      <c r="AA247" s="96">
        <v>61.118600000000001</v>
      </c>
      <c r="AB247" s="94">
        <v>114.15600000000001</v>
      </c>
      <c r="AC247" s="94">
        <v>30.2</v>
      </c>
      <c r="AD247" s="96">
        <v>62.351999999999997</v>
      </c>
    </row>
    <row r="248" spans="1:30">
      <c r="A248" s="109">
        <v>23</v>
      </c>
      <c r="B248" s="110" t="s">
        <v>9</v>
      </c>
      <c r="C248" s="110" t="s">
        <v>8</v>
      </c>
      <c r="D248" s="111">
        <v>2014</v>
      </c>
      <c r="E248" s="109">
        <v>33.6</v>
      </c>
      <c r="F248" s="93">
        <v>5.2355200000000002</v>
      </c>
      <c r="G248" s="93">
        <v>12000000000</v>
      </c>
      <c r="H248" s="94">
        <v>18836.900000000001</v>
      </c>
      <c r="I248" s="96">
        <v>0.74</v>
      </c>
      <c r="J248" s="109">
        <v>15.398999999999999</v>
      </c>
      <c r="K248" s="112">
        <v>1.0931999999999999</v>
      </c>
      <c r="L248" s="109">
        <v>520</v>
      </c>
      <c r="M248" s="93">
        <v>30.4</v>
      </c>
      <c r="N248" s="114">
        <v>76.900000000000006</v>
      </c>
      <c r="O248" s="112">
        <v>2.4</v>
      </c>
      <c r="P248" s="115">
        <v>19966.2</v>
      </c>
      <c r="Q248" s="116">
        <v>2378</v>
      </c>
      <c r="R248" s="102">
        <v>79264</v>
      </c>
      <c r="S248" s="230">
        <v>0</v>
      </c>
      <c r="T248" s="115">
        <v>95</v>
      </c>
      <c r="U248" s="109">
        <v>5697.8456999999999</v>
      </c>
      <c r="V248" s="118">
        <v>28.5</v>
      </c>
      <c r="W248" s="119">
        <v>15.398999999999999</v>
      </c>
      <c r="X248" s="121">
        <v>520</v>
      </c>
      <c r="Y248" s="108">
        <v>30.4</v>
      </c>
      <c r="Z248" s="119">
        <v>5697.85</v>
      </c>
      <c r="AA248" s="96">
        <v>61.814100000000003</v>
      </c>
      <c r="AB248" s="94">
        <v>113.542</v>
      </c>
      <c r="AC248" s="94">
        <v>30.5</v>
      </c>
      <c r="AD248" s="96">
        <v>62.936</v>
      </c>
    </row>
    <row r="249" spans="1:30">
      <c r="A249" s="109">
        <v>23</v>
      </c>
      <c r="B249" s="110" t="s">
        <v>9</v>
      </c>
      <c r="C249" s="110" t="s">
        <v>8</v>
      </c>
      <c r="D249" s="111">
        <v>2015</v>
      </c>
      <c r="E249" s="109">
        <v>34.700000000000003</v>
      </c>
      <c r="F249" s="93">
        <v>0.63807499999999995</v>
      </c>
      <c r="G249" s="93">
        <v>1300000000</v>
      </c>
      <c r="H249" s="94">
        <v>19215.8</v>
      </c>
      <c r="I249" s="96">
        <v>0.69</v>
      </c>
      <c r="J249" s="109">
        <v>16.191998999999999</v>
      </c>
      <c r="K249" s="112">
        <v>1.1097999999999999</v>
      </c>
      <c r="L249" s="109">
        <v>513</v>
      </c>
      <c r="M249" s="93">
        <v>29.799999</v>
      </c>
      <c r="N249" s="114">
        <v>78</v>
      </c>
      <c r="O249" s="112">
        <v>2.1</v>
      </c>
      <c r="P249" s="115">
        <v>25832.6</v>
      </c>
      <c r="Q249" s="116">
        <v>2620</v>
      </c>
      <c r="R249" s="102">
        <v>82202</v>
      </c>
      <c r="S249" s="230">
        <v>0.48</v>
      </c>
      <c r="T249" s="115">
        <v>95</v>
      </c>
      <c r="U249" s="109">
        <v>6223.1187</v>
      </c>
      <c r="V249" s="118">
        <v>30.3</v>
      </c>
      <c r="W249" s="119">
        <v>16.192</v>
      </c>
      <c r="X249" s="121">
        <v>513</v>
      </c>
      <c r="Y249" s="108">
        <v>29.8</v>
      </c>
      <c r="Z249" s="119">
        <v>6223.12</v>
      </c>
      <c r="AA249" s="96">
        <v>61.275100000000002</v>
      </c>
      <c r="AB249" s="94">
        <v>113.07299999999999</v>
      </c>
      <c r="AC249" s="94">
        <v>27.2</v>
      </c>
      <c r="AD249" s="96">
        <v>63.514000000000003</v>
      </c>
    </row>
    <row r="250" spans="1:30">
      <c r="A250" s="109">
        <v>23</v>
      </c>
      <c r="B250" s="110" t="s">
        <v>9</v>
      </c>
      <c r="C250" s="110" t="s">
        <v>8</v>
      </c>
      <c r="D250" s="111">
        <v>2016</v>
      </c>
      <c r="E250" s="109">
        <v>33.700000000000003</v>
      </c>
      <c r="F250" s="93">
        <v>3.56501</v>
      </c>
      <c r="G250" s="93">
        <v>7400000000</v>
      </c>
      <c r="H250" s="94">
        <v>19662.8</v>
      </c>
      <c r="I250" s="96">
        <v>0.72</v>
      </c>
      <c r="J250" s="109">
        <v>15.394</v>
      </c>
      <c r="K250" s="112">
        <v>1.1846000000000001</v>
      </c>
      <c r="L250" s="109">
        <v>511</v>
      </c>
      <c r="M250" s="93">
        <v>30.9</v>
      </c>
      <c r="N250" s="114">
        <v>82.1</v>
      </c>
      <c r="O250" s="112">
        <v>2.1</v>
      </c>
      <c r="P250" s="115">
        <v>30961.7</v>
      </c>
      <c r="Q250" s="116">
        <v>2758</v>
      </c>
      <c r="R250" s="102">
        <v>84026</v>
      </c>
      <c r="S250" s="230">
        <v>0.1</v>
      </c>
      <c r="T250" s="115">
        <v>98</v>
      </c>
      <c r="U250" s="109">
        <v>5897.2084999999997</v>
      </c>
      <c r="V250" s="118">
        <v>32.1</v>
      </c>
      <c r="W250" s="119">
        <v>15.394</v>
      </c>
      <c r="X250" s="121">
        <v>511</v>
      </c>
      <c r="Y250" s="108">
        <v>30.9</v>
      </c>
      <c r="Z250" s="119">
        <v>5897.21</v>
      </c>
      <c r="AA250" s="96">
        <v>59.778399999999998</v>
      </c>
      <c r="AB250" s="94">
        <v>112.71599999999999</v>
      </c>
      <c r="AC250" s="94">
        <v>29</v>
      </c>
      <c r="AD250" s="96">
        <v>64.085999999999999</v>
      </c>
    </row>
    <row r="251" spans="1:30">
      <c r="A251" s="109">
        <v>23</v>
      </c>
      <c r="B251" s="110" t="s">
        <v>9</v>
      </c>
      <c r="C251" s="110" t="s">
        <v>8</v>
      </c>
      <c r="D251" s="111">
        <v>2017</v>
      </c>
      <c r="E251" s="109">
        <v>34.6</v>
      </c>
      <c r="F251" s="93">
        <v>4.8373200000000001</v>
      </c>
      <c r="G251" s="93">
        <v>11000000000</v>
      </c>
      <c r="H251" s="94">
        <v>20364.2</v>
      </c>
      <c r="I251" s="96">
        <v>0.71</v>
      </c>
      <c r="J251" s="109">
        <v>17.212999</v>
      </c>
      <c r="K251" s="112">
        <v>1.1186</v>
      </c>
      <c r="L251" s="109">
        <v>508</v>
      </c>
      <c r="M251" s="93">
        <v>29.1</v>
      </c>
      <c r="N251" s="114">
        <v>80.900000000000006</v>
      </c>
      <c r="O251" s="112">
        <v>2</v>
      </c>
      <c r="P251" s="115">
        <v>34223.5</v>
      </c>
      <c r="Q251" s="116">
        <v>2961</v>
      </c>
      <c r="R251" s="102">
        <v>93140</v>
      </c>
      <c r="S251" s="230">
        <v>0.1</v>
      </c>
      <c r="T251" s="115">
        <v>102</v>
      </c>
      <c r="U251" s="109">
        <v>5542.2597999999998</v>
      </c>
      <c r="V251" s="118">
        <v>31.2</v>
      </c>
      <c r="W251" s="119">
        <v>17.213000000000001</v>
      </c>
      <c r="X251" s="121">
        <v>508</v>
      </c>
      <c r="Y251" s="108">
        <v>29.1</v>
      </c>
      <c r="Z251" s="119">
        <v>5542.26</v>
      </c>
      <c r="AA251" s="96">
        <v>63.792000000000002</v>
      </c>
      <c r="AB251" s="94">
        <v>112.44199999999999</v>
      </c>
      <c r="AC251" s="94">
        <v>24.4</v>
      </c>
      <c r="AD251" s="96">
        <v>64.652000000000001</v>
      </c>
    </row>
    <row r="252" spans="1:30">
      <c r="A252" s="109">
        <v>23</v>
      </c>
      <c r="B252" s="110" t="s">
        <v>9</v>
      </c>
      <c r="C252" s="110" t="s">
        <v>8</v>
      </c>
      <c r="D252" s="111">
        <v>2018</v>
      </c>
      <c r="E252" s="109">
        <v>34.799999999999997</v>
      </c>
      <c r="F252" s="93">
        <v>3.2409400000000002</v>
      </c>
      <c r="G252" s="93">
        <v>7800000000</v>
      </c>
      <c r="H252" s="94">
        <v>20997.8</v>
      </c>
      <c r="I252" s="96">
        <v>0.69</v>
      </c>
      <c r="J252" s="109">
        <v>17.062999999999999</v>
      </c>
      <c r="K252" s="112">
        <v>1.1556</v>
      </c>
      <c r="L252" s="109">
        <v>533</v>
      </c>
      <c r="M252" s="93">
        <v>29.1</v>
      </c>
      <c r="N252" s="114">
        <v>73</v>
      </c>
      <c r="O252" s="112">
        <v>2.2000000000000002</v>
      </c>
      <c r="P252" s="115">
        <v>33186.1</v>
      </c>
      <c r="Q252" s="116">
        <v>3304</v>
      </c>
      <c r="R252" s="102">
        <v>98264</v>
      </c>
      <c r="S252" s="230">
        <v>0.19</v>
      </c>
      <c r="T252" s="115">
        <v>107</v>
      </c>
      <c r="U252" s="109">
        <v>4808.8842999999997</v>
      </c>
      <c r="V252" s="118">
        <v>31.4</v>
      </c>
      <c r="W252" s="119">
        <v>17.062999999999999</v>
      </c>
      <c r="X252" s="121">
        <v>533</v>
      </c>
      <c r="Y252" s="108">
        <v>29.1</v>
      </c>
      <c r="Z252" s="119">
        <v>4808.88</v>
      </c>
      <c r="AA252" s="96">
        <v>65.025000000000006</v>
      </c>
      <c r="AB252" s="94">
        <v>112.262</v>
      </c>
      <c r="AC252" s="94">
        <v>27.5</v>
      </c>
      <c r="AD252" s="96">
        <v>65.210999999999999</v>
      </c>
    </row>
    <row r="253" spans="1:30">
      <c r="A253" s="109">
        <v>23</v>
      </c>
      <c r="B253" s="110" t="s">
        <v>9</v>
      </c>
      <c r="C253" s="110" t="s">
        <v>8</v>
      </c>
      <c r="D253" s="111">
        <v>2019</v>
      </c>
      <c r="E253" s="109">
        <v>35.5</v>
      </c>
      <c r="F253" s="93">
        <v>4.2979399999999996</v>
      </c>
      <c r="G253" s="93">
        <v>10000000000</v>
      </c>
      <c r="H253" s="94">
        <v>21569.200000000001</v>
      </c>
      <c r="I253" s="96">
        <v>0.66</v>
      </c>
      <c r="J253" s="109">
        <v>17.274000000000001</v>
      </c>
      <c r="K253" s="112">
        <v>1.1740999999999999</v>
      </c>
      <c r="L253" s="109">
        <v>515</v>
      </c>
      <c r="M253" s="93">
        <v>28.9</v>
      </c>
      <c r="N253" s="114">
        <v>78.5</v>
      </c>
      <c r="O253" s="112">
        <v>2.2999999999999998</v>
      </c>
      <c r="P253" s="115">
        <v>26752.7</v>
      </c>
      <c r="Q253" s="116">
        <v>3230</v>
      </c>
      <c r="R253" s="102">
        <v>90728</v>
      </c>
      <c r="S253" s="230">
        <v>0.28999999999999998</v>
      </c>
      <c r="T253" s="115">
        <v>110</v>
      </c>
      <c r="U253" s="109">
        <v>4075.5088000000001</v>
      </c>
      <c r="V253" s="118">
        <v>30.7</v>
      </c>
      <c r="W253" s="119">
        <v>17.274000000000001</v>
      </c>
      <c r="X253" s="121">
        <v>515</v>
      </c>
      <c r="Y253" s="108">
        <v>28.9</v>
      </c>
      <c r="Z253" s="119">
        <v>0</v>
      </c>
      <c r="AA253" s="96">
        <v>65.218900000000005</v>
      </c>
      <c r="AB253" s="94">
        <v>112.289</v>
      </c>
      <c r="AC253" s="94">
        <v>28.2</v>
      </c>
      <c r="AD253" s="96">
        <v>65.763999999999996</v>
      </c>
    </row>
    <row r="254" spans="1:30">
      <c r="A254" s="109">
        <v>23</v>
      </c>
      <c r="B254" s="110" t="s">
        <v>9</v>
      </c>
      <c r="C254" s="110" t="s">
        <v>8</v>
      </c>
      <c r="D254" s="111">
        <v>2020</v>
      </c>
      <c r="E254" s="109">
        <v>35.9</v>
      </c>
      <c r="F254" s="93">
        <v>1.73847</v>
      </c>
      <c r="G254" s="93">
        <v>4000000000</v>
      </c>
      <c r="H254" s="94">
        <v>19778.7</v>
      </c>
      <c r="I254" s="96">
        <v>0.65</v>
      </c>
      <c r="J254" s="109">
        <v>15.542</v>
      </c>
      <c r="K254" s="112">
        <v>1.1983999999999999</v>
      </c>
      <c r="L254" s="109">
        <v>473</v>
      </c>
      <c r="M254" s="93">
        <v>26.799999</v>
      </c>
      <c r="N254" s="114">
        <v>62.9</v>
      </c>
      <c r="O254" s="112">
        <v>2.5</v>
      </c>
      <c r="P254" s="115">
        <v>12289.4</v>
      </c>
      <c r="Q254" s="116">
        <v>3037</v>
      </c>
      <c r="R254" s="102">
        <v>85587</v>
      </c>
      <c r="S254" s="230">
        <v>0.53</v>
      </c>
      <c r="T254" s="115">
        <v>102</v>
      </c>
      <c r="U254" s="109">
        <v>3342.1333</v>
      </c>
      <c r="V254" s="118">
        <v>30.4</v>
      </c>
      <c r="W254" s="119">
        <v>15.542</v>
      </c>
      <c r="X254" s="121">
        <v>473</v>
      </c>
      <c r="Y254" s="108">
        <v>26.8</v>
      </c>
      <c r="Z254" s="119">
        <v>0</v>
      </c>
      <c r="AA254" s="96">
        <v>60.705399999999997</v>
      </c>
      <c r="AB254" s="94">
        <v>112.407</v>
      </c>
      <c r="AC254" s="94">
        <v>31.3</v>
      </c>
      <c r="AD254" s="96">
        <v>66.31</v>
      </c>
    </row>
    <row r="255" spans="1:30">
      <c r="A255" s="109">
        <v>24</v>
      </c>
      <c r="B255" s="110" t="s">
        <v>7</v>
      </c>
      <c r="C255" s="110" t="s">
        <v>6</v>
      </c>
      <c r="D255" s="111">
        <v>2010</v>
      </c>
      <c r="E255" s="109">
        <v>35.5</v>
      </c>
      <c r="F255" s="93">
        <v>1.8897200000000001</v>
      </c>
      <c r="G255" s="93">
        <v>3200000000</v>
      </c>
      <c r="H255" s="94">
        <v>7660.71</v>
      </c>
      <c r="I255" s="96">
        <v>0.28999999999999998</v>
      </c>
      <c r="J255" s="109">
        <v>13.743</v>
      </c>
      <c r="K255" s="112">
        <v>0.50819999999999999</v>
      </c>
      <c r="L255" s="109">
        <v>316</v>
      </c>
      <c r="M255" s="93">
        <v>12.8</v>
      </c>
      <c r="N255" s="114">
        <v>84.7</v>
      </c>
      <c r="O255" s="112">
        <v>3.5</v>
      </c>
      <c r="P255" s="115">
        <v>67.7</v>
      </c>
      <c r="Q255" s="116">
        <v>1405</v>
      </c>
      <c r="R255" s="102">
        <v>77071</v>
      </c>
      <c r="S255" s="230">
        <v>0.25</v>
      </c>
      <c r="T255" s="115">
        <v>100</v>
      </c>
      <c r="U255" s="109">
        <v>5669.8887000000004</v>
      </c>
      <c r="V255" s="118">
        <v>12.1</v>
      </c>
      <c r="W255" s="119">
        <v>13.743</v>
      </c>
      <c r="X255" s="121">
        <v>316</v>
      </c>
      <c r="Y255" s="108">
        <v>12.8</v>
      </c>
      <c r="Z255" s="119">
        <v>5669.89</v>
      </c>
      <c r="AA255" s="96">
        <v>65.674000000000007</v>
      </c>
      <c r="AB255" s="94">
        <v>88.0107</v>
      </c>
      <c r="AC255" s="94">
        <v>24.1</v>
      </c>
      <c r="AD255" s="96">
        <v>53.829000000000001</v>
      </c>
    </row>
    <row r="256" spans="1:30">
      <c r="A256" s="109">
        <v>24</v>
      </c>
      <c r="B256" s="110" t="s">
        <v>7</v>
      </c>
      <c r="C256" s="110" t="s">
        <v>6</v>
      </c>
      <c r="D256" s="111">
        <v>2011</v>
      </c>
      <c r="E256" s="109">
        <v>37</v>
      </c>
      <c r="F256" s="93">
        <v>1.2304299999999999</v>
      </c>
      <c r="G256" s="93">
        <v>2400000000</v>
      </c>
      <c r="H256" s="94">
        <v>8044.57</v>
      </c>
      <c r="I256" s="96">
        <v>0.31</v>
      </c>
      <c r="J256" s="109">
        <v>19.274000000000001</v>
      </c>
      <c r="K256" s="112">
        <v>0.38300000000000001</v>
      </c>
      <c r="L256" s="109">
        <v>319</v>
      </c>
      <c r="M256" s="93">
        <v>11.7</v>
      </c>
      <c r="N256" s="114">
        <v>85.1</v>
      </c>
      <c r="O256" s="112">
        <v>2.5</v>
      </c>
      <c r="P256" s="115">
        <v>137.6</v>
      </c>
      <c r="Q256" s="116">
        <v>1551</v>
      </c>
      <c r="R256" s="102">
        <v>81120</v>
      </c>
      <c r="S256" s="230">
        <v>0.25</v>
      </c>
      <c r="T256" s="115">
        <v>99</v>
      </c>
      <c r="U256" s="109">
        <v>5157.2583000000004</v>
      </c>
      <c r="V256" s="118">
        <v>9.1999999999999993</v>
      </c>
      <c r="W256" s="119">
        <v>19.274000000000001</v>
      </c>
      <c r="X256" s="121">
        <v>319</v>
      </c>
      <c r="Y256" s="108">
        <v>11.7</v>
      </c>
      <c r="Z256" s="119">
        <v>5157.26</v>
      </c>
      <c r="AA256" s="96">
        <v>72.428700000000006</v>
      </c>
      <c r="AB256" s="94">
        <v>87.533199999999994</v>
      </c>
      <c r="AC256" s="94">
        <v>21.1</v>
      </c>
      <c r="AD256" s="96">
        <v>53.96</v>
      </c>
    </row>
    <row r="257" spans="1:30">
      <c r="A257" s="109">
        <v>24</v>
      </c>
      <c r="B257" s="110" t="s">
        <v>7</v>
      </c>
      <c r="C257" s="110" t="s">
        <v>6</v>
      </c>
      <c r="D257" s="111">
        <v>2012</v>
      </c>
      <c r="E257" s="109">
        <v>39.5</v>
      </c>
      <c r="F257" s="93">
        <v>1.7014400000000001</v>
      </c>
      <c r="G257" s="93">
        <v>3000000000</v>
      </c>
      <c r="H257" s="94">
        <v>8234.2900000000009</v>
      </c>
      <c r="I257" s="96">
        <v>0.3</v>
      </c>
      <c r="J257" s="109">
        <v>17.934000000000001</v>
      </c>
      <c r="K257" s="112">
        <v>0.4143</v>
      </c>
      <c r="L257" s="109">
        <v>317</v>
      </c>
      <c r="M257" s="93">
        <v>14.8</v>
      </c>
      <c r="N257" s="114">
        <v>84.3</v>
      </c>
      <c r="O257" s="112">
        <v>2.6</v>
      </c>
      <c r="P257" s="115">
        <v>674.4</v>
      </c>
      <c r="Q257" s="116">
        <v>1538</v>
      </c>
      <c r="R257" s="102">
        <v>84408</v>
      </c>
      <c r="S257" s="230">
        <v>0.25</v>
      </c>
      <c r="T257" s="115">
        <v>99</v>
      </c>
      <c r="U257" s="109">
        <v>5183.4731000000002</v>
      </c>
      <c r="V257" s="118">
        <v>9.8000000000000007</v>
      </c>
      <c r="W257" s="119">
        <v>17.934000000000001</v>
      </c>
      <c r="X257" s="121">
        <v>317</v>
      </c>
      <c r="Y257" s="108">
        <v>14.8</v>
      </c>
      <c r="Z257" s="119">
        <v>5183.47</v>
      </c>
      <c r="AA257" s="96">
        <v>71.488299999999995</v>
      </c>
      <c r="AB257" s="94">
        <v>87.201300000000003</v>
      </c>
      <c r="AC257" s="94">
        <v>21.5</v>
      </c>
      <c r="AD257" s="96">
        <v>53.973999999999997</v>
      </c>
    </row>
    <row r="258" spans="1:30">
      <c r="A258" s="109">
        <v>24</v>
      </c>
      <c r="B258" s="110" t="s">
        <v>7</v>
      </c>
      <c r="C258" s="110" t="s">
        <v>6</v>
      </c>
      <c r="D258" s="111">
        <v>2013</v>
      </c>
      <c r="E258" s="109">
        <v>39.5</v>
      </c>
      <c r="F258" s="93">
        <v>2.0310100000000002</v>
      </c>
      <c r="G258" s="93">
        <v>3900000000</v>
      </c>
      <c r="H258" s="94">
        <v>8287.9599999999991</v>
      </c>
      <c r="I258" s="96">
        <v>0.3</v>
      </c>
      <c r="J258" s="109">
        <v>17.716999000000001</v>
      </c>
      <c r="K258" s="112">
        <v>0.41710000000000003</v>
      </c>
      <c r="L258" s="109">
        <v>297</v>
      </c>
      <c r="M258" s="93">
        <v>13.2</v>
      </c>
      <c r="N258" s="114">
        <v>86.7</v>
      </c>
      <c r="O258" s="112">
        <v>2.5</v>
      </c>
      <c r="P258" s="115">
        <v>598.29999999999995</v>
      </c>
      <c r="Q258" s="116">
        <v>1536</v>
      </c>
      <c r="R258" s="102">
        <v>84826</v>
      </c>
      <c r="S258" s="230">
        <v>0.12</v>
      </c>
      <c r="T258" s="115">
        <v>102</v>
      </c>
      <c r="U258" s="109">
        <v>5139.7002000000002</v>
      </c>
      <c r="V258" s="118">
        <v>9.1999999999999993</v>
      </c>
      <c r="W258" s="119">
        <v>17.716999999999999</v>
      </c>
      <c r="X258" s="121">
        <v>297</v>
      </c>
      <c r="Y258" s="108">
        <v>13.2</v>
      </c>
      <c r="Z258" s="119">
        <v>5139.7</v>
      </c>
      <c r="AA258" s="96">
        <v>73.402000000000001</v>
      </c>
      <c r="AB258" s="94">
        <v>86.874300000000005</v>
      </c>
      <c r="AC258" s="94">
        <v>23.1</v>
      </c>
      <c r="AD258" s="96">
        <v>53.936999999999998</v>
      </c>
    </row>
    <row r="259" spans="1:30">
      <c r="A259" s="109">
        <v>24</v>
      </c>
      <c r="B259" s="110" t="s">
        <v>7</v>
      </c>
      <c r="C259" s="110" t="s">
        <v>6</v>
      </c>
      <c r="D259" s="111">
        <v>2014</v>
      </c>
      <c r="E259" s="109">
        <v>40.200000000000003</v>
      </c>
      <c r="F259" s="93">
        <v>1.93729</v>
      </c>
      <c r="G259" s="93">
        <v>3900000000</v>
      </c>
      <c r="H259" s="94">
        <v>8661.4699999999993</v>
      </c>
      <c r="I259" s="96">
        <v>0.26</v>
      </c>
      <c r="J259" s="109">
        <v>18.603999999999999</v>
      </c>
      <c r="K259" s="112">
        <v>0.41770000000000002</v>
      </c>
      <c r="L259" s="109">
        <v>272</v>
      </c>
      <c r="M259" s="93">
        <v>13.1</v>
      </c>
      <c r="N259" s="114">
        <v>87.3</v>
      </c>
      <c r="O259" s="112">
        <v>2.1</v>
      </c>
      <c r="P259" s="115">
        <v>186.1</v>
      </c>
      <c r="Q259" s="116">
        <v>1570</v>
      </c>
      <c r="R259" s="102">
        <v>82744</v>
      </c>
      <c r="S259" s="230">
        <v>0.25</v>
      </c>
      <c r="T259" s="115">
        <v>104</v>
      </c>
      <c r="U259" s="109">
        <v>5050.1478999999999</v>
      </c>
      <c r="V259" s="118">
        <v>9.4</v>
      </c>
      <c r="W259" s="119">
        <v>18.603999999999999</v>
      </c>
      <c r="X259" s="121">
        <v>272</v>
      </c>
      <c r="Y259" s="108">
        <v>13.1</v>
      </c>
      <c r="Z259" s="119">
        <v>5050.1499999999996</v>
      </c>
      <c r="AA259" s="96">
        <v>73.838999999999999</v>
      </c>
      <c r="AB259" s="94">
        <v>86.530699999999996</v>
      </c>
      <c r="AC259" s="94">
        <v>24.3</v>
      </c>
      <c r="AD259" s="96">
        <v>53.9</v>
      </c>
    </row>
    <row r="260" spans="1:30">
      <c r="A260" s="109">
        <v>24</v>
      </c>
      <c r="B260" s="110" t="s">
        <v>7</v>
      </c>
      <c r="C260" s="110" t="s">
        <v>6</v>
      </c>
      <c r="D260" s="111">
        <v>2015</v>
      </c>
      <c r="E260" s="109">
        <v>41.2</v>
      </c>
      <c r="F260" s="93">
        <v>2.42726</v>
      </c>
      <c r="G260" s="93">
        <v>4300000000</v>
      </c>
      <c r="H260" s="94">
        <v>8977.02</v>
      </c>
      <c r="I260" s="96">
        <v>0.28999999999999998</v>
      </c>
      <c r="J260" s="109">
        <v>22.422001000000002</v>
      </c>
      <c r="K260" s="112">
        <v>0.36099999999999999</v>
      </c>
      <c r="L260" s="109">
        <v>286</v>
      </c>
      <c r="M260" s="93">
        <v>13.3</v>
      </c>
      <c r="N260" s="114">
        <v>66</v>
      </c>
      <c r="O260" s="112">
        <v>1.7</v>
      </c>
      <c r="P260" s="115">
        <v>131.1</v>
      </c>
      <c r="Q260" s="116">
        <v>1674</v>
      </c>
      <c r="R260" s="102">
        <v>84244</v>
      </c>
      <c r="S260" s="230">
        <v>0.23</v>
      </c>
      <c r="T260" s="115">
        <v>110</v>
      </c>
      <c r="U260" s="109">
        <v>5183.3456999999999</v>
      </c>
      <c r="V260" s="118">
        <v>9.3000000000000007</v>
      </c>
      <c r="W260" s="119">
        <v>22.422000000000001</v>
      </c>
      <c r="X260" s="121">
        <v>286</v>
      </c>
      <c r="Y260" s="108">
        <v>13.3</v>
      </c>
      <c r="Z260" s="119">
        <v>5183.3500000000004</v>
      </c>
      <c r="AA260" s="96">
        <v>73.316400000000002</v>
      </c>
      <c r="AB260" s="94">
        <v>86.124899999999997</v>
      </c>
      <c r="AC260" s="94">
        <v>23.7</v>
      </c>
      <c r="AD260" s="96">
        <v>53.887</v>
      </c>
    </row>
    <row r="261" spans="1:30">
      <c r="A261" s="109">
        <v>24</v>
      </c>
      <c r="B261" s="110" t="s">
        <v>7</v>
      </c>
      <c r="C261" s="110" t="s">
        <v>6</v>
      </c>
      <c r="D261" s="111">
        <v>2016</v>
      </c>
      <c r="E261" s="109">
        <v>40.200000000000003</v>
      </c>
      <c r="F261" s="93">
        <v>3.37418</v>
      </c>
      <c r="G261" s="93">
        <v>6300000000</v>
      </c>
      <c r="H261" s="94">
        <v>9286.8799999999992</v>
      </c>
      <c r="I261" s="96">
        <v>0.28000000000000003</v>
      </c>
      <c r="J261" s="109">
        <v>23.004000000000001</v>
      </c>
      <c r="K261" s="112">
        <v>0.36680000000000001</v>
      </c>
      <c r="L261" s="109">
        <v>307</v>
      </c>
      <c r="M261" s="93">
        <v>13.4</v>
      </c>
      <c r="N261" s="114">
        <v>74</v>
      </c>
      <c r="O261" s="112">
        <v>1.7</v>
      </c>
      <c r="P261" s="115">
        <v>149.30000000000001</v>
      </c>
      <c r="Q261" s="116">
        <v>1830</v>
      </c>
      <c r="R261" s="102">
        <v>85799</v>
      </c>
      <c r="S261" s="230">
        <v>0.28999999999999998</v>
      </c>
      <c r="T261" s="115">
        <v>113</v>
      </c>
      <c r="U261" s="109">
        <v>5216.1318000000001</v>
      </c>
      <c r="V261" s="118">
        <v>10</v>
      </c>
      <c r="W261" s="119">
        <v>23.004000000000001</v>
      </c>
      <c r="X261" s="121">
        <v>307</v>
      </c>
      <c r="Y261" s="108">
        <v>13.4</v>
      </c>
      <c r="Z261" s="119">
        <v>5216.13</v>
      </c>
      <c r="AA261" s="96">
        <v>74.528300000000002</v>
      </c>
      <c r="AB261" s="94">
        <v>85.632199999999997</v>
      </c>
      <c r="AC261" s="94">
        <v>24.4</v>
      </c>
      <c r="AD261" s="96">
        <v>53.9</v>
      </c>
    </row>
    <row r="262" spans="1:30">
      <c r="A262" s="109">
        <v>24</v>
      </c>
      <c r="B262" s="110" t="s">
        <v>7</v>
      </c>
      <c r="C262" s="110" t="s">
        <v>6</v>
      </c>
      <c r="D262" s="111">
        <v>2017</v>
      </c>
      <c r="E262" s="109">
        <v>41.1</v>
      </c>
      <c r="F262" s="93">
        <v>2.8327300000000002</v>
      </c>
      <c r="G262" s="93">
        <v>6000000000</v>
      </c>
      <c r="H262" s="94">
        <v>10106.200000000001</v>
      </c>
      <c r="I262" s="96">
        <v>0.28000000000000003</v>
      </c>
      <c r="J262" s="109">
        <v>21.59</v>
      </c>
      <c r="K262" s="112">
        <v>0.42920000000000003</v>
      </c>
      <c r="L262" s="109">
        <v>315</v>
      </c>
      <c r="M262" s="93">
        <v>14</v>
      </c>
      <c r="N262" s="114">
        <v>83.4</v>
      </c>
      <c r="O262" s="112">
        <v>1.8</v>
      </c>
      <c r="P262" s="115">
        <v>75.400000000000006</v>
      </c>
      <c r="Q262" s="116">
        <v>2110</v>
      </c>
      <c r="R262" s="102">
        <v>86361</v>
      </c>
      <c r="S262" s="230">
        <v>0.43</v>
      </c>
      <c r="T262" s="115">
        <v>112</v>
      </c>
      <c r="U262" s="109">
        <v>5067.7749000000003</v>
      </c>
      <c r="V262" s="118">
        <v>10.8</v>
      </c>
      <c r="W262" s="119">
        <v>21.59</v>
      </c>
      <c r="X262" s="121">
        <v>315</v>
      </c>
      <c r="Y262" s="108">
        <v>14</v>
      </c>
      <c r="Z262" s="119">
        <v>5067.7700000000004</v>
      </c>
      <c r="AA262" s="96">
        <v>74.351200000000006</v>
      </c>
      <c r="AB262" s="94">
        <v>85.1387</v>
      </c>
      <c r="AC262" s="94">
        <v>23.4</v>
      </c>
      <c r="AD262" s="96">
        <v>53.936</v>
      </c>
    </row>
    <row r="263" spans="1:30">
      <c r="A263" s="109">
        <v>24</v>
      </c>
      <c r="B263" s="110" t="s">
        <v>7</v>
      </c>
      <c r="C263" s="110" t="s">
        <v>6</v>
      </c>
      <c r="D263" s="111">
        <v>2018</v>
      </c>
      <c r="E263" s="109">
        <v>41.3</v>
      </c>
      <c r="F263" s="93">
        <v>3.0162200000000001</v>
      </c>
      <c r="G263" s="93">
        <v>7300000000</v>
      </c>
      <c r="H263" s="94">
        <v>10788</v>
      </c>
      <c r="I263" s="96">
        <v>0.28000000000000003</v>
      </c>
      <c r="J263" s="109">
        <v>23.417000000000002</v>
      </c>
      <c r="K263" s="112">
        <v>0.4224</v>
      </c>
      <c r="L263" s="109">
        <v>329</v>
      </c>
      <c r="M263" s="93">
        <v>11.1</v>
      </c>
      <c r="N263" s="114">
        <v>83.1</v>
      </c>
      <c r="O263" s="112">
        <v>1.6</v>
      </c>
      <c r="P263" s="115">
        <v>155.1</v>
      </c>
      <c r="Q263" s="116">
        <v>2267</v>
      </c>
      <c r="R263" s="102">
        <v>86347</v>
      </c>
      <c r="S263" s="230">
        <v>0.49</v>
      </c>
      <c r="T263" s="115">
        <v>110</v>
      </c>
      <c r="U263" s="109">
        <v>4851.9076999999997</v>
      </c>
      <c r="V263" s="118">
        <v>10.7</v>
      </c>
      <c r="W263" s="119">
        <v>23.417000000000002</v>
      </c>
      <c r="X263" s="121">
        <v>329</v>
      </c>
      <c r="Y263" s="108">
        <v>11.1</v>
      </c>
      <c r="Z263" s="119">
        <v>4851.91</v>
      </c>
      <c r="AA263" s="96">
        <v>72.866500000000002</v>
      </c>
      <c r="AB263" s="94">
        <v>84.64</v>
      </c>
      <c r="AC263" s="94">
        <v>23</v>
      </c>
      <c r="AD263" s="96">
        <v>53.997999999999998</v>
      </c>
    </row>
    <row r="264" spans="1:30">
      <c r="A264" s="109">
        <v>24</v>
      </c>
      <c r="B264" s="110" t="s">
        <v>7</v>
      </c>
      <c r="C264" s="110" t="s">
        <v>6</v>
      </c>
      <c r="D264" s="111">
        <v>2019</v>
      </c>
      <c r="E264" s="109">
        <v>42.1</v>
      </c>
      <c r="F264" s="93">
        <v>2.9265400000000001</v>
      </c>
      <c r="G264" s="93">
        <v>7400000000</v>
      </c>
      <c r="H264" s="94">
        <v>11270.5</v>
      </c>
      <c r="I264" s="96">
        <v>0.26</v>
      </c>
      <c r="J264" s="109">
        <v>27.959999</v>
      </c>
      <c r="K264" s="112">
        <v>0.36840000000000001</v>
      </c>
      <c r="L264" s="109">
        <v>336</v>
      </c>
      <c r="M264" s="93">
        <v>11.5</v>
      </c>
      <c r="N264" s="114">
        <v>81.5</v>
      </c>
      <c r="O264" s="112">
        <v>1.4</v>
      </c>
      <c r="P264" s="115">
        <v>428.6</v>
      </c>
      <c r="Q264" s="116">
        <v>2486</v>
      </c>
      <c r="R264" s="102">
        <v>90179</v>
      </c>
      <c r="S264" s="230">
        <v>0.41</v>
      </c>
      <c r="T264" s="115">
        <v>111</v>
      </c>
      <c r="U264" s="109">
        <v>4636.0405000000001</v>
      </c>
      <c r="V264" s="118">
        <v>9.5</v>
      </c>
      <c r="W264" s="119">
        <v>27.96</v>
      </c>
      <c r="X264" s="121">
        <v>336</v>
      </c>
      <c r="Y264" s="108">
        <v>11.5</v>
      </c>
      <c r="Z264" s="119">
        <v>0</v>
      </c>
      <c r="AA264" s="96">
        <v>68.903800000000004</v>
      </c>
      <c r="AB264" s="94">
        <v>84.195300000000003</v>
      </c>
      <c r="AC264" s="94">
        <v>23.5</v>
      </c>
      <c r="AD264" s="96">
        <v>54.084000000000003</v>
      </c>
    </row>
    <row r="265" spans="1:30">
      <c r="A265" s="109">
        <v>24</v>
      </c>
      <c r="B265" s="110" t="s">
        <v>7</v>
      </c>
      <c r="C265" s="110" t="s">
        <v>6</v>
      </c>
      <c r="D265" s="111">
        <v>2020</v>
      </c>
      <c r="E265" s="109">
        <v>42.7</v>
      </c>
      <c r="F265" s="93">
        <v>1.4293400000000001</v>
      </c>
      <c r="G265" s="93">
        <v>3600000000</v>
      </c>
      <c r="H265" s="94">
        <v>10916.3</v>
      </c>
      <c r="I265" s="96">
        <v>0.27</v>
      </c>
      <c r="J265" s="109">
        <v>29.370999999999999</v>
      </c>
      <c r="K265" s="112">
        <v>0.3448</v>
      </c>
      <c r="L265" s="109">
        <v>346</v>
      </c>
      <c r="M265" s="93">
        <v>11.9</v>
      </c>
      <c r="N265" s="114">
        <v>76</v>
      </c>
      <c r="O265" s="112">
        <v>1.5</v>
      </c>
      <c r="P265" s="115">
        <v>557.29999999999995</v>
      </c>
      <c r="Q265" s="116">
        <v>2265</v>
      </c>
      <c r="R265" s="102">
        <v>88583</v>
      </c>
      <c r="S265" s="230">
        <v>0.26</v>
      </c>
      <c r="T265" s="115">
        <v>112</v>
      </c>
      <c r="U265" s="109">
        <v>4420.1733000000004</v>
      </c>
      <c r="V265" s="118">
        <v>9.3000000000000007</v>
      </c>
      <c r="W265" s="119">
        <v>29.370999999999999</v>
      </c>
      <c r="X265" s="121">
        <v>346</v>
      </c>
      <c r="Y265" s="108">
        <v>11.9</v>
      </c>
      <c r="Z265" s="119">
        <v>0</v>
      </c>
      <c r="AA265" s="96">
        <v>64.6143</v>
      </c>
      <c r="AB265" s="94">
        <v>83.732799999999997</v>
      </c>
      <c r="AC265" s="94">
        <v>24.1</v>
      </c>
      <c r="AD265" s="96">
        <v>54.194000000000003</v>
      </c>
    </row>
    <row r="266" spans="1:30">
      <c r="A266" s="109">
        <v>25</v>
      </c>
      <c r="B266" s="110" t="s">
        <v>5</v>
      </c>
      <c r="C266" s="110" t="s">
        <v>4</v>
      </c>
      <c r="D266" s="111">
        <v>2010</v>
      </c>
      <c r="E266" s="109">
        <v>16</v>
      </c>
      <c r="F266" s="93">
        <v>0.126859</v>
      </c>
      <c r="G266" s="93">
        <v>630000000</v>
      </c>
      <c r="H266" s="94">
        <v>48204.7</v>
      </c>
      <c r="I266" s="96">
        <v>0.81</v>
      </c>
      <c r="J266" s="109">
        <v>22.777999999999999</v>
      </c>
      <c r="K266" s="112">
        <v>1.9827999999999999</v>
      </c>
      <c r="L266" s="109">
        <v>518</v>
      </c>
      <c r="M266" s="93">
        <v>47.799999</v>
      </c>
      <c r="N266" s="114">
        <v>83.9</v>
      </c>
      <c r="O266" s="112">
        <v>7.2</v>
      </c>
      <c r="P266" s="115">
        <v>82.3</v>
      </c>
      <c r="Q266" s="116">
        <v>5279</v>
      </c>
      <c r="R266" s="102">
        <v>69105</v>
      </c>
      <c r="S266" s="230">
        <v>0.43</v>
      </c>
      <c r="T266" s="115">
        <v>100</v>
      </c>
      <c r="U266" s="109">
        <v>5194.0454</v>
      </c>
      <c r="V266" s="118">
        <v>27.6</v>
      </c>
      <c r="W266" s="119">
        <v>22.777999999999999</v>
      </c>
      <c r="X266" s="121">
        <v>518</v>
      </c>
      <c r="Y266" s="108">
        <v>47.8</v>
      </c>
      <c r="Z266" s="119">
        <v>5194.05</v>
      </c>
      <c r="AA266" s="96">
        <v>62.403399999999998</v>
      </c>
      <c r="AB266" s="94">
        <v>23.0229</v>
      </c>
      <c r="AC266" s="94">
        <v>44.7</v>
      </c>
      <c r="AD266" s="96">
        <v>85.055999999999997</v>
      </c>
    </row>
    <row r="267" spans="1:30">
      <c r="A267" s="109">
        <v>25</v>
      </c>
      <c r="B267" s="110" t="s">
        <v>5</v>
      </c>
      <c r="C267" s="110" t="s">
        <v>4</v>
      </c>
      <c r="D267" s="111">
        <v>2011</v>
      </c>
      <c r="E267" s="109">
        <v>16.5</v>
      </c>
      <c r="F267" s="93">
        <v>1.22329</v>
      </c>
      <c r="G267" s="93">
        <v>7000000000</v>
      </c>
      <c r="H267" s="94">
        <v>49355.7</v>
      </c>
      <c r="I267" s="96">
        <v>0.81</v>
      </c>
      <c r="J267" s="109">
        <v>24.24</v>
      </c>
      <c r="K267" s="112">
        <v>1.9406000000000001</v>
      </c>
      <c r="L267" s="109">
        <v>520</v>
      </c>
      <c r="M267" s="93">
        <v>47</v>
      </c>
      <c r="N267" s="114">
        <v>83.6</v>
      </c>
      <c r="O267" s="112">
        <v>7.6</v>
      </c>
      <c r="P267" s="115">
        <v>122.8</v>
      </c>
      <c r="Q267" s="116">
        <v>6058</v>
      </c>
      <c r="R267" s="102">
        <v>74573</v>
      </c>
      <c r="S267" s="230">
        <v>0.78</v>
      </c>
      <c r="T267" s="115">
        <v>100</v>
      </c>
      <c r="U267" s="109">
        <v>5013.1665000000003</v>
      </c>
      <c r="V267" s="118">
        <v>26.9</v>
      </c>
      <c r="W267" s="119">
        <v>24.24</v>
      </c>
      <c r="X267" s="121">
        <v>520</v>
      </c>
      <c r="Y267" s="108">
        <v>47</v>
      </c>
      <c r="Z267" s="119">
        <v>5013.17</v>
      </c>
      <c r="AA267" s="96">
        <v>63.7971</v>
      </c>
      <c r="AB267" s="94">
        <v>23.197399999999998</v>
      </c>
      <c r="AC267" s="94">
        <v>45.4</v>
      </c>
      <c r="AD267" s="96">
        <v>85.296999999999997</v>
      </c>
    </row>
    <row r="268" spans="1:30">
      <c r="A268" s="109">
        <v>25</v>
      </c>
      <c r="B268" s="110" t="s">
        <v>5</v>
      </c>
      <c r="C268" s="110" t="s">
        <v>4</v>
      </c>
      <c r="D268" s="111">
        <v>2012</v>
      </c>
      <c r="E268" s="109">
        <v>18</v>
      </c>
      <c r="F268" s="93">
        <v>0.77737000000000001</v>
      </c>
      <c r="G268" s="93">
        <v>4300000000</v>
      </c>
      <c r="H268" s="94">
        <v>48788.9</v>
      </c>
      <c r="I268" s="96">
        <v>0.81</v>
      </c>
      <c r="J268" s="109">
        <v>23.094999000000001</v>
      </c>
      <c r="K268" s="112">
        <v>1.9404999999999999</v>
      </c>
      <c r="L268" s="109">
        <v>516</v>
      </c>
      <c r="M268" s="93">
        <v>46.900002000000001</v>
      </c>
      <c r="N268" s="114">
        <v>84.3</v>
      </c>
      <c r="O268" s="112">
        <v>8.1999999999999993</v>
      </c>
      <c r="P268" s="115">
        <v>71.2</v>
      </c>
      <c r="Q268" s="116">
        <v>6298</v>
      </c>
      <c r="R268" s="102">
        <v>74598</v>
      </c>
      <c r="S268" s="230">
        <v>0.48</v>
      </c>
      <c r="T268" s="115">
        <v>98</v>
      </c>
      <c r="U268" s="109">
        <v>4817.7938999999997</v>
      </c>
      <c r="V268" s="118">
        <v>26.3</v>
      </c>
      <c r="W268" s="119">
        <v>23.094999999999999</v>
      </c>
      <c r="X268" s="121">
        <v>516</v>
      </c>
      <c r="Y268" s="108">
        <v>46.9</v>
      </c>
      <c r="Z268" s="119">
        <v>4817.79</v>
      </c>
      <c r="AA268" s="96">
        <v>61.261600000000001</v>
      </c>
      <c r="AB268" s="94">
        <v>23.369599999999998</v>
      </c>
      <c r="AC268" s="94">
        <v>48.3</v>
      </c>
      <c r="AD268" s="96">
        <v>85.62</v>
      </c>
    </row>
    <row r="269" spans="1:30">
      <c r="A269" s="109">
        <v>25</v>
      </c>
      <c r="B269" s="110" t="s">
        <v>5</v>
      </c>
      <c r="C269" s="110" t="s">
        <v>4</v>
      </c>
      <c r="D269" s="111">
        <v>2013</v>
      </c>
      <c r="E269" s="109">
        <v>18</v>
      </c>
      <c r="F269" s="93">
        <v>0.25469599999999998</v>
      </c>
      <c r="G269" s="93">
        <v>1500000000</v>
      </c>
      <c r="H269" s="94">
        <v>48927.6</v>
      </c>
      <c r="I269" s="96">
        <v>0.81</v>
      </c>
      <c r="J269" s="109">
        <v>24.889999</v>
      </c>
      <c r="K269" s="112">
        <v>1.9071</v>
      </c>
      <c r="L269" s="109">
        <v>490</v>
      </c>
      <c r="M269" s="93">
        <v>48.200001</v>
      </c>
      <c r="N269" s="114">
        <v>83.7</v>
      </c>
      <c r="O269" s="112">
        <v>7.2</v>
      </c>
      <c r="P269" s="115">
        <v>43.2</v>
      </c>
      <c r="Q269" s="116">
        <v>7108</v>
      </c>
      <c r="R269" s="102">
        <v>74963</v>
      </c>
      <c r="S269" s="230">
        <v>0.91</v>
      </c>
      <c r="T269" s="115">
        <v>99</v>
      </c>
      <c r="U269" s="109">
        <v>4805.3521000000001</v>
      </c>
      <c r="V269" s="118">
        <v>24.9</v>
      </c>
      <c r="W269" s="119">
        <v>24.89</v>
      </c>
      <c r="X269" s="121">
        <v>490</v>
      </c>
      <c r="Y269" s="108">
        <v>48.2</v>
      </c>
      <c r="Z269" s="119">
        <v>4805.3500000000004</v>
      </c>
      <c r="AA269" s="96">
        <v>56.179299999999998</v>
      </c>
      <c r="AB269" s="94">
        <v>23.5685</v>
      </c>
      <c r="AC269" s="94">
        <v>47.3</v>
      </c>
      <c r="AD269" s="96">
        <v>85.936000000000007</v>
      </c>
    </row>
    <row r="270" spans="1:30">
      <c r="A270" s="109">
        <v>25</v>
      </c>
      <c r="B270" s="110" t="s">
        <v>5</v>
      </c>
      <c r="C270" s="110" t="s">
        <v>4</v>
      </c>
      <c r="D270" s="111">
        <v>2014</v>
      </c>
      <c r="E270" s="109">
        <v>17.3</v>
      </c>
      <c r="F270" s="93">
        <v>-1.0454300000000001</v>
      </c>
      <c r="G270" s="93">
        <v>-6000000000</v>
      </c>
      <c r="H270" s="94">
        <v>49556.7</v>
      </c>
      <c r="I270" s="96">
        <v>0.81</v>
      </c>
      <c r="J270" s="109">
        <v>23.040001</v>
      </c>
      <c r="K270" s="112">
        <v>1.9057999999999999</v>
      </c>
      <c r="L270" s="109">
        <v>453</v>
      </c>
      <c r="M270" s="93">
        <v>49.299999</v>
      </c>
      <c r="N270" s="114">
        <v>84.1</v>
      </c>
      <c r="O270" s="112">
        <v>6.4</v>
      </c>
      <c r="P270" s="115">
        <v>20.8</v>
      </c>
      <c r="Q270" s="116">
        <v>6257</v>
      </c>
      <c r="R270" s="102">
        <v>75670</v>
      </c>
      <c r="S270" s="230">
        <v>0.7</v>
      </c>
      <c r="T270" s="115">
        <v>101</v>
      </c>
      <c r="U270" s="109">
        <v>4866.1522999999997</v>
      </c>
      <c r="V270" s="118">
        <v>25.4</v>
      </c>
      <c r="W270" s="119">
        <v>23.04</v>
      </c>
      <c r="X270" s="121">
        <v>453</v>
      </c>
      <c r="Y270" s="108">
        <v>49.3</v>
      </c>
      <c r="Z270" s="119">
        <v>4866.1499999999996</v>
      </c>
      <c r="AA270" s="96">
        <v>56.575899999999997</v>
      </c>
      <c r="AB270" s="94">
        <v>23.8035</v>
      </c>
      <c r="AC270" s="94">
        <v>48.6</v>
      </c>
      <c r="AD270" s="96">
        <v>86.247</v>
      </c>
    </row>
    <row r="271" spans="1:30">
      <c r="A271" s="109">
        <v>25</v>
      </c>
      <c r="B271" s="110" t="s">
        <v>5</v>
      </c>
      <c r="C271" s="110" t="s">
        <v>4</v>
      </c>
      <c r="D271" s="111">
        <v>2015</v>
      </c>
      <c r="E271" s="109">
        <v>18.100000000000001</v>
      </c>
      <c r="F271" s="93">
        <v>1.94889</v>
      </c>
      <c r="G271" s="93">
        <v>9800000000</v>
      </c>
      <c r="H271" s="94">
        <v>51198</v>
      </c>
      <c r="I271" s="96">
        <v>0.81</v>
      </c>
      <c r="J271" s="109">
        <v>23.094000000000001</v>
      </c>
      <c r="K271" s="112">
        <v>2.0114000000000001</v>
      </c>
      <c r="L271" s="109">
        <v>439</v>
      </c>
      <c r="M271" s="93">
        <v>47.599997999999999</v>
      </c>
      <c r="N271" s="114">
        <v>83.6</v>
      </c>
      <c r="O271" s="112">
        <v>6.7</v>
      </c>
      <c r="P271" s="115">
        <v>56</v>
      </c>
      <c r="Q271" s="116">
        <v>6421</v>
      </c>
      <c r="R271" s="102">
        <v>78165</v>
      </c>
      <c r="S271" s="230">
        <v>1</v>
      </c>
      <c r="T271" s="115">
        <v>103</v>
      </c>
      <c r="U271" s="109">
        <v>4665.5537000000004</v>
      </c>
      <c r="V271" s="118">
        <v>25.5</v>
      </c>
      <c r="W271" s="119">
        <v>23.094000000000001</v>
      </c>
      <c r="X271" s="121">
        <v>439</v>
      </c>
      <c r="Y271" s="108">
        <v>47.6</v>
      </c>
      <c r="Z271" s="119">
        <v>4665.55</v>
      </c>
      <c r="AA271" s="96">
        <v>55.495699999999999</v>
      </c>
      <c r="AB271" s="94">
        <v>24.058299999999999</v>
      </c>
      <c r="AC271" s="94">
        <v>51.9</v>
      </c>
      <c r="AD271" s="96">
        <v>86.552999999999997</v>
      </c>
    </row>
    <row r="272" spans="1:30">
      <c r="A272" s="109">
        <v>25</v>
      </c>
      <c r="B272" s="110" t="s">
        <v>5</v>
      </c>
      <c r="C272" s="110" t="s">
        <v>4</v>
      </c>
      <c r="D272" s="111">
        <v>2016</v>
      </c>
      <c r="E272" s="109">
        <v>17.3</v>
      </c>
      <c r="F272" s="93">
        <v>3.00854</v>
      </c>
      <c r="G272" s="93">
        <v>15000000000</v>
      </c>
      <c r="H272" s="94">
        <v>51746.7</v>
      </c>
      <c r="I272" s="96">
        <v>0.79</v>
      </c>
      <c r="J272" s="109">
        <v>24.603000999999999</v>
      </c>
      <c r="K272" s="112">
        <v>2.0141</v>
      </c>
      <c r="L272" s="109">
        <v>452</v>
      </c>
      <c r="M272" s="93">
        <v>48.400002000000001</v>
      </c>
      <c r="N272" s="114">
        <v>83.4</v>
      </c>
      <c r="O272" s="112">
        <v>6.9</v>
      </c>
      <c r="P272" s="115">
        <v>31.8</v>
      </c>
      <c r="Q272" s="116">
        <v>6642</v>
      </c>
      <c r="R272" s="102">
        <v>80333</v>
      </c>
      <c r="S272" s="230">
        <v>0.61</v>
      </c>
      <c r="T272" s="115">
        <v>104</v>
      </c>
      <c r="U272" s="109">
        <v>4562.3603999999996</v>
      </c>
      <c r="V272" s="118">
        <v>26.4</v>
      </c>
      <c r="W272" s="119">
        <v>24.603000000000002</v>
      </c>
      <c r="X272" s="121">
        <v>452</v>
      </c>
      <c r="Y272" s="108">
        <v>48.4</v>
      </c>
      <c r="Z272" s="119">
        <v>4562.3599999999997</v>
      </c>
      <c r="AA272" s="96">
        <v>54.512099999999997</v>
      </c>
      <c r="AB272" s="94">
        <v>24.362400000000001</v>
      </c>
      <c r="AC272" s="94">
        <v>50.9</v>
      </c>
      <c r="AD272" s="96">
        <v>86.852000000000004</v>
      </c>
    </row>
    <row r="273" spans="1:30">
      <c r="A273" s="109">
        <v>25</v>
      </c>
      <c r="B273" s="110" t="s">
        <v>5</v>
      </c>
      <c r="C273" s="110" t="s">
        <v>4</v>
      </c>
      <c r="D273" s="111">
        <v>2017</v>
      </c>
      <c r="E273" s="109">
        <v>17.899999999999999</v>
      </c>
      <c r="F273" s="93">
        <v>4.5338399999999996</v>
      </c>
      <c r="G273" s="93">
        <v>24000000000</v>
      </c>
      <c r="H273" s="94">
        <v>51985.9</v>
      </c>
      <c r="I273" s="96">
        <v>0.78</v>
      </c>
      <c r="J273" s="109">
        <v>22.815000999999999</v>
      </c>
      <c r="K273" s="112">
        <v>1.9456</v>
      </c>
      <c r="L273" s="109">
        <v>459</v>
      </c>
      <c r="M273" s="93">
        <v>46.799999</v>
      </c>
      <c r="N273" s="114">
        <v>83.5</v>
      </c>
      <c r="O273" s="112">
        <v>6.7</v>
      </c>
      <c r="P273" s="115">
        <v>46.1</v>
      </c>
      <c r="Q273" s="116">
        <v>6984</v>
      </c>
      <c r="R273" s="102">
        <v>83566</v>
      </c>
      <c r="S273" s="230">
        <v>1.39</v>
      </c>
      <c r="T273" s="115">
        <v>103</v>
      </c>
      <c r="U273" s="109">
        <v>4403.3734999999997</v>
      </c>
      <c r="V273" s="118">
        <v>25.4</v>
      </c>
      <c r="W273" s="119">
        <v>22.815000000000001</v>
      </c>
      <c r="X273" s="121">
        <v>459</v>
      </c>
      <c r="Y273" s="108">
        <v>46.8</v>
      </c>
      <c r="Z273" s="119">
        <v>4403.37</v>
      </c>
      <c r="AA273" s="96">
        <v>57.292299999999997</v>
      </c>
      <c r="AB273" s="94">
        <v>24.692900000000002</v>
      </c>
      <c r="AC273" s="94">
        <v>51.8</v>
      </c>
      <c r="AD273" s="96">
        <v>87.146000000000001</v>
      </c>
    </row>
    <row r="274" spans="1:30">
      <c r="A274" s="109">
        <v>25</v>
      </c>
      <c r="B274" s="110" t="s">
        <v>5</v>
      </c>
      <c r="C274" s="110" t="s">
        <v>4</v>
      </c>
      <c r="D274" s="111">
        <v>2018</v>
      </c>
      <c r="E274" s="109">
        <v>18.2</v>
      </c>
      <c r="F274" s="93">
        <v>-0.12953700000000001</v>
      </c>
      <c r="G274" s="93">
        <v>-710000000</v>
      </c>
      <c r="H274" s="94">
        <v>52363.4</v>
      </c>
      <c r="I274" s="96">
        <v>0.78</v>
      </c>
      <c r="J274" s="109">
        <v>25.068999999999999</v>
      </c>
      <c r="K274" s="112">
        <v>1.9154</v>
      </c>
      <c r="L274" s="109">
        <v>472</v>
      </c>
      <c r="M274" s="93">
        <v>45.799999</v>
      </c>
      <c r="N274" s="114">
        <v>83.3</v>
      </c>
      <c r="O274" s="112">
        <v>6.6</v>
      </c>
      <c r="P274" s="115">
        <v>19.100000000000001</v>
      </c>
      <c r="Q274" s="116">
        <v>6437</v>
      </c>
      <c r="R274" s="102">
        <v>80130</v>
      </c>
      <c r="S274" s="230">
        <v>1.88</v>
      </c>
      <c r="T274" s="115">
        <v>102</v>
      </c>
      <c r="U274" s="109">
        <v>3890.9169999999999</v>
      </c>
      <c r="V274" s="118">
        <v>26.8</v>
      </c>
      <c r="W274" s="119">
        <v>25.068999999999999</v>
      </c>
      <c r="X274" s="121">
        <v>472</v>
      </c>
      <c r="Y274" s="108">
        <v>45.8</v>
      </c>
      <c r="Z274" s="119">
        <v>3890.92</v>
      </c>
      <c r="AA274" s="96">
        <v>61.049399999999999</v>
      </c>
      <c r="AB274" s="94">
        <v>24.9815</v>
      </c>
      <c r="AC274" s="94">
        <v>51.6</v>
      </c>
      <c r="AD274" s="96">
        <v>87.430999999999997</v>
      </c>
    </row>
    <row r="275" spans="1:30">
      <c r="A275" s="109">
        <v>25</v>
      </c>
      <c r="B275" s="110" t="s">
        <v>5</v>
      </c>
      <c r="C275" s="110" t="s">
        <v>4</v>
      </c>
      <c r="D275" s="111">
        <v>2019</v>
      </c>
      <c r="E275" s="109">
        <v>18.8</v>
      </c>
      <c r="F275" s="93">
        <v>2.98448</v>
      </c>
      <c r="G275" s="93">
        <v>16000000000</v>
      </c>
      <c r="H275" s="94">
        <v>53156.9</v>
      </c>
      <c r="I275" s="96">
        <v>0.79</v>
      </c>
      <c r="J275" s="109">
        <v>24.677</v>
      </c>
      <c r="K275" s="112">
        <v>1.8713</v>
      </c>
      <c r="L275" s="109">
        <v>484</v>
      </c>
      <c r="M275" s="93">
        <v>46.599997999999999</v>
      </c>
      <c r="N275" s="114">
        <v>86.6</v>
      </c>
      <c r="O275" s="112">
        <v>6.4</v>
      </c>
      <c r="P275" s="115">
        <v>54.2</v>
      </c>
      <c r="Q275" s="116">
        <v>6364</v>
      </c>
      <c r="R275" s="102">
        <v>81185</v>
      </c>
      <c r="S275" s="230">
        <v>1.4</v>
      </c>
      <c r="T275" s="115">
        <v>103</v>
      </c>
      <c r="U275" s="109">
        <v>3378.4603999999999</v>
      </c>
      <c r="V275" s="118">
        <v>25</v>
      </c>
      <c r="W275" s="119">
        <v>24.677</v>
      </c>
      <c r="X275" s="121">
        <v>484</v>
      </c>
      <c r="Y275" s="108">
        <v>46.6</v>
      </c>
      <c r="Z275" s="119">
        <v>0</v>
      </c>
      <c r="AA275" s="96">
        <v>60.046100000000003</v>
      </c>
      <c r="AB275" s="94">
        <v>25.2379</v>
      </c>
      <c r="AC275" s="94">
        <v>52.9</v>
      </c>
      <c r="AD275" s="96">
        <v>87.707999999999998</v>
      </c>
    </row>
    <row r="276" spans="1:30">
      <c r="A276" s="109">
        <v>25</v>
      </c>
      <c r="B276" s="110" t="s">
        <v>5</v>
      </c>
      <c r="C276" s="110" t="s">
        <v>4</v>
      </c>
      <c r="D276" s="111">
        <v>2020</v>
      </c>
      <c r="E276" s="109">
        <v>19.2</v>
      </c>
      <c r="F276" s="93">
        <v>3.39683</v>
      </c>
      <c r="G276" s="93">
        <v>19000000000</v>
      </c>
      <c r="H276" s="94">
        <v>51715.8</v>
      </c>
      <c r="I276" s="96">
        <v>0.78</v>
      </c>
      <c r="J276" s="109">
        <v>23.649000000000001</v>
      </c>
      <c r="K276" s="112">
        <v>1.9179999999999999</v>
      </c>
      <c r="L276" s="109">
        <v>504</v>
      </c>
      <c r="M276" s="93">
        <v>38.299999</v>
      </c>
      <c r="N276" s="114">
        <v>74.099999999999994</v>
      </c>
      <c r="O276" s="112">
        <v>6.9</v>
      </c>
      <c r="P276" s="115">
        <v>35.9</v>
      </c>
      <c r="Q276" s="116">
        <v>7135</v>
      </c>
      <c r="R276" s="102">
        <v>83884</v>
      </c>
      <c r="S276" s="230">
        <v>0.46</v>
      </c>
      <c r="T276" s="115">
        <v>91</v>
      </c>
      <c r="U276" s="109">
        <v>2866.0039000000002</v>
      </c>
      <c r="V276" s="118">
        <v>23.7</v>
      </c>
      <c r="W276" s="119">
        <v>23.649000000000001</v>
      </c>
      <c r="X276" s="121">
        <v>504</v>
      </c>
      <c r="Y276" s="108">
        <v>38.299999999999997</v>
      </c>
      <c r="Z276" s="119">
        <v>0</v>
      </c>
      <c r="AA276" s="96">
        <v>56.0364</v>
      </c>
      <c r="AB276" s="94">
        <v>25.4209</v>
      </c>
      <c r="AC276" s="94">
        <v>57.8</v>
      </c>
      <c r="AD276" s="96">
        <v>87.977000000000004</v>
      </c>
    </row>
    <row r="277" spans="1:30">
      <c r="A277" s="109">
        <v>26</v>
      </c>
      <c r="B277" s="110" t="s">
        <v>3</v>
      </c>
      <c r="C277" s="110" t="s">
        <v>2</v>
      </c>
      <c r="D277" s="111">
        <v>2010</v>
      </c>
      <c r="E277" s="109">
        <v>21</v>
      </c>
      <c r="F277" s="93">
        <v>0.66776100000000005</v>
      </c>
      <c r="G277" s="93">
        <v>320000000</v>
      </c>
      <c r="H277" s="94">
        <v>20444.099999999999</v>
      </c>
      <c r="I277" s="96">
        <v>0.52</v>
      </c>
      <c r="J277" s="109">
        <v>19.072001</v>
      </c>
      <c r="K277" s="112">
        <v>1.1600999999999999</v>
      </c>
      <c r="L277" s="109">
        <v>396</v>
      </c>
      <c r="M277" s="93">
        <v>22.4</v>
      </c>
      <c r="N277" s="114">
        <v>78.5</v>
      </c>
      <c r="O277" s="112">
        <v>5.9</v>
      </c>
      <c r="P277" s="115">
        <v>804.5</v>
      </c>
      <c r="Q277" s="116">
        <v>517</v>
      </c>
      <c r="R277" s="102">
        <v>14076</v>
      </c>
      <c r="S277" s="230">
        <v>0</v>
      </c>
      <c r="T277" s="115">
        <v>100</v>
      </c>
      <c r="U277" s="109">
        <v>6916.8687</v>
      </c>
      <c r="V277" s="118">
        <v>37.799999999999997</v>
      </c>
      <c r="W277" s="119">
        <v>19.071999999999999</v>
      </c>
      <c r="X277" s="121">
        <v>396</v>
      </c>
      <c r="Y277" s="108">
        <v>22.4</v>
      </c>
      <c r="Z277" s="119">
        <v>6916.87</v>
      </c>
      <c r="AA277" s="96">
        <v>124.06399999999999</v>
      </c>
      <c r="AB277" s="94">
        <v>101.68600000000001</v>
      </c>
      <c r="AC277" s="94">
        <v>20.100000000000001</v>
      </c>
      <c r="AD277" s="96">
        <v>52.658000000000001</v>
      </c>
    </row>
    <row r="278" spans="1:30">
      <c r="A278" s="109">
        <v>26</v>
      </c>
      <c r="B278" s="110" t="s">
        <v>3</v>
      </c>
      <c r="C278" s="110" t="s">
        <v>2</v>
      </c>
      <c r="D278" s="111">
        <v>2011</v>
      </c>
      <c r="E278" s="109">
        <v>21.5</v>
      </c>
      <c r="F278" s="93">
        <v>1.71086</v>
      </c>
      <c r="G278" s="93">
        <v>880000000</v>
      </c>
      <c r="H278" s="94">
        <v>20535.400000000001</v>
      </c>
      <c r="I278" s="96">
        <v>0.48</v>
      </c>
      <c r="J278" s="109">
        <v>18.468</v>
      </c>
      <c r="K278" s="112">
        <v>1.2995000000000001</v>
      </c>
      <c r="L278" s="109">
        <v>391</v>
      </c>
      <c r="M278" s="93">
        <v>35.700001</v>
      </c>
      <c r="N278" s="114">
        <v>75.099999999999994</v>
      </c>
      <c r="O278" s="112">
        <v>7.6</v>
      </c>
      <c r="P278" s="115">
        <v>824.3</v>
      </c>
      <c r="Q278" s="116">
        <v>531</v>
      </c>
      <c r="R278" s="102">
        <v>14352</v>
      </c>
      <c r="S278" s="230">
        <v>0.1</v>
      </c>
      <c r="T278" s="115">
        <v>99</v>
      </c>
      <c r="U278" s="109">
        <v>6777.3451999999997</v>
      </c>
      <c r="V278" s="118">
        <v>40.799999999999997</v>
      </c>
      <c r="W278" s="119">
        <v>18.468</v>
      </c>
      <c r="X278" s="121">
        <v>391</v>
      </c>
      <c r="Y278" s="108">
        <v>35.700000000000003</v>
      </c>
      <c r="Z278" s="119">
        <v>6777.35</v>
      </c>
      <c r="AA278" s="96">
        <v>137.137</v>
      </c>
      <c r="AB278" s="94">
        <v>101.898</v>
      </c>
      <c r="AC278" s="94">
        <v>19.100000000000001</v>
      </c>
      <c r="AD278" s="96">
        <v>52.883000000000003</v>
      </c>
    </row>
    <row r="279" spans="1:30">
      <c r="A279" s="109">
        <v>26</v>
      </c>
      <c r="B279" s="110" t="s">
        <v>3</v>
      </c>
      <c r="C279" s="110" t="s">
        <v>2</v>
      </c>
      <c r="D279" s="111">
        <v>2012</v>
      </c>
      <c r="E279" s="109">
        <v>22.5</v>
      </c>
      <c r="F279" s="93">
        <v>7.2645000000000001E-2</v>
      </c>
      <c r="G279" s="93">
        <v>34000000</v>
      </c>
      <c r="H279" s="94">
        <v>19894.900000000001</v>
      </c>
      <c r="I279" s="96">
        <v>0.47</v>
      </c>
      <c r="J279" s="109">
        <v>15.632</v>
      </c>
      <c r="K279" s="112">
        <v>1.4568000000000001</v>
      </c>
      <c r="L279" s="109">
        <v>411</v>
      </c>
      <c r="M279" s="93">
        <v>42.099997999999999</v>
      </c>
      <c r="N279" s="114">
        <v>79.7</v>
      </c>
      <c r="O279" s="112">
        <v>9.4</v>
      </c>
      <c r="P279" s="115">
        <v>991.1</v>
      </c>
      <c r="Q279" s="116">
        <v>543</v>
      </c>
      <c r="R279" s="102">
        <v>14648</v>
      </c>
      <c r="S279" s="230">
        <v>0</v>
      </c>
      <c r="T279" s="115">
        <v>96</v>
      </c>
      <c r="U279" s="109">
        <v>6090.5888999999997</v>
      </c>
      <c r="V279" s="118">
        <v>43.1</v>
      </c>
      <c r="W279" s="119">
        <v>15.632</v>
      </c>
      <c r="X279" s="121">
        <v>411</v>
      </c>
      <c r="Y279" s="108">
        <v>42.1</v>
      </c>
      <c r="Z279" s="119">
        <v>6090.59</v>
      </c>
      <c r="AA279" s="96">
        <v>139.05600000000001</v>
      </c>
      <c r="AB279" s="94">
        <v>102.114</v>
      </c>
      <c r="AC279" s="94">
        <v>20.2</v>
      </c>
      <c r="AD279" s="96">
        <v>53.107999999999997</v>
      </c>
    </row>
    <row r="280" spans="1:30">
      <c r="A280" s="109">
        <v>26</v>
      </c>
      <c r="B280" s="110" t="s">
        <v>3</v>
      </c>
      <c r="C280" s="110" t="s">
        <v>2</v>
      </c>
      <c r="D280" s="111">
        <v>2013</v>
      </c>
      <c r="E280" s="109">
        <v>22.5</v>
      </c>
      <c r="F280" s="93">
        <v>0.21731600000000001</v>
      </c>
      <c r="G280" s="93">
        <v>100000000</v>
      </c>
      <c r="H280" s="94">
        <v>19704.2</v>
      </c>
      <c r="I280" s="96">
        <v>0.44</v>
      </c>
      <c r="J280" s="109">
        <v>16.143999000000001</v>
      </c>
      <c r="K280" s="112">
        <v>1.4702</v>
      </c>
      <c r="L280" s="109">
        <v>381</v>
      </c>
      <c r="M280" s="93">
        <v>34.799999</v>
      </c>
      <c r="N280" s="114">
        <v>51</v>
      </c>
      <c r="O280" s="112">
        <v>9.3000000000000007</v>
      </c>
      <c r="P280" s="115">
        <v>1132.8</v>
      </c>
      <c r="Q280" s="116">
        <v>537</v>
      </c>
      <c r="R280" s="102">
        <v>14541</v>
      </c>
      <c r="S280" s="230">
        <v>0.97</v>
      </c>
      <c r="T280" s="115">
        <v>94</v>
      </c>
      <c r="U280" s="109">
        <v>6211.5063</v>
      </c>
      <c r="V280" s="118">
        <v>44.3</v>
      </c>
      <c r="W280" s="119">
        <v>16.143999999999998</v>
      </c>
      <c r="X280" s="121">
        <v>381</v>
      </c>
      <c r="Y280" s="108">
        <v>34.799999999999997</v>
      </c>
      <c r="Z280" s="119">
        <v>6211.51</v>
      </c>
      <c r="AA280" s="96">
        <v>140.79</v>
      </c>
      <c r="AB280" s="94">
        <v>102.282</v>
      </c>
      <c r="AC280" s="94">
        <v>22.5</v>
      </c>
      <c r="AD280" s="96">
        <v>53.332000000000001</v>
      </c>
    </row>
    <row r="281" spans="1:30">
      <c r="A281" s="109">
        <v>26</v>
      </c>
      <c r="B281" s="110" t="s">
        <v>3</v>
      </c>
      <c r="C281" s="110" t="s">
        <v>2</v>
      </c>
      <c r="D281" s="111">
        <v>2014</v>
      </c>
      <c r="E281" s="109">
        <v>22.1</v>
      </c>
      <c r="F281" s="93">
        <v>2.0587499999999999</v>
      </c>
      <c r="G281" s="93">
        <v>1000000000</v>
      </c>
      <c r="H281" s="94">
        <v>20228.7</v>
      </c>
      <c r="I281" s="96">
        <v>0.39</v>
      </c>
      <c r="J281" s="109">
        <v>17.207999999999998</v>
      </c>
      <c r="K281" s="112">
        <v>1.4047000000000001</v>
      </c>
      <c r="L281" s="109">
        <v>313</v>
      </c>
      <c r="M281" s="93">
        <v>36</v>
      </c>
      <c r="N281" s="114">
        <v>81.599999999999994</v>
      </c>
      <c r="O281" s="112">
        <v>8.5</v>
      </c>
      <c r="P281" s="115">
        <v>1111.0999999999999</v>
      </c>
      <c r="Q281" s="116">
        <v>589</v>
      </c>
      <c r="R281" s="102">
        <v>14718</v>
      </c>
      <c r="S281" s="230">
        <v>1.0900000000000001</v>
      </c>
      <c r="T281" s="115">
        <v>95</v>
      </c>
      <c r="U281" s="109">
        <v>6468.9022999999997</v>
      </c>
      <c r="V281" s="118">
        <v>42.2</v>
      </c>
      <c r="W281" s="119">
        <v>17.207999999999998</v>
      </c>
      <c r="X281" s="121">
        <v>313</v>
      </c>
      <c r="Y281" s="108">
        <v>36</v>
      </c>
      <c r="Z281" s="119">
        <v>6468.9</v>
      </c>
      <c r="AA281" s="96">
        <v>141.15100000000001</v>
      </c>
      <c r="AB281" s="94">
        <v>102.38200000000001</v>
      </c>
      <c r="AC281" s="94">
        <v>22.9</v>
      </c>
      <c r="AD281" s="96">
        <v>53.557000000000002</v>
      </c>
    </row>
    <row r="282" spans="1:30">
      <c r="A282" s="109">
        <v>26</v>
      </c>
      <c r="B282" s="110" t="s">
        <v>3</v>
      </c>
      <c r="C282" s="110" t="s">
        <v>2</v>
      </c>
      <c r="D282" s="111">
        <v>2015</v>
      </c>
      <c r="E282" s="109">
        <v>23</v>
      </c>
      <c r="F282" s="93">
        <v>4.0509700000000004</v>
      </c>
      <c r="G282" s="93">
        <v>1700000000</v>
      </c>
      <c r="H282" s="94">
        <v>20697.3</v>
      </c>
      <c r="I282" s="96">
        <v>0.36</v>
      </c>
      <c r="J282" s="109">
        <v>15.97</v>
      </c>
      <c r="K282" s="112">
        <v>1.4151</v>
      </c>
      <c r="L282" s="109">
        <v>259</v>
      </c>
      <c r="M282" s="93">
        <v>54.099997999999999</v>
      </c>
      <c r="N282" s="114">
        <v>86.2</v>
      </c>
      <c r="O282" s="112">
        <v>8.6999999999999993</v>
      </c>
      <c r="P282" s="115">
        <v>1143.0999999999999</v>
      </c>
      <c r="Q282" s="116">
        <v>614</v>
      </c>
      <c r="R282" s="102">
        <v>15231</v>
      </c>
      <c r="S282" s="230">
        <v>0</v>
      </c>
      <c r="T282" s="115">
        <v>101</v>
      </c>
      <c r="U282" s="109">
        <v>6531.7217000000001</v>
      </c>
      <c r="V282" s="118">
        <v>44.2</v>
      </c>
      <c r="W282" s="119">
        <v>15.97</v>
      </c>
      <c r="X282" s="121">
        <v>259</v>
      </c>
      <c r="Y282" s="108">
        <v>54.1</v>
      </c>
      <c r="Z282" s="119">
        <v>6531.72</v>
      </c>
      <c r="AA282" s="96">
        <v>144.56700000000001</v>
      </c>
      <c r="AB282" s="94">
        <v>102.446</v>
      </c>
      <c r="AC282" s="94">
        <v>21.4</v>
      </c>
      <c r="AD282" s="96">
        <v>53.780999999999999</v>
      </c>
    </row>
    <row r="283" spans="1:30">
      <c r="A283" s="109">
        <v>26</v>
      </c>
      <c r="B283" s="110" t="s">
        <v>3</v>
      </c>
      <c r="C283" s="110" t="s">
        <v>2</v>
      </c>
      <c r="D283" s="111">
        <v>2016</v>
      </c>
      <c r="E283" s="109">
        <v>22.1</v>
      </c>
      <c r="F283" s="93">
        <v>3.2654100000000001</v>
      </c>
      <c r="G283" s="93">
        <v>1400000000</v>
      </c>
      <c r="H283" s="94">
        <v>21309.7</v>
      </c>
      <c r="I283" s="96">
        <v>0.36</v>
      </c>
      <c r="J283" s="109">
        <v>15.036</v>
      </c>
      <c r="K283" s="112">
        <v>1.5128999999999999</v>
      </c>
      <c r="L283" s="109">
        <v>251</v>
      </c>
      <c r="M283" s="93">
        <v>55.5</v>
      </c>
      <c r="N283" s="114">
        <v>75.8</v>
      </c>
      <c r="O283" s="112">
        <v>8.6999999999999993</v>
      </c>
      <c r="P283" s="115">
        <v>1281.2</v>
      </c>
      <c r="Q283" s="116">
        <v>649</v>
      </c>
      <c r="R283" s="102">
        <v>15361</v>
      </c>
      <c r="S283" s="230">
        <v>0</v>
      </c>
      <c r="T283" s="115">
        <v>105</v>
      </c>
      <c r="U283" s="109">
        <v>6613.2407000000003</v>
      </c>
      <c r="V283" s="118">
        <v>47.2</v>
      </c>
      <c r="W283" s="119">
        <v>15.036</v>
      </c>
      <c r="X283" s="121">
        <v>251</v>
      </c>
      <c r="Y283" s="108">
        <v>55.5</v>
      </c>
      <c r="Z283" s="119">
        <v>6613.24</v>
      </c>
      <c r="AA283" s="96">
        <v>143.267</v>
      </c>
      <c r="AB283" s="94">
        <v>102.524</v>
      </c>
      <c r="AC283" s="94">
        <v>21</v>
      </c>
      <c r="AD283" s="96">
        <v>54.02</v>
      </c>
    </row>
    <row r="284" spans="1:30">
      <c r="A284" s="109">
        <v>26</v>
      </c>
      <c r="B284" s="110" t="s">
        <v>3</v>
      </c>
      <c r="C284" s="110" t="s">
        <v>2</v>
      </c>
      <c r="D284" s="111">
        <v>2017</v>
      </c>
      <c r="E284" s="109">
        <v>23</v>
      </c>
      <c r="F284" s="93">
        <v>2.48421</v>
      </c>
      <c r="G284" s="93">
        <v>1200000000</v>
      </c>
      <c r="H284" s="94">
        <v>22397.8</v>
      </c>
      <c r="I284" s="96">
        <v>0.36</v>
      </c>
      <c r="J284" s="109">
        <v>16.290001</v>
      </c>
      <c r="K284" s="112">
        <v>1.5517000000000001</v>
      </c>
      <c r="L284" s="109">
        <v>254</v>
      </c>
      <c r="M284" s="93">
        <v>57.799999</v>
      </c>
      <c r="N284" s="114">
        <v>86.9</v>
      </c>
      <c r="O284" s="112">
        <v>9.8000000000000007</v>
      </c>
      <c r="P284" s="115">
        <v>1023.8</v>
      </c>
      <c r="Q284" s="116">
        <v>702</v>
      </c>
      <c r="R284" s="102">
        <v>15837</v>
      </c>
      <c r="S284" s="230">
        <v>0.48</v>
      </c>
      <c r="T284" s="115">
        <v>106</v>
      </c>
      <c r="U284" s="109">
        <v>6495.1298999999999</v>
      </c>
      <c r="V284" s="118">
        <v>47.4</v>
      </c>
      <c r="W284" s="119">
        <v>16.29</v>
      </c>
      <c r="X284" s="121">
        <v>254</v>
      </c>
      <c r="Y284" s="108">
        <v>57.8</v>
      </c>
      <c r="Z284" s="119">
        <v>6495.13</v>
      </c>
      <c r="AA284" s="96">
        <v>154.75800000000001</v>
      </c>
      <c r="AB284" s="94">
        <v>102.611</v>
      </c>
      <c r="AC284" s="94">
        <v>19.7</v>
      </c>
      <c r="AD284" s="96">
        <v>54.273000000000003</v>
      </c>
    </row>
    <row r="285" spans="1:30">
      <c r="A285" s="109">
        <v>26</v>
      </c>
      <c r="B285" s="110" t="s">
        <v>3</v>
      </c>
      <c r="C285" s="110" t="s">
        <v>2</v>
      </c>
      <c r="D285" s="111">
        <v>2018</v>
      </c>
      <c r="E285" s="109">
        <v>23.3</v>
      </c>
      <c r="F285" s="93">
        <v>2.8649</v>
      </c>
      <c r="G285" s="93">
        <v>1500000000</v>
      </c>
      <c r="H285" s="94">
        <v>23294</v>
      </c>
      <c r="I285" s="96">
        <v>0.35</v>
      </c>
      <c r="J285" s="109">
        <v>17.929001</v>
      </c>
      <c r="K285" s="112">
        <v>1.4702</v>
      </c>
      <c r="L285" s="109">
        <v>249</v>
      </c>
      <c r="M285" s="93">
        <v>58.900002000000001</v>
      </c>
      <c r="N285" s="114">
        <v>84.6</v>
      </c>
      <c r="O285" s="112">
        <v>10.1</v>
      </c>
      <c r="P285" s="115">
        <v>1509.1</v>
      </c>
      <c r="Q285" s="116">
        <v>756</v>
      </c>
      <c r="R285" s="102">
        <v>16974</v>
      </c>
      <c r="S285" s="230">
        <v>0</v>
      </c>
      <c r="T285" s="115">
        <v>103</v>
      </c>
      <c r="U285" s="109">
        <v>6203.0478999999996</v>
      </c>
      <c r="V285" s="118">
        <v>46.8</v>
      </c>
      <c r="W285" s="119">
        <v>17.928999999999998</v>
      </c>
      <c r="X285" s="121">
        <v>249</v>
      </c>
      <c r="Y285" s="108">
        <v>58.9</v>
      </c>
      <c r="Z285" s="119">
        <v>6203.05</v>
      </c>
      <c r="AA285" s="96">
        <v>161.05099999999999</v>
      </c>
      <c r="AB285" s="94">
        <v>102.992</v>
      </c>
      <c r="AC285" s="94">
        <v>20.6</v>
      </c>
      <c r="AD285" s="96">
        <v>54.540999999999997</v>
      </c>
    </row>
    <row r="286" spans="1:30">
      <c r="A286" s="109">
        <v>26</v>
      </c>
      <c r="B286" s="110" t="s">
        <v>3</v>
      </c>
      <c r="C286" s="110" t="s">
        <v>2</v>
      </c>
      <c r="D286" s="111">
        <v>2019</v>
      </c>
      <c r="E286" s="109">
        <v>23.9</v>
      </c>
      <c r="F286" s="93">
        <v>3.99099</v>
      </c>
      <c r="G286" s="93">
        <v>2200000000</v>
      </c>
      <c r="H286" s="94">
        <v>23943.200000000001</v>
      </c>
      <c r="I286" s="96">
        <v>0.38</v>
      </c>
      <c r="J286" s="109">
        <v>16.469000000000001</v>
      </c>
      <c r="K286" s="112">
        <v>1.6073999999999999</v>
      </c>
      <c r="L286" s="109">
        <v>247</v>
      </c>
      <c r="M286" s="93">
        <v>59.200001</v>
      </c>
      <c r="N286" s="114">
        <v>87.8</v>
      </c>
      <c r="O286" s="112">
        <v>10.199999999999999</v>
      </c>
      <c r="P286" s="115">
        <v>1400.2</v>
      </c>
      <c r="Q286" s="116">
        <v>878</v>
      </c>
      <c r="R286" s="102">
        <v>20938</v>
      </c>
      <c r="S286" s="230">
        <v>0.48</v>
      </c>
      <c r="T286" s="115">
        <v>101</v>
      </c>
      <c r="U286" s="109">
        <v>7819.8681999999999</v>
      </c>
      <c r="V286" s="118">
        <v>48</v>
      </c>
      <c r="W286" s="119">
        <v>16.469000000000001</v>
      </c>
      <c r="X286" s="121">
        <v>247</v>
      </c>
      <c r="Y286" s="108">
        <v>59.2</v>
      </c>
      <c r="Z286" s="119">
        <v>7819.87</v>
      </c>
      <c r="AA286" s="96">
        <v>164.99700000000001</v>
      </c>
      <c r="AB286" s="94">
        <v>103.712</v>
      </c>
      <c r="AC286" s="94">
        <v>20.9</v>
      </c>
      <c r="AD286" s="96">
        <v>54.822000000000003</v>
      </c>
    </row>
    <row r="287" spans="1:30">
      <c r="A287" s="109">
        <v>26</v>
      </c>
      <c r="B287" s="110" t="s">
        <v>3</v>
      </c>
      <c r="C287" s="110" t="s">
        <v>2</v>
      </c>
      <c r="D287" s="111">
        <v>2020</v>
      </c>
      <c r="E287" s="109">
        <v>24.5</v>
      </c>
      <c r="F287" s="93">
        <v>0.94834099999999999</v>
      </c>
      <c r="G287" s="93">
        <v>510000000</v>
      </c>
      <c r="H287" s="94">
        <v>22811.8</v>
      </c>
      <c r="I287" s="96">
        <v>0.34</v>
      </c>
      <c r="J287" s="109">
        <v>16.726998999999999</v>
      </c>
      <c r="K287" s="112">
        <v>1.5808</v>
      </c>
      <c r="L287" s="109">
        <v>261</v>
      </c>
      <c r="M287" s="93">
        <v>59.299999</v>
      </c>
      <c r="N287" s="114">
        <v>85.6</v>
      </c>
      <c r="O287" s="112">
        <v>9.9</v>
      </c>
      <c r="P287" s="115">
        <v>1476.2</v>
      </c>
      <c r="Q287" s="116">
        <v>757</v>
      </c>
      <c r="R287" s="102">
        <v>15918</v>
      </c>
      <c r="S287" s="230">
        <v>0.48</v>
      </c>
      <c r="T287" s="115">
        <v>99</v>
      </c>
      <c r="U287" s="109">
        <v>8130.0790999999999</v>
      </c>
      <c r="V287" s="118">
        <v>46.2</v>
      </c>
      <c r="W287" s="119">
        <v>16.727</v>
      </c>
      <c r="X287" s="121">
        <v>261</v>
      </c>
      <c r="Y287" s="108">
        <v>59.3</v>
      </c>
      <c r="Z287" s="119">
        <v>8130.08</v>
      </c>
      <c r="AA287" s="96">
        <v>163.07499999999999</v>
      </c>
      <c r="AB287" s="94">
        <v>104.40900000000001</v>
      </c>
      <c r="AC287" s="94">
        <v>22.7</v>
      </c>
      <c r="AD287" s="96">
        <v>55.118000000000002</v>
      </c>
    </row>
    <row r="288" spans="1:30">
      <c r="A288" s="109">
        <v>27</v>
      </c>
      <c r="B288" s="110" t="s">
        <v>1</v>
      </c>
      <c r="C288" s="110" t="s">
        <v>0</v>
      </c>
      <c r="D288" s="111">
        <v>2010</v>
      </c>
      <c r="E288" s="109">
        <v>19.5</v>
      </c>
      <c r="F288" s="93">
        <v>2.3222299999999998</v>
      </c>
      <c r="G288" s="93">
        <v>2100000000</v>
      </c>
      <c r="H288" s="94">
        <v>14596.1</v>
      </c>
      <c r="I288" s="96">
        <v>0.28000000000000003</v>
      </c>
      <c r="J288" s="109">
        <v>14.327</v>
      </c>
      <c r="K288" s="112">
        <v>0.98750000000000004</v>
      </c>
      <c r="L288" s="109">
        <v>461</v>
      </c>
      <c r="M288" s="93">
        <v>9.1000004000000008</v>
      </c>
      <c r="N288" s="114">
        <v>87.1</v>
      </c>
      <c r="O288" s="112">
        <v>5</v>
      </c>
      <c r="P288" s="115">
        <v>100.6</v>
      </c>
      <c r="Q288" s="116">
        <v>1073</v>
      </c>
      <c r="R288" s="102">
        <v>50834</v>
      </c>
      <c r="S288" s="230">
        <v>0</v>
      </c>
      <c r="T288" s="115">
        <v>100</v>
      </c>
      <c r="U288" s="109">
        <v>6462.2138999999997</v>
      </c>
      <c r="V288" s="118">
        <v>42.2</v>
      </c>
      <c r="W288" s="119">
        <v>14.327</v>
      </c>
      <c r="X288" s="121">
        <v>461</v>
      </c>
      <c r="Y288" s="108">
        <v>9.1</v>
      </c>
      <c r="Z288" s="119">
        <v>6462.21</v>
      </c>
      <c r="AA288" s="96">
        <v>145.50399999999999</v>
      </c>
      <c r="AB288" s="94">
        <v>112.10899999999999</v>
      </c>
      <c r="AC288" s="94">
        <v>10.3</v>
      </c>
      <c r="AD288" s="96">
        <v>54.685000000000002</v>
      </c>
    </row>
    <row r="289" spans="1:30">
      <c r="A289" s="109">
        <v>27</v>
      </c>
      <c r="B289" s="110" t="s">
        <v>1</v>
      </c>
      <c r="C289" s="110" t="s">
        <v>0</v>
      </c>
      <c r="D289" s="111">
        <v>2011</v>
      </c>
      <c r="E289" s="109">
        <v>20.5</v>
      </c>
      <c r="F289" s="93">
        <v>5.4476599999999999</v>
      </c>
      <c r="G289" s="93">
        <v>5400000000</v>
      </c>
      <c r="H289" s="94">
        <v>14950.9</v>
      </c>
      <c r="I289" s="96">
        <v>0.28000000000000003</v>
      </c>
      <c r="J289" s="109">
        <v>13.977</v>
      </c>
      <c r="K289" s="112">
        <v>1.0016</v>
      </c>
      <c r="L289" s="109">
        <v>479</v>
      </c>
      <c r="M289" s="93">
        <v>10.9</v>
      </c>
      <c r="N289" s="114">
        <v>86.6</v>
      </c>
      <c r="O289" s="112">
        <v>4.7</v>
      </c>
      <c r="P289" s="115">
        <v>932.4</v>
      </c>
      <c r="Q289" s="116">
        <v>1070</v>
      </c>
      <c r="R289" s="102">
        <v>49517</v>
      </c>
      <c r="S289" s="230">
        <v>0</v>
      </c>
      <c r="T289" s="115">
        <v>101</v>
      </c>
      <c r="U289" s="109">
        <v>6393.2007000000003</v>
      </c>
      <c r="V289" s="118">
        <v>41.8</v>
      </c>
      <c r="W289" s="119">
        <v>13.977</v>
      </c>
      <c r="X289" s="121">
        <v>479</v>
      </c>
      <c r="Y289" s="108">
        <v>10.9</v>
      </c>
      <c r="Z289" s="119">
        <v>6393.2</v>
      </c>
      <c r="AA289" s="96">
        <v>160.39599999999999</v>
      </c>
      <c r="AB289" s="94">
        <v>112.261</v>
      </c>
      <c r="AC289" s="94">
        <v>10.4</v>
      </c>
      <c r="AD289" s="96">
        <v>54.42</v>
      </c>
    </row>
    <row r="290" spans="1:30">
      <c r="A290" s="109">
        <v>27</v>
      </c>
      <c r="B290" s="110" t="s">
        <v>1</v>
      </c>
      <c r="C290" s="110" t="s">
        <v>0</v>
      </c>
      <c r="D290" s="111">
        <v>2012</v>
      </c>
      <c r="E290" s="109">
        <v>21.5</v>
      </c>
      <c r="F290" s="93">
        <v>1.87551</v>
      </c>
      <c r="G290" s="93">
        <v>1800000000</v>
      </c>
      <c r="H290" s="94">
        <v>15159.7</v>
      </c>
      <c r="I290" s="96">
        <v>0.28000000000000003</v>
      </c>
      <c r="J290" s="109">
        <v>11.624000000000001</v>
      </c>
      <c r="K290" s="112">
        <v>1.1495</v>
      </c>
      <c r="L290" s="109">
        <v>491</v>
      </c>
      <c r="M290" s="93">
        <v>13.4</v>
      </c>
      <c r="N290" s="114">
        <v>87.8</v>
      </c>
      <c r="O290" s="112">
        <v>4</v>
      </c>
      <c r="P290" s="115">
        <v>819.5</v>
      </c>
      <c r="Q290" s="116">
        <v>1121</v>
      </c>
      <c r="R290" s="102">
        <v>43835</v>
      </c>
      <c r="S290" s="230">
        <v>0.41</v>
      </c>
      <c r="T290" s="115">
        <v>97</v>
      </c>
      <c r="U290" s="109">
        <v>6034.7772999999997</v>
      </c>
      <c r="V290" s="118">
        <v>44.2</v>
      </c>
      <c r="W290" s="119">
        <v>11.624000000000001</v>
      </c>
      <c r="X290" s="121">
        <v>491</v>
      </c>
      <c r="Y290" s="108">
        <v>13.4</v>
      </c>
      <c r="Z290" s="119">
        <v>6034.78</v>
      </c>
      <c r="AA290" s="96">
        <v>166.97300000000001</v>
      </c>
      <c r="AB290" s="94">
        <v>112.452</v>
      </c>
      <c r="AC290" s="94">
        <v>10.5</v>
      </c>
      <c r="AD290" s="96">
        <v>54.28</v>
      </c>
    </row>
    <row r="291" spans="1:30">
      <c r="A291" s="109">
        <v>27</v>
      </c>
      <c r="B291" s="110" t="s">
        <v>1</v>
      </c>
      <c r="C291" s="110" t="s">
        <v>0</v>
      </c>
      <c r="D291" s="111">
        <v>2013</v>
      </c>
      <c r="E291" s="109">
        <v>21.5</v>
      </c>
      <c r="F291" s="93">
        <v>1.01267</v>
      </c>
      <c r="G291" s="93">
        <v>1000000000</v>
      </c>
      <c r="H291" s="94">
        <v>15249.9</v>
      </c>
      <c r="I291" s="96">
        <v>0.28999999999999998</v>
      </c>
      <c r="J291" s="109">
        <v>11.773</v>
      </c>
      <c r="K291" s="112">
        <v>1.2014</v>
      </c>
      <c r="L291" s="109">
        <v>488</v>
      </c>
      <c r="M291" s="93">
        <v>10.8</v>
      </c>
      <c r="N291" s="114">
        <v>85.1</v>
      </c>
      <c r="O291" s="112">
        <v>4.5</v>
      </c>
      <c r="P291" s="115">
        <v>473.4</v>
      </c>
      <c r="Q291" s="116">
        <v>1064</v>
      </c>
      <c r="R291" s="102">
        <v>43909</v>
      </c>
      <c r="S291" s="230">
        <v>0.18</v>
      </c>
      <c r="T291" s="115">
        <v>100</v>
      </c>
      <c r="U291" s="109">
        <v>6212.3353999999999</v>
      </c>
      <c r="V291" s="118">
        <v>45.8</v>
      </c>
      <c r="W291" s="119">
        <v>11.773</v>
      </c>
      <c r="X291" s="121">
        <v>488</v>
      </c>
      <c r="Y291" s="108">
        <v>10.8</v>
      </c>
      <c r="Z291" s="119">
        <v>6212.34</v>
      </c>
      <c r="AA291" s="96">
        <v>169.08</v>
      </c>
      <c r="AB291" s="94">
        <v>112.57299999999999</v>
      </c>
      <c r="AC291" s="94">
        <v>10.7</v>
      </c>
      <c r="AD291" s="96">
        <v>54.14</v>
      </c>
    </row>
    <row r="292" spans="1:30">
      <c r="A292" s="109">
        <v>27</v>
      </c>
      <c r="B292" s="110" t="s">
        <v>1</v>
      </c>
      <c r="C292" s="110" t="s">
        <v>0</v>
      </c>
      <c r="D292" s="111">
        <v>2014</v>
      </c>
      <c r="E292" s="109">
        <v>20.5</v>
      </c>
      <c r="F292" s="93">
        <v>-0.35680299999999998</v>
      </c>
      <c r="G292" s="93">
        <v>-360000000</v>
      </c>
      <c r="H292" s="94">
        <v>15647.6</v>
      </c>
      <c r="I292" s="96">
        <v>0.28999999999999998</v>
      </c>
      <c r="J292" s="109">
        <v>12.504</v>
      </c>
      <c r="K292" s="112">
        <v>1.1218999999999999</v>
      </c>
      <c r="L292" s="109">
        <v>485</v>
      </c>
      <c r="M292" s="93">
        <v>10.4</v>
      </c>
      <c r="N292" s="114">
        <v>90.7</v>
      </c>
      <c r="O292" s="112">
        <v>4.8</v>
      </c>
      <c r="P292" s="115">
        <v>361.6</v>
      </c>
      <c r="Q292" s="116">
        <v>762</v>
      </c>
      <c r="R292" s="102">
        <v>42938</v>
      </c>
      <c r="S292" s="230">
        <v>0.25</v>
      </c>
      <c r="T292" s="115">
        <v>101</v>
      </c>
      <c r="U292" s="109">
        <v>6309.8076000000001</v>
      </c>
      <c r="V292" s="118">
        <v>42</v>
      </c>
      <c r="W292" s="119">
        <v>12.504</v>
      </c>
      <c r="X292" s="121">
        <v>485</v>
      </c>
      <c r="Y292" s="108">
        <v>10.4</v>
      </c>
      <c r="Z292" s="119">
        <v>6309.81</v>
      </c>
      <c r="AA292" s="96">
        <v>164.95</v>
      </c>
      <c r="AB292" s="94">
        <v>112.70099999999999</v>
      </c>
      <c r="AC292" s="94">
        <v>12.2</v>
      </c>
      <c r="AD292" s="96">
        <v>54</v>
      </c>
    </row>
    <row r="293" spans="1:30">
      <c r="A293" s="109">
        <v>27</v>
      </c>
      <c r="B293" s="110" t="s">
        <v>1</v>
      </c>
      <c r="C293" s="110" t="s">
        <v>0</v>
      </c>
      <c r="D293" s="111">
        <v>2015</v>
      </c>
      <c r="E293" s="109">
        <v>21.6</v>
      </c>
      <c r="F293" s="93">
        <v>1.7048700000000001</v>
      </c>
      <c r="G293" s="93">
        <v>1500000000</v>
      </c>
      <c r="H293" s="94">
        <v>16442.099999999999</v>
      </c>
      <c r="I293" s="96">
        <v>0.28999999999999998</v>
      </c>
      <c r="J293" s="109">
        <v>13.084</v>
      </c>
      <c r="K293" s="112">
        <v>1.1835</v>
      </c>
      <c r="L293" s="109">
        <v>472</v>
      </c>
      <c r="M293" s="93">
        <v>14.9</v>
      </c>
      <c r="N293" s="114">
        <v>86.7</v>
      </c>
      <c r="O293" s="112">
        <v>5</v>
      </c>
      <c r="P293" s="115">
        <v>764.6</v>
      </c>
      <c r="Q293" s="116">
        <v>855</v>
      </c>
      <c r="R293" s="102">
        <v>44737</v>
      </c>
      <c r="S293" s="230">
        <v>0.78</v>
      </c>
      <c r="T293" s="115">
        <v>97</v>
      </c>
      <c r="U293" s="109">
        <v>6464.9062999999996</v>
      </c>
      <c r="V293" s="118">
        <v>42.4</v>
      </c>
      <c r="W293" s="119">
        <v>13.084</v>
      </c>
      <c r="X293" s="121">
        <v>472</v>
      </c>
      <c r="Y293" s="108">
        <v>14.9</v>
      </c>
      <c r="Z293" s="119">
        <v>6464.91</v>
      </c>
      <c r="AA293" s="96">
        <v>165.94</v>
      </c>
      <c r="AB293" s="94">
        <v>112.803</v>
      </c>
      <c r="AC293" s="94">
        <v>13.4</v>
      </c>
      <c r="AD293" s="96">
        <v>53.889000000000003</v>
      </c>
    </row>
    <row r="294" spans="1:30">
      <c r="A294" s="109">
        <v>27</v>
      </c>
      <c r="B294" s="110" t="s">
        <v>1</v>
      </c>
      <c r="C294" s="110" t="s">
        <v>0</v>
      </c>
      <c r="D294" s="111">
        <v>2016</v>
      </c>
      <c r="E294" s="109">
        <v>20.6</v>
      </c>
      <c r="F294" s="93">
        <v>5.2777099999999999</v>
      </c>
      <c r="G294" s="93">
        <v>4800000000</v>
      </c>
      <c r="H294" s="94">
        <v>16740.7</v>
      </c>
      <c r="I294" s="96">
        <v>0.28999999999999998</v>
      </c>
      <c r="J294" s="109">
        <v>13.548</v>
      </c>
      <c r="K294" s="112">
        <v>1.2133</v>
      </c>
      <c r="L294" s="109">
        <v>441</v>
      </c>
      <c r="M294" s="93">
        <v>23</v>
      </c>
      <c r="N294" s="114">
        <v>89.4</v>
      </c>
      <c r="O294" s="112">
        <v>5.2</v>
      </c>
      <c r="P294" s="115">
        <v>1020.4</v>
      </c>
      <c r="Q294" s="116">
        <v>922</v>
      </c>
      <c r="R294" s="102">
        <v>45547</v>
      </c>
      <c r="S294" s="230">
        <v>0</v>
      </c>
      <c r="T294" s="115">
        <v>107</v>
      </c>
      <c r="U294" s="109">
        <v>6496.6972999999998</v>
      </c>
      <c r="V294" s="118">
        <v>42.5</v>
      </c>
      <c r="W294" s="119">
        <v>13.548</v>
      </c>
      <c r="X294" s="121">
        <v>441</v>
      </c>
      <c r="Y294" s="108">
        <v>23</v>
      </c>
      <c r="Z294" s="119">
        <v>6496.7</v>
      </c>
      <c r="AA294" s="96">
        <v>167.952</v>
      </c>
      <c r="AB294" s="94">
        <v>112.953</v>
      </c>
      <c r="AC294" s="94">
        <v>13.1</v>
      </c>
      <c r="AD294" s="96">
        <v>53.805999999999997</v>
      </c>
    </row>
    <row r="295" spans="1:30">
      <c r="A295" s="109">
        <v>27</v>
      </c>
      <c r="B295" s="110" t="s">
        <v>1</v>
      </c>
      <c r="C295" s="110" t="s">
        <v>0</v>
      </c>
      <c r="D295" s="111">
        <v>2017</v>
      </c>
      <c r="E295" s="109">
        <v>21.5</v>
      </c>
      <c r="F295" s="93">
        <v>4.3998600000000003</v>
      </c>
      <c r="G295" s="93">
        <v>4200000000</v>
      </c>
      <c r="H295" s="94">
        <v>17195.3</v>
      </c>
      <c r="I295" s="96">
        <v>0.28999999999999998</v>
      </c>
      <c r="J295" s="109">
        <v>13.75</v>
      </c>
      <c r="K295" s="112">
        <v>1.2091000000000001</v>
      </c>
      <c r="L295" s="109">
        <v>453</v>
      </c>
      <c r="M295" s="93">
        <v>29.799999</v>
      </c>
      <c r="N295" s="114">
        <v>88.6</v>
      </c>
      <c r="O295" s="112">
        <v>4.9000000000000004</v>
      </c>
      <c r="P295" s="115">
        <v>1425.9</v>
      </c>
      <c r="Q295" s="116">
        <v>1011</v>
      </c>
      <c r="R295" s="102">
        <v>47036</v>
      </c>
      <c r="S295" s="230">
        <v>0.42</v>
      </c>
      <c r="T295" s="115">
        <v>112</v>
      </c>
      <c r="U295" s="109">
        <v>6105.1812</v>
      </c>
      <c r="V295" s="118">
        <v>42.9</v>
      </c>
      <c r="W295" s="119">
        <v>13.75</v>
      </c>
      <c r="X295" s="121">
        <v>453</v>
      </c>
      <c r="Y295" s="108">
        <v>29.8</v>
      </c>
      <c r="Z295" s="119">
        <v>6105.18</v>
      </c>
      <c r="AA295" s="96">
        <v>171.946</v>
      </c>
      <c r="AB295" s="94">
        <v>113.129</v>
      </c>
      <c r="AC295" s="94">
        <v>12.4</v>
      </c>
      <c r="AD295" s="96">
        <v>53.750999999999998</v>
      </c>
    </row>
    <row r="296" spans="1:30">
      <c r="A296" s="109">
        <v>27</v>
      </c>
      <c r="B296" s="110" t="s">
        <v>1</v>
      </c>
      <c r="C296" s="110" t="s">
        <v>0</v>
      </c>
      <c r="D296" s="111">
        <v>2018</v>
      </c>
      <c r="E296" s="109">
        <v>21.8</v>
      </c>
      <c r="F296" s="93">
        <v>2.1126999999999998</v>
      </c>
      <c r="G296" s="93">
        <v>2300000000</v>
      </c>
      <c r="H296" s="94">
        <v>17869</v>
      </c>
      <c r="I296" s="96">
        <v>0.28999999999999998</v>
      </c>
      <c r="J296" s="109">
        <v>14.824999999999999</v>
      </c>
      <c r="K296" s="112">
        <v>1.1894</v>
      </c>
      <c r="L296" s="109">
        <v>454</v>
      </c>
      <c r="M296" s="93">
        <v>36.299999</v>
      </c>
      <c r="N296" s="114">
        <v>88.9</v>
      </c>
      <c r="O296" s="112">
        <v>4.7</v>
      </c>
      <c r="P296" s="115">
        <v>1422.9</v>
      </c>
      <c r="Q296" s="116">
        <v>1165</v>
      </c>
      <c r="R296" s="102">
        <v>49438</v>
      </c>
      <c r="S296" s="230">
        <v>0.28000000000000003</v>
      </c>
      <c r="T296" s="115">
        <v>114</v>
      </c>
      <c r="U296" s="109">
        <v>5581.2358000000004</v>
      </c>
      <c r="V296" s="118">
        <v>43</v>
      </c>
      <c r="W296" s="119">
        <v>14.824999999999999</v>
      </c>
      <c r="X296" s="121">
        <v>454</v>
      </c>
      <c r="Y296" s="108">
        <v>36.299999999999997</v>
      </c>
      <c r="Z296" s="119">
        <v>5581.24</v>
      </c>
      <c r="AA296" s="96">
        <v>174.77199999999999</v>
      </c>
      <c r="AB296" s="94">
        <v>113.286</v>
      </c>
      <c r="AC296" s="94">
        <v>12.4</v>
      </c>
      <c r="AD296" s="96">
        <v>53.725999999999999</v>
      </c>
    </row>
    <row r="297" spans="1:30">
      <c r="A297" s="109">
        <v>27</v>
      </c>
      <c r="B297" s="110" t="s">
        <v>1</v>
      </c>
      <c r="C297" s="110" t="s">
        <v>0</v>
      </c>
      <c r="D297" s="111">
        <v>2019</v>
      </c>
      <c r="E297" s="109">
        <v>22.5</v>
      </c>
      <c r="F297" s="93">
        <v>2.15395</v>
      </c>
      <c r="G297" s="93">
        <v>2300000000</v>
      </c>
      <c r="H297" s="94">
        <v>18251</v>
      </c>
      <c r="I297" s="96">
        <v>0.28999999999999998</v>
      </c>
      <c r="J297" s="109">
        <v>13.602</v>
      </c>
      <c r="K297" s="112">
        <v>1.3387</v>
      </c>
      <c r="L297" s="109">
        <v>455</v>
      </c>
      <c r="M297" s="93">
        <v>38.5</v>
      </c>
      <c r="N297" s="114">
        <v>91.2</v>
      </c>
      <c r="O297" s="112">
        <v>8.3000000000000007</v>
      </c>
      <c r="P297" s="115">
        <v>1560.6</v>
      </c>
      <c r="Q297" s="116">
        <v>1200</v>
      </c>
      <c r="R297" s="102">
        <v>48995</v>
      </c>
      <c r="S297" s="230">
        <v>0.67</v>
      </c>
      <c r="T297" s="115">
        <v>115</v>
      </c>
      <c r="U297" s="109">
        <v>5057.2905000000001</v>
      </c>
      <c r="V297" s="118">
        <v>44</v>
      </c>
      <c r="W297" s="119">
        <v>13.602</v>
      </c>
      <c r="X297" s="121">
        <v>455</v>
      </c>
      <c r="Y297" s="108">
        <v>38.5</v>
      </c>
      <c r="Z297" s="119">
        <v>0</v>
      </c>
      <c r="AA297" s="96">
        <v>169.59899999999999</v>
      </c>
      <c r="AB297" s="94">
        <v>113.43899999999999</v>
      </c>
      <c r="AC297" s="94">
        <v>17.600000000000001</v>
      </c>
      <c r="AD297" s="96">
        <v>53.728999999999999</v>
      </c>
    </row>
    <row r="298" spans="1:30">
      <c r="A298" s="122">
        <v>27</v>
      </c>
      <c r="B298" s="123" t="s">
        <v>1</v>
      </c>
      <c r="C298" s="123" t="s">
        <v>0</v>
      </c>
      <c r="D298" s="124">
        <v>2020</v>
      </c>
      <c r="E298" s="122">
        <v>23</v>
      </c>
      <c r="F298" s="93">
        <v>-1.05976</v>
      </c>
      <c r="G298" s="93">
        <v>-1100000000</v>
      </c>
      <c r="H298" s="125">
        <v>17763.900000000001</v>
      </c>
      <c r="I298" s="127">
        <v>0.28999999999999998</v>
      </c>
      <c r="J298" s="122">
        <v>12.706</v>
      </c>
      <c r="K298" s="128">
        <v>1.3376999999999999</v>
      </c>
      <c r="L298" s="122">
        <v>443</v>
      </c>
      <c r="M298" s="93">
        <v>45.299999</v>
      </c>
      <c r="N298" s="130">
        <v>92.6</v>
      </c>
      <c r="O298" s="128">
        <v>10.3</v>
      </c>
      <c r="P298" s="131">
        <v>1296.5</v>
      </c>
      <c r="Q298" s="133">
        <v>1125</v>
      </c>
      <c r="R298" s="102">
        <v>51486</v>
      </c>
      <c r="S298" s="231">
        <v>0</v>
      </c>
      <c r="T298" s="131">
        <v>120</v>
      </c>
      <c r="U298" s="122">
        <v>4533.3451999999997</v>
      </c>
      <c r="V298" s="135">
        <v>42.7</v>
      </c>
      <c r="W298" s="136">
        <v>12.706</v>
      </c>
      <c r="X298" s="138">
        <v>443</v>
      </c>
      <c r="Y298" s="108">
        <v>45.3</v>
      </c>
      <c r="Z298" s="136">
        <v>0</v>
      </c>
      <c r="AA298" s="127">
        <v>158.75700000000001</v>
      </c>
      <c r="AB298" s="125">
        <v>113.536</v>
      </c>
      <c r="AC298" s="125">
        <v>17.600000000000001</v>
      </c>
      <c r="AD298" s="96">
        <v>53.76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0031-5FA1-634A-9E0B-D481FF60BADD}">
  <dimension ref="A1:AT298"/>
  <sheetViews>
    <sheetView workbookViewId="0">
      <selection activeCell="AC9" sqref="AC9"/>
    </sheetView>
  </sheetViews>
  <sheetFormatPr baseColWidth="10" defaultRowHeight="15"/>
  <cols>
    <col min="27" max="27" width="10.83203125" style="237"/>
  </cols>
  <sheetData>
    <row r="1" spans="1:46" ht="16">
      <c r="A1" s="59" t="s">
        <v>90</v>
      </c>
      <c r="B1" s="60" t="s">
        <v>89</v>
      </c>
      <c r="C1" s="60" t="s">
        <v>88</v>
      </c>
      <c r="D1" s="61" t="s">
        <v>87</v>
      </c>
      <c r="E1" s="62" t="s">
        <v>86</v>
      </c>
      <c r="F1" s="63" t="s">
        <v>85</v>
      </c>
      <c r="G1" s="64" t="s">
        <v>84</v>
      </c>
      <c r="H1" s="64" t="s">
        <v>83</v>
      </c>
      <c r="I1" s="65" t="s">
        <v>82</v>
      </c>
      <c r="J1" s="66" t="s">
        <v>81</v>
      </c>
      <c r="K1" s="67" t="s">
        <v>80</v>
      </c>
      <c r="L1" s="68" t="s">
        <v>64</v>
      </c>
      <c r="M1" s="69" t="s">
        <v>63</v>
      </c>
      <c r="N1" s="70" t="s">
        <v>79</v>
      </c>
      <c r="O1" s="71" t="s">
        <v>78</v>
      </c>
      <c r="P1" s="68" t="s">
        <v>62</v>
      </c>
      <c r="Q1" s="69" t="s">
        <v>61</v>
      </c>
      <c r="R1" s="72" t="s">
        <v>60</v>
      </c>
      <c r="S1" s="73" t="s">
        <v>77</v>
      </c>
      <c r="T1" s="74" t="s">
        <v>76</v>
      </c>
      <c r="U1" s="74" t="s">
        <v>75</v>
      </c>
      <c r="V1" s="74" t="s">
        <v>74</v>
      </c>
      <c r="W1" s="75" t="s">
        <v>73</v>
      </c>
      <c r="X1" s="76" t="s">
        <v>72</v>
      </c>
      <c r="Y1" s="77" t="s">
        <v>71</v>
      </c>
      <c r="Z1" s="78" t="s">
        <v>70</v>
      </c>
      <c r="AA1" s="233" t="s">
        <v>69</v>
      </c>
      <c r="AB1" s="78" t="s">
        <v>68</v>
      </c>
      <c r="AC1" s="79" t="s">
        <v>67</v>
      </c>
      <c r="AD1" s="80" t="s">
        <v>66</v>
      </c>
      <c r="AE1" s="81" t="s">
        <v>59</v>
      </c>
      <c r="AF1" s="82" t="s">
        <v>58</v>
      </c>
      <c r="AG1" s="83" t="s">
        <v>65</v>
      </c>
      <c r="AH1" s="68" t="s">
        <v>64</v>
      </c>
      <c r="AI1" s="69" t="s">
        <v>63</v>
      </c>
      <c r="AJ1" s="73" t="s">
        <v>62</v>
      </c>
      <c r="AK1" s="73" t="s">
        <v>61</v>
      </c>
      <c r="AL1" s="72" t="s">
        <v>60</v>
      </c>
      <c r="AM1" s="81" t="s">
        <v>59</v>
      </c>
      <c r="AN1" s="82" t="s">
        <v>58</v>
      </c>
      <c r="AO1" s="84" t="s">
        <v>14</v>
      </c>
      <c r="AP1" s="85" t="s">
        <v>57</v>
      </c>
      <c r="AQ1" s="86" t="s">
        <v>56</v>
      </c>
      <c r="AR1" s="87" t="s">
        <v>55</v>
      </c>
      <c r="AS1" s="88" t="s">
        <v>54</v>
      </c>
      <c r="AT1" s="89" t="s">
        <v>53</v>
      </c>
    </row>
    <row r="2" spans="1:46">
      <c r="A2" s="90">
        <v>1</v>
      </c>
      <c r="B2" s="91" t="s">
        <v>52</v>
      </c>
      <c r="C2" s="91" t="s">
        <v>51</v>
      </c>
      <c r="D2" s="92">
        <v>2010</v>
      </c>
      <c r="E2" s="90">
        <v>29.5</v>
      </c>
      <c r="F2" s="92">
        <f t="shared" ref="F2:F65" si="0">LN(E2)</f>
        <v>3.3843902633457743</v>
      </c>
      <c r="G2" s="93">
        <v>-5.6454000000000004</v>
      </c>
      <c r="H2" s="93">
        <v>-22000000000</v>
      </c>
      <c r="I2" s="94">
        <v>43035.4</v>
      </c>
      <c r="J2" s="95">
        <v>10.6698</v>
      </c>
      <c r="K2" s="96">
        <v>0.66</v>
      </c>
      <c r="L2" s="90">
        <v>24.445999</v>
      </c>
      <c r="M2" s="92">
        <f t="shared" ref="M2:M65" si="1">LN(L2)</f>
        <v>3.1964665624485824</v>
      </c>
      <c r="N2" s="97">
        <v>2.0954000000000002</v>
      </c>
      <c r="O2" s="98">
        <f t="shared" ref="O2:O65" si="2">LN(N2)</f>
        <v>0.7397444659367276</v>
      </c>
      <c r="P2" s="90">
        <v>562</v>
      </c>
      <c r="Q2" s="92">
        <f t="shared" ref="Q2:Q65" si="3">LN(P2)</f>
        <v>6.3315018498936908</v>
      </c>
      <c r="R2" s="93">
        <v>59.400002000000001</v>
      </c>
      <c r="S2" s="99">
        <v>79.900000000000006</v>
      </c>
      <c r="T2" s="98">
        <f t="shared" ref="T2:T65" si="4">LN(S2)</f>
        <v>4.3807758527722287</v>
      </c>
      <c r="U2" s="97">
        <v>6.8</v>
      </c>
      <c r="V2" s="98">
        <f t="shared" ref="V2:V65" si="5">LN(U2)</f>
        <v>1.9169226121820611</v>
      </c>
      <c r="W2" s="100">
        <v>1323.8</v>
      </c>
      <c r="X2" s="101">
        <f t="shared" ref="X2:X65" si="6">LN(W2)</f>
        <v>7.1882616676848228</v>
      </c>
      <c r="Y2" s="101">
        <v>6185</v>
      </c>
      <c r="Z2" s="102">
        <v>47157</v>
      </c>
      <c r="AA2" s="234">
        <v>1.23</v>
      </c>
      <c r="AB2" s="103">
        <f t="shared" ref="AB2:AB65" si="7">LN(AA2)</f>
        <v>0.20701416938432612</v>
      </c>
      <c r="AC2" s="100">
        <v>100</v>
      </c>
      <c r="AD2" s="103">
        <f t="shared" ref="AD2:AD65" si="8">LN(AC2)</f>
        <v>4.6051701859880918</v>
      </c>
      <c r="AE2" s="90">
        <v>7711.0054</v>
      </c>
      <c r="AF2" s="92">
        <f t="shared" ref="AF2:AF65" si="9">LN(AE2)</f>
        <v>8.9504038601309901</v>
      </c>
      <c r="AG2" s="104">
        <v>41.5</v>
      </c>
      <c r="AH2" s="105">
        <v>24.446000000000002</v>
      </c>
      <c r="AI2" s="106">
        <f t="shared" ref="AI2:AI65" si="10">LN(AH2)</f>
        <v>3.1964666033550713</v>
      </c>
      <c r="AJ2" s="107">
        <v>562</v>
      </c>
      <c r="AK2" s="106">
        <f t="shared" ref="AK2:AK65" si="11">LN(AJ2)</f>
        <v>6.3315018498936908</v>
      </c>
      <c r="AL2" s="108">
        <v>59.4</v>
      </c>
      <c r="AM2" s="105">
        <v>7711.01</v>
      </c>
      <c r="AN2" s="106">
        <f t="shared" ref="AN2:AN65" si="12">LN(AM2)</f>
        <v>8.9504044566807774</v>
      </c>
      <c r="AO2" s="96">
        <v>79.924800000000005</v>
      </c>
      <c r="AP2" s="94">
        <v>101.35</v>
      </c>
      <c r="AQ2" s="95">
        <v>4.6185799999999997</v>
      </c>
      <c r="AR2" s="94">
        <v>31.1</v>
      </c>
      <c r="AS2" s="95">
        <f t="shared" ref="AS2:AS65" si="13">LN(AR2)</f>
        <v>3.4372078191851885</v>
      </c>
      <c r="AT2" s="96">
        <v>57.399000000000001</v>
      </c>
    </row>
    <row r="3" spans="1:46">
      <c r="A3" s="109">
        <v>1</v>
      </c>
      <c r="B3" s="110" t="s">
        <v>52</v>
      </c>
      <c r="C3" s="110" t="s">
        <v>51</v>
      </c>
      <c r="D3" s="111">
        <v>2011</v>
      </c>
      <c r="E3" s="109">
        <v>30.5</v>
      </c>
      <c r="F3" s="111">
        <f t="shared" si="0"/>
        <v>3.417726683613366</v>
      </c>
      <c r="G3" s="93">
        <v>5.3581300000000001</v>
      </c>
      <c r="H3" s="93">
        <v>23000000000</v>
      </c>
      <c r="I3" s="94">
        <v>44146.2</v>
      </c>
      <c r="J3" s="95">
        <v>10.6953</v>
      </c>
      <c r="K3" s="96">
        <v>0.66</v>
      </c>
      <c r="L3" s="109">
        <v>25.948999000000001</v>
      </c>
      <c r="M3" s="111">
        <f t="shared" si="1"/>
        <v>3.2561330346867772</v>
      </c>
      <c r="N3" s="112">
        <v>2.0348999999999999</v>
      </c>
      <c r="O3" s="113">
        <f t="shared" si="2"/>
        <v>0.71044667763800651</v>
      </c>
      <c r="P3" s="109">
        <v>573</v>
      </c>
      <c r="Q3" s="111">
        <f t="shared" si="3"/>
        <v>6.3508857167147399</v>
      </c>
      <c r="R3" s="93">
        <v>56.700001</v>
      </c>
      <c r="S3" s="114">
        <v>81.5</v>
      </c>
      <c r="T3" s="113">
        <f t="shared" si="4"/>
        <v>4.4006030202468169</v>
      </c>
      <c r="U3" s="112">
        <v>6.9</v>
      </c>
      <c r="V3" s="113">
        <f t="shared" si="5"/>
        <v>1.9315214116032138</v>
      </c>
      <c r="W3" s="115">
        <v>1953.5</v>
      </c>
      <c r="X3" s="101">
        <f t="shared" si="6"/>
        <v>7.5773779144951252</v>
      </c>
      <c r="Y3" s="116">
        <v>6383</v>
      </c>
      <c r="Z3" s="102">
        <v>47178</v>
      </c>
      <c r="AA3" s="235">
        <v>1.9</v>
      </c>
      <c r="AB3" s="117">
        <f t="shared" si="7"/>
        <v>0.64185388617239469</v>
      </c>
      <c r="AC3" s="115">
        <v>101</v>
      </c>
      <c r="AD3" s="117">
        <f t="shared" si="8"/>
        <v>4.6151205168412597</v>
      </c>
      <c r="AE3" s="109">
        <v>7491.8657000000003</v>
      </c>
      <c r="AF3" s="111">
        <f t="shared" si="9"/>
        <v>8.9215731376158036</v>
      </c>
      <c r="AG3" s="118">
        <v>41.3</v>
      </c>
      <c r="AH3" s="119">
        <v>25.949000000000002</v>
      </c>
      <c r="AI3" s="120">
        <f t="shared" si="10"/>
        <v>3.2561330732239084</v>
      </c>
      <c r="AJ3" s="121">
        <v>573</v>
      </c>
      <c r="AK3" s="120">
        <f t="shared" si="11"/>
        <v>6.3508857167147399</v>
      </c>
      <c r="AL3" s="108">
        <v>56.7</v>
      </c>
      <c r="AM3" s="119">
        <v>7491.87</v>
      </c>
      <c r="AN3" s="120">
        <f t="shared" si="12"/>
        <v>8.9215737115714688</v>
      </c>
      <c r="AO3" s="96">
        <v>85.986900000000006</v>
      </c>
      <c r="AP3" s="94">
        <v>101.69199999999999</v>
      </c>
      <c r="AQ3" s="95">
        <v>4.62195</v>
      </c>
      <c r="AR3" s="94">
        <v>31.6</v>
      </c>
      <c r="AS3" s="95">
        <f t="shared" si="13"/>
        <v>3.4531571205928664</v>
      </c>
      <c r="AT3" s="96">
        <v>57.115000000000002</v>
      </c>
    </row>
    <row r="4" spans="1:46">
      <c r="A4" s="109">
        <v>1</v>
      </c>
      <c r="B4" s="110" t="s">
        <v>52</v>
      </c>
      <c r="C4" s="110" t="s">
        <v>51</v>
      </c>
      <c r="D4" s="111">
        <v>2012</v>
      </c>
      <c r="E4" s="109">
        <v>31.5</v>
      </c>
      <c r="F4" s="111">
        <f t="shared" si="0"/>
        <v>3.4499875458315872</v>
      </c>
      <c r="G4" s="93">
        <v>1.2829999999999999</v>
      </c>
      <c r="H4" s="93">
        <v>5200000000</v>
      </c>
      <c r="I4" s="94">
        <v>44221.5</v>
      </c>
      <c r="J4" s="95">
        <v>10.696999999999999</v>
      </c>
      <c r="K4" s="96">
        <v>0.62</v>
      </c>
      <c r="L4" s="109">
        <v>24.556999000000001</v>
      </c>
      <c r="M4" s="111">
        <f t="shared" si="1"/>
        <v>3.2009969052593221</v>
      </c>
      <c r="N4" s="112">
        <v>2.1585000000000001</v>
      </c>
      <c r="O4" s="113">
        <f t="shared" si="2"/>
        <v>0.76941353601339524</v>
      </c>
      <c r="P4" s="109">
        <v>579</v>
      </c>
      <c r="Q4" s="111">
        <f t="shared" si="3"/>
        <v>6.3613024775729956</v>
      </c>
      <c r="R4" s="93">
        <v>57.700001</v>
      </c>
      <c r="S4" s="114">
        <v>80</v>
      </c>
      <c r="T4" s="113">
        <f t="shared" si="4"/>
        <v>4.3820266346738812</v>
      </c>
      <c r="U4" s="112">
        <v>7.9</v>
      </c>
      <c r="V4" s="113">
        <f t="shared" si="5"/>
        <v>2.066862759472976</v>
      </c>
      <c r="W4" s="115">
        <v>2036</v>
      </c>
      <c r="X4" s="101">
        <f t="shared" si="6"/>
        <v>7.6187423776704133</v>
      </c>
      <c r="Y4" s="116">
        <v>6641</v>
      </c>
      <c r="Z4" s="102">
        <v>47954</v>
      </c>
      <c r="AA4" s="235">
        <v>1.36</v>
      </c>
      <c r="AB4" s="117">
        <f t="shared" si="7"/>
        <v>0.30748469974796072</v>
      </c>
      <c r="AC4" s="115">
        <v>97</v>
      </c>
      <c r="AD4" s="117">
        <f t="shared" si="8"/>
        <v>4.5747109785033828</v>
      </c>
      <c r="AE4" s="109">
        <v>7107.8100999999997</v>
      </c>
      <c r="AF4" s="111">
        <f t="shared" si="9"/>
        <v>8.8689494725417379</v>
      </c>
      <c r="AG4" s="118">
        <v>42.9</v>
      </c>
      <c r="AH4" s="119">
        <v>24.556999999999999</v>
      </c>
      <c r="AI4" s="120">
        <f t="shared" si="10"/>
        <v>3.2009969459809091</v>
      </c>
      <c r="AJ4" s="121">
        <v>579</v>
      </c>
      <c r="AK4" s="120">
        <f t="shared" si="11"/>
        <v>6.3613024775729956</v>
      </c>
      <c r="AL4" s="108">
        <v>57.7</v>
      </c>
      <c r="AM4" s="119">
        <v>7107.81</v>
      </c>
      <c r="AN4" s="120">
        <f t="shared" si="12"/>
        <v>8.8689494584727075</v>
      </c>
      <c r="AO4" s="96">
        <v>84.849100000000007</v>
      </c>
      <c r="AP4" s="94">
        <v>102.157</v>
      </c>
      <c r="AQ4" s="95">
        <v>4.6265099999999997</v>
      </c>
      <c r="AR4" s="94">
        <v>34.4</v>
      </c>
      <c r="AS4" s="95">
        <f t="shared" si="13"/>
        <v>3.5380565643793527</v>
      </c>
      <c r="AT4" s="96">
        <v>57.146999999999998</v>
      </c>
    </row>
    <row r="5" spans="1:46">
      <c r="A5" s="109">
        <v>1</v>
      </c>
      <c r="B5" s="110" t="s">
        <v>52</v>
      </c>
      <c r="C5" s="110" t="s">
        <v>51</v>
      </c>
      <c r="D5" s="111">
        <v>2013</v>
      </c>
      <c r="E5" s="109">
        <v>32.5</v>
      </c>
      <c r="F5" s="111">
        <f t="shared" si="0"/>
        <v>3.4812400893356918</v>
      </c>
      <c r="G5" s="93">
        <v>-0.30263299999999999</v>
      </c>
      <c r="H5" s="93">
        <v>-1300000000</v>
      </c>
      <c r="I5" s="94">
        <v>43851.4</v>
      </c>
      <c r="J5" s="95">
        <v>10.688599999999999</v>
      </c>
      <c r="K5" s="96">
        <v>0.62</v>
      </c>
      <c r="L5" s="109">
        <v>23.832001000000002</v>
      </c>
      <c r="M5" s="111">
        <f t="shared" si="1"/>
        <v>3.1710292573713699</v>
      </c>
      <c r="N5" s="112">
        <v>2.2054999999999998</v>
      </c>
      <c r="O5" s="113">
        <f t="shared" si="2"/>
        <v>0.79095424056285724</v>
      </c>
      <c r="P5" s="109">
        <v>578</v>
      </c>
      <c r="Q5" s="111">
        <f t="shared" si="3"/>
        <v>6.3595738686723777</v>
      </c>
      <c r="R5" s="93">
        <v>57.700001</v>
      </c>
      <c r="S5" s="114">
        <v>79</v>
      </c>
      <c r="T5" s="113">
        <f t="shared" si="4"/>
        <v>4.3694478524670215</v>
      </c>
      <c r="U5" s="112">
        <v>9.1</v>
      </c>
      <c r="V5" s="113">
        <f t="shared" si="5"/>
        <v>2.2082744135228043</v>
      </c>
      <c r="W5" s="115">
        <v>2149.6999999999998</v>
      </c>
      <c r="X5" s="101">
        <f t="shared" si="6"/>
        <v>7.6730835765020897</v>
      </c>
      <c r="Y5" s="116">
        <v>6875</v>
      </c>
      <c r="Z5" s="102">
        <v>48925</v>
      </c>
      <c r="AA5" s="235">
        <v>1.23</v>
      </c>
      <c r="AB5" s="117">
        <f t="shared" si="7"/>
        <v>0.20701416938432612</v>
      </c>
      <c r="AC5" s="115">
        <v>99</v>
      </c>
      <c r="AD5" s="117">
        <f t="shared" si="8"/>
        <v>4.5951198501345898</v>
      </c>
      <c r="AE5" s="109">
        <v>6895.5370999999996</v>
      </c>
      <c r="AF5" s="111">
        <f t="shared" si="9"/>
        <v>8.8386296842204182</v>
      </c>
      <c r="AG5" s="118">
        <v>42.7</v>
      </c>
      <c r="AH5" s="119">
        <v>23.832000000000001</v>
      </c>
      <c r="AI5" s="120">
        <f t="shared" si="10"/>
        <v>3.1710292154109814</v>
      </c>
      <c r="AJ5" s="121">
        <v>578</v>
      </c>
      <c r="AK5" s="120">
        <f t="shared" si="11"/>
        <v>6.3595738686723777</v>
      </c>
      <c r="AL5" s="108">
        <v>57.7</v>
      </c>
      <c r="AM5" s="119">
        <v>6895.54</v>
      </c>
      <c r="AN5" s="120">
        <f t="shared" si="12"/>
        <v>8.8386301047822027</v>
      </c>
      <c r="AO5" s="96">
        <v>84.024699999999996</v>
      </c>
      <c r="AP5" s="94">
        <v>102.761</v>
      </c>
      <c r="AQ5" s="95">
        <v>4.6323999999999996</v>
      </c>
      <c r="AR5" s="94">
        <v>34.6</v>
      </c>
      <c r="AS5" s="95">
        <f t="shared" si="13"/>
        <v>3.5438536820636788</v>
      </c>
      <c r="AT5" s="96">
        <v>57.335999999999999</v>
      </c>
    </row>
    <row r="6" spans="1:46">
      <c r="A6" s="109">
        <v>1</v>
      </c>
      <c r="B6" s="110" t="s">
        <v>52</v>
      </c>
      <c r="C6" s="110" t="s">
        <v>51</v>
      </c>
      <c r="D6" s="111">
        <v>2014</v>
      </c>
      <c r="E6" s="109">
        <v>30.8</v>
      </c>
      <c r="F6" s="111">
        <f t="shared" si="0"/>
        <v>3.427514689979529</v>
      </c>
      <c r="G6" s="93">
        <v>0.38955699999999999</v>
      </c>
      <c r="H6" s="93">
        <v>1700000000</v>
      </c>
      <c r="I6" s="94">
        <v>43838.8</v>
      </c>
      <c r="J6" s="95">
        <v>10.6883</v>
      </c>
      <c r="K6" s="96">
        <v>0.6</v>
      </c>
      <c r="L6" s="109">
        <v>24.295000000000002</v>
      </c>
      <c r="M6" s="111">
        <f t="shared" si="1"/>
        <v>3.1902705678578664</v>
      </c>
      <c r="N6" s="112">
        <v>2.1665999999999999</v>
      </c>
      <c r="O6" s="113">
        <f t="shared" si="2"/>
        <v>0.77315911852932995</v>
      </c>
      <c r="P6" s="109">
        <v>565</v>
      </c>
      <c r="Q6" s="111">
        <f t="shared" si="3"/>
        <v>6.3368257311464413</v>
      </c>
      <c r="R6" s="93">
        <v>56.299999</v>
      </c>
      <c r="S6" s="114">
        <v>79.599999999999994</v>
      </c>
      <c r="T6" s="113">
        <f t="shared" si="4"/>
        <v>4.3770140928503372</v>
      </c>
      <c r="U6" s="112">
        <v>9.9</v>
      </c>
      <c r="V6" s="113">
        <f t="shared" si="5"/>
        <v>2.2925347571405443</v>
      </c>
      <c r="W6" s="115">
        <v>2229.8000000000002</v>
      </c>
      <c r="X6" s="101">
        <f t="shared" si="6"/>
        <v>7.7096671743334708</v>
      </c>
      <c r="Y6" s="116">
        <v>7144</v>
      </c>
      <c r="Z6" s="102">
        <v>48172</v>
      </c>
      <c r="AA6" s="235">
        <v>1.21</v>
      </c>
      <c r="AB6" s="117">
        <f t="shared" si="7"/>
        <v>0.1906203596086497</v>
      </c>
      <c r="AC6" s="115">
        <v>100</v>
      </c>
      <c r="AD6" s="117">
        <f t="shared" si="8"/>
        <v>4.6051701859880918</v>
      </c>
      <c r="AE6" s="109">
        <v>6565.6890000000003</v>
      </c>
      <c r="AF6" s="111">
        <f t="shared" si="9"/>
        <v>8.789612731725029</v>
      </c>
      <c r="AG6" s="118">
        <v>40.6</v>
      </c>
      <c r="AH6" s="119">
        <v>24.295000000000002</v>
      </c>
      <c r="AI6" s="120">
        <f t="shared" si="10"/>
        <v>3.1902705678578664</v>
      </c>
      <c r="AJ6" s="121">
        <v>565</v>
      </c>
      <c r="AK6" s="120">
        <f t="shared" si="11"/>
        <v>6.3368257311464413</v>
      </c>
      <c r="AL6" s="108">
        <v>56.3</v>
      </c>
      <c r="AM6" s="119">
        <v>6565.69</v>
      </c>
      <c r="AN6" s="120">
        <f t="shared" si="12"/>
        <v>8.789612884031957</v>
      </c>
      <c r="AO6" s="96">
        <v>82.155799999999999</v>
      </c>
      <c r="AP6" s="94">
        <v>103.56699999999999</v>
      </c>
      <c r="AQ6" s="95">
        <v>4.6402200000000002</v>
      </c>
      <c r="AR6" s="94">
        <v>35.700000000000003</v>
      </c>
      <c r="AS6" s="95">
        <f t="shared" si="13"/>
        <v>3.5751506887855933</v>
      </c>
      <c r="AT6" s="96">
        <v>57.526000000000003</v>
      </c>
    </row>
    <row r="7" spans="1:46">
      <c r="A7" s="109">
        <v>1</v>
      </c>
      <c r="B7" s="110" t="s">
        <v>52</v>
      </c>
      <c r="C7" s="110" t="s">
        <v>51</v>
      </c>
      <c r="D7" s="111">
        <v>2015</v>
      </c>
      <c r="E7" s="109">
        <v>32</v>
      </c>
      <c r="F7" s="111">
        <f t="shared" si="0"/>
        <v>3.4657359027997265</v>
      </c>
      <c r="G7" s="93">
        <v>-1.8041</v>
      </c>
      <c r="H7" s="93">
        <v>-6800000000</v>
      </c>
      <c r="I7" s="94">
        <v>43915.199999999997</v>
      </c>
      <c r="J7" s="95">
        <v>10.69</v>
      </c>
      <c r="K7" s="96">
        <v>0.61</v>
      </c>
      <c r="L7" s="109">
        <v>23.374001</v>
      </c>
      <c r="M7" s="111">
        <f t="shared" si="1"/>
        <v>3.1516243362935432</v>
      </c>
      <c r="N7" s="112">
        <v>2.2656000000000001</v>
      </c>
      <c r="O7" s="113">
        <f t="shared" si="2"/>
        <v>0.81783962451726355</v>
      </c>
      <c r="P7" s="109">
        <v>560</v>
      </c>
      <c r="Q7" s="111">
        <f t="shared" si="3"/>
        <v>6.3279367837291947</v>
      </c>
      <c r="R7" s="93">
        <v>56.900002000000001</v>
      </c>
      <c r="S7" s="114">
        <v>81.099999999999994</v>
      </c>
      <c r="T7" s="113">
        <f t="shared" si="4"/>
        <v>4.3956829611213672</v>
      </c>
      <c r="U7" s="112">
        <v>11.2</v>
      </c>
      <c r="V7" s="113">
        <f t="shared" si="5"/>
        <v>2.4159137783010487</v>
      </c>
      <c r="W7" s="115">
        <v>2162.5</v>
      </c>
      <c r="X7" s="101">
        <f t="shared" si="6"/>
        <v>7.679020238806034</v>
      </c>
      <c r="Y7" s="116">
        <v>7208</v>
      </c>
      <c r="Z7" s="102">
        <v>48252</v>
      </c>
      <c r="AA7" s="235">
        <v>1.23</v>
      </c>
      <c r="AB7" s="117">
        <f t="shared" si="7"/>
        <v>0.20701416938432612</v>
      </c>
      <c r="AC7" s="115">
        <v>102</v>
      </c>
      <c r="AD7" s="117">
        <f t="shared" si="8"/>
        <v>4.6249728132842707</v>
      </c>
      <c r="AE7" s="109">
        <v>6615.9673000000003</v>
      </c>
      <c r="AF7" s="111">
        <f t="shared" si="9"/>
        <v>8.7972412941278311</v>
      </c>
      <c r="AG7" s="118">
        <v>42.4</v>
      </c>
      <c r="AH7" s="119">
        <v>23.373999999999999</v>
      </c>
      <c r="AI7" s="120">
        <f t="shared" si="10"/>
        <v>3.1516242935109653</v>
      </c>
      <c r="AJ7" s="121">
        <v>560</v>
      </c>
      <c r="AK7" s="120">
        <f t="shared" si="11"/>
        <v>6.3279367837291947</v>
      </c>
      <c r="AL7" s="108">
        <v>56.9</v>
      </c>
      <c r="AM7" s="119">
        <v>6615.97</v>
      </c>
      <c r="AN7" s="120">
        <f t="shared" si="12"/>
        <v>8.7972417022313358</v>
      </c>
      <c r="AO7" s="96">
        <v>81.353499999999997</v>
      </c>
      <c r="AP7" s="94">
        <v>104.735</v>
      </c>
      <c r="AQ7" s="95">
        <v>4.6514300000000004</v>
      </c>
      <c r="AR7" s="94">
        <v>34.799999999999997</v>
      </c>
      <c r="AS7" s="95">
        <f t="shared" si="13"/>
        <v>3.5496173867804286</v>
      </c>
      <c r="AT7" s="96">
        <v>57.715000000000003</v>
      </c>
    </row>
    <row r="8" spans="1:46">
      <c r="A8" s="109">
        <v>1</v>
      </c>
      <c r="B8" s="110" t="s">
        <v>52</v>
      </c>
      <c r="C8" s="110" t="s">
        <v>51</v>
      </c>
      <c r="D8" s="111">
        <v>2016</v>
      </c>
      <c r="E8" s="109">
        <v>31.4</v>
      </c>
      <c r="F8" s="111">
        <f t="shared" si="0"/>
        <v>3.4468078929142076</v>
      </c>
      <c r="G8" s="93">
        <v>-7.2398999999999996</v>
      </c>
      <c r="H8" s="93">
        <v>-29000000000</v>
      </c>
      <c r="I8" s="94">
        <v>44362.7</v>
      </c>
      <c r="J8" s="95">
        <v>10.700200000000001</v>
      </c>
      <c r="K8" s="96">
        <v>0.62</v>
      </c>
      <c r="L8" s="109">
        <v>23.73</v>
      </c>
      <c r="M8" s="111">
        <f t="shared" si="1"/>
        <v>3.166740070447672</v>
      </c>
      <c r="N8" s="112">
        <v>2.2673999999999999</v>
      </c>
      <c r="O8" s="113">
        <f t="shared" si="2"/>
        <v>0.81863380060136115</v>
      </c>
      <c r="P8" s="109">
        <v>564</v>
      </c>
      <c r="Q8" s="111">
        <f t="shared" si="3"/>
        <v>6.3350542514980592</v>
      </c>
      <c r="R8" s="93">
        <v>57.599997999999999</v>
      </c>
      <c r="S8" s="114">
        <v>81.8</v>
      </c>
      <c r="T8" s="113">
        <f t="shared" si="4"/>
        <v>4.4042772436087017</v>
      </c>
      <c r="U8" s="112">
        <v>11.9</v>
      </c>
      <c r="V8" s="113">
        <f t="shared" si="5"/>
        <v>2.4765384001174837</v>
      </c>
      <c r="W8" s="115">
        <v>2384.9</v>
      </c>
      <c r="X8" s="101">
        <f t="shared" si="6"/>
        <v>7.7769124737222342</v>
      </c>
      <c r="Y8" s="116">
        <v>7553</v>
      </c>
      <c r="Z8" s="102">
        <v>48376</v>
      </c>
      <c r="AA8" s="235">
        <v>0.88</v>
      </c>
      <c r="AB8" s="117">
        <f t="shared" si="7"/>
        <v>-0.12783337150988489</v>
      </c>
      <c r="AC8" s="115">
        <v>103</v>
      </c>
      <c r="AD8" s="117">
        <f t="shared" si="8"/>
        <v>4.6347289882296359</v>
      </c>
      <c r="AE8" s="109">
        <v>6459.7212</v>
      </c>
      <c r="AF8" s="111">
        <f t="shared" si="9"/>
        <v>8.7733414379505827</v>
      </c>
      <c r="AG8" s="118">
        <v>43.1</v>
      </c>
      <c r="AH8" s="119">
        <v>23.73</v>
      </c>
      <c r="AI8" s="120">
        <f t="shared" si="10"/>
        <v>3.166740070447672</v>
      </c>
      <c r="AJ8" s="121">
        <v>564</v>
      </c>
      <c r="AK8" s="120">
        <f t="shared" si="11"/>
        <v>6.3350542514980592</v>
      </c>
      <c r="AL8" s="108">
        <v>57.6</v>
      </c>
      <c r="AM8" s="119">
        <v>6459.72</v>
      </c>
      <c r="AN8" s="120">
        <f t="shared" si="12"/>
        <v>8.7733412521840339</v>
      </c>
      <c r="AO8" s="96">
        <v>78.688599999999994</v>
      </c>
      <c r="AP8" s="94">
        <v>105.873</v>
      </c>
      <c r="AQ8" s="95">
        <v>4.6622399999999997</v>
      </c>
      <c r="AR8" s="94">
        <v>34.6</v>
      </c>
      <c r="AS8" s="95">
        <f t="shared" si="13"/>
        <v>3.5438536820636788</v>
      </c>
      <c r="AT8" s="96">
        <v>57.905000000000001</v>
      </c>
    </row>
    <row r="9" spans="1:46">
      <c r="A9" s="109">
        <v>1</v>
      </c>
      <c r="B9" s="110" t="s">
        <v>52</v>
      </c>
      <c r="C9" s="110" t="s">
        <v>51</v>
      </c>
      <c r="D9" s="111">
        <v>2017</v>
      </c>
      <c r="E9" s="109">
        <v>32.200000000000003</v>
      </c>
      <c r="F9" s="111">
        <f t="shared" si="0"/>
        <v>3.4719664525503626</v>
      </c>
      <c r="G9" s="93">
        <v>3.3818000000000001</v>
      </c>
      <c r="H9" s="93">
        <v>14000000000</v>
      </c>
      <c r="I9" s="94">
        <v>45056.6</v>
      </c>
      <c r="J9" s="95">
        <v>10.7157</v>
      </c>
      <c r="K9" s="96">
        <v>0.61</v>
      </c>
      <c r="L9" s="109">
        <v>23.638000000000002</v>
      </c>
      <c r="M9" s="111">
        <f t="shared" si="1"/>
        <v>3.162855586590049</v>
      </c>
      <c r="N9" s="112">
        <v>2.3119000000000001</v>
      </c>
      <c r="O9" s="113">
        <f t="shared" si="2"/>
        <v>0.83806969727955494</v>
      </c>
      <c r="P9" s="109">
        <v>570</v>
      </c>
      <c r="Q9" s="111">
        <f t="shared" si="3"/>
        <v>6.3456363608285962</v>
      </c>
      <c r="R9" s="93">
        <v>57.799999</v>
      </c>
      <c r="S9" s="114">
        <v>80.2</v>
      </c>
      <c r="T9" s="113">
        <f t="shared" si="4"/>
        <v>4.3845235148724688</v>
      </c>
      <c r="U9" s="112">
        <v>12</v>
      </c>
      <c r="V9" s="113">
        <f t="shared" si="5"/>
        <v>2.4849066497880004</v>
      </c>
      <c r="W9" s="115">
        <v>2922.3</v>
      </c>
      <c r="X9" s="101">
        <f t="shared" si="6"/>
        <v>7.9801262564450193</v>
      </c>
      <c r="Y9" s="116">
        <v>8166</v>
      </c>
      <c r="Z9" s="102">
        <v>50091</v>
      </c>
      <c r="AA9" s="235">
        <v>0.61</v>
      </c>
      <c r="AB9" s="117">
        <f t="shared" si="7"/>
        <v>-0.49429632181478012</v>
      </c>
      <c r="AC9" s="115">
        <v>100</v>
      </c>
      <c r="AD9" s="117">
        <f t="shared" si="8"/>
        <v>4.6051701859880918</v>
      </c>
      <c r="AE9" s="109">
        <v>6760.6972999999998</v>
      </c>
      <c r="AF9" s="111">
        <f t="shared" si="9"/>
        <v>8.8188813146048961</v>
      </c>
      <c r="AG9" s="118">
        <v>44.2</v>
      </c>
      <c r="AH9" s="119">
        <v>23.638000000000002</v>
      </c>
      <c r="AI9" s="120">
        <f t="shared" si="10"/>
        <v>3.162855586590049</v>
      </c>
      <c r="AJ9" s="121">
        <v>570</v>
      </c>
      <c r="AK9" s="120">
        <f t="shared" si="11"/>
        <v>6.3456363608285962</v>
      </c>
      <c r="AL9" s="108">
        <v>57.8</v>
      </c>
      <c r="AM9" s="119">
        <v>6760.7</v>
      </c>
      <c r="AN9" s="120">
        <f t="shared" si="12"/>
        <v>8.8188817139719067</v>
      </c>
      <c r="AO9" s="96">
        <v>82.853499999999997</v>
      </c>
      <c r="AP9" s="94">
        <v>106.611</v>
      </c>
      <c r="AQ9" s="95">
        <v>4.6691900000000004</v>
      </c>
      <c r="AR9" s="94">
        <v>34</v>
      </c>
      <c r="AS9" s="95">
        <f t="shared" si="13"/>
        <v>3.5263605246161616</v>
      </c>
      <c r="AT9" s="96">
        <v>58.094000000000001</v>
      </c>
    </row>
    <row r="10" spans="1:46">
      <c r="A10" s="109">
        <v>1</v>
      </c>
      <c r="B10" s="110" t="s">
        <v>52</v>
      </c>
      <c r="C10" s="110" t="s">
        <v>51</v>
      </c>
      <c r="D10" s="111">
        <v>2018</v>
      </c>
      <c r="E10" s="109">
        <v>32.200000000000003</v>
      </c>
      <c r="F10" s="111">
        <f t="shared" si="0"/>
        <v>3.4719664525503626</v>
      </c>
      <c r="G10" s="93">
        <v>-6.1511899999999997</v>
      </c>
      <c r="H10" s="93">
        <v>-28000000000</v>
      </c>
      <c r="I10" s="94">
        <v>45951.6</v>
      </c>
      <c r="J10" s="95">
        <v>10.735300000000001</v>
      </c>
      <c r="K10" s="96">
        <v>0.63</v>
      </c>
      <c r="L10" s="109">
        <v>23.947001</v>
      </c>
      <c r="M10" s="111">
        <f t="shared" si="1"/>
        <v>3.1758430968096643</v>
      </c>
      <c r="N10" s="112">
        <v>2.3611</v>
      </c>
      <c r="O10" s="113">
        <f t="shared" si="2"/>
        <v>0.85912761214078082</v>
      </c>
      <c r="P10" s="109">
        <v>579</v>
      </c>
      <c r="Q10" s="111">
        <f t="shared" si="3"/>
        <v>6.3613024775729956</v>
      </c>
      <c r="R10" s="93">
        <v>57.700001</v>
      </c>
      <c r="S10" s="114">
        <v>79.8</v>
      </c>
      <c r="T10" s="113">
        <f t="shared" si="4"/>
        <v>4.3795235044557632</v>
      </c>
      <c r="U10" s="112">
        <v>11.8</v>
      </c>
      <c r="V10" s="113">
        <f t="shared" si="5"/>
        <v>2.4680995314716192</v>
      </c>
      <c r="W10" s="115">
        <v>3226</v>
      </c>
      <c r="X10" s="101">
        <f t="shared" si="6"/>
        <v>8.0789982586851536</v>
      </c>
      <c r="Y10" s="116">
        <v>7372</v>
      </c>
      <c r="Z10" s="102">
        <v>47466</v>
      </c>
      <c r="AA10" s="235">
        <v>1.47</v>
      </c>
      <c r="AB10" s="117">
        <f t="shared" si="7"/>
        <v>0.38526240079064489</v>
      </c>
      <c r="AC10" s="115">
        <v>103</v>
      </c>
      <c r="AD10" s="117">
        <f t="shared" si="8"/>
        <v>4.6347289882296359</v>
      </c>
      <c r="AE10" s="109">
        <v>6418.2734</v>
      </c>
      <c r="AF10" s="111">
        <f t="shared" si="9"/>
        <v>8.7669044197029731</v>
      </c>
      <c r="AG10" s="118">
        <v>44.5</v>
      </c>
      <c r="AH10" s="119">
        <v>23.946999999999999</v>
      </c>
      <c r="AI10" s="120">
        <f t="shared" si="10"/>
        <v>3.1758430550507808</v>
      </c>
      <c r="AJ10" s="121">
        <v>579</v>
      </c>
      <c r="AK10" s="120">
        <f t="shared" si="11"/>
        <v>6.3613024775729956</v>
      </c>
      <c r="AL10" s="108">
        <v>57.7</v>
      </c>
      <c r="AM10" s="119">
        <v>6418.27</v>
      </c>
      <c r="AN10" s="120">
        <f t="shared" si="12"/>
        <v>8.7669038899653486</v>
      </c>
      <c r="AO10" s="96">
        <v>83.639399999999995</v>
      </c>
      <c r="AP10" s="94">
        <v>107.13200000000001</v>
      </c>
      <c r="AQ10" s="95">
        <v>4.6740599999999999</v>
      </c>
      <c r="AR10" s="94">
        <v>34.1</v>
      </c>
      <c r="AS10" s="95">
        <f t="shared" si="13"/>
        <v>3.529297384289471</v>
      </c>
      <c r="AT10" s="96">
        <v>58.296999999999997</v>
      </c>
    </row>
    <row r="11" spans="1:46">
      <c r="A11" s="109">
        <v>1</v>
      </c>
      <c r="B11" s="110" t="s">
        <v>52</v>
      </c>
      <c r="C11" s="110" t="s">
        <v>51</v>
      </c>
      <c r="D11" s="111">
        <v>2019</v>
      </c>
      <c r="E11" s="109">
        <v>33.1</v>
      </c>
      <c r="F11" s="111">
        <f t="shared" si="0"/>
        <v>3.4995332823830174</v>
      </c>
      <c r="G11" s="93">
        <v>-2.85256</v>
      </c>
      <c r="H11" s="93">
        <v>-13000000000</v>
      </c>
      <c r="I11" s="94">
        <v>46550.6</v>
      </c>
      <c r="J11" s="95">
        <v>10.7483</v>
      </c>
      <c r="K11" s="96">
        <v>0.61</v>
      </c>
      <c r="L11" s="109">
        <v>23.582999999999998</v>
      </c>
      <c r="M11" s="111">
        <f t="shared" si="1"/>
        <v>3.1605261134797291</v>
      </c>
      <c r="N11" s="112">
        <v>2.3546</v>
      </c>
      <c r="O11" s="113">
        <f t="shared" si="2"/>
        <v>0.85637086166195941</v>
      </c>
      <c r="P11" s="109">
        <v>588</v>
      </c>
      <c r="Q11" s="111">
        <f t="shared" si="3"/>
        <v>6.3767269478986268</v>
      </c>
      <c r="R11" s="93">
        <v>58.200001</v>
      </c>
      <c r="S11" s="114">
        <v>81.900000000000006</v>
      </c>
      <c r="T11" s="113">
        <f t="shared" si="4"/>
        <v>4.4054989908590239</v>
      </c>
      <c r="U11" s="112">
        <v>11.5</v>
      </c>
      <c r="V11" s="113">
        <f t="shared" si="5"/>
        <v>2.4423470353692043</v>
      </c>
      <c r="W11" s="115">
        <v>3126.6</v>
      </c>
      <c r="X11" s="101">
        <f t="shared" si="6"/>
        <v>8.0477014311432242</v>
      </c>
      <c r="Y11" s="116">
        <v>7471</v>
      </c>
      <c r="Z11" s="102">
        <v>48075</v>
      </c>
      <c r="AA11" s="235">
        <v>1.97</v>
      </c>
      <c r="AB11" s="117">
        <f t="shared" si="7"/>
        <v>0.67803354274989713</v>
      </c>
      <c r="AC11" s="115">
        <v>103</v>
      </c>
      <c r="AD11" s="117">
        <f t="shared" si="8"/>
        <v>4.6347289882296359</v>
      </c>
      <c r="AE11" s="109">
        <v>6075.8495999999996</v>
      </c>
      <c r="AF11" s="111">
        <f t="shared" si="9"/>
        <v>8.7120771102822427</v>
      </c>
      <c r="AG11" s="118">
        <v>44.4</v>
      </c>
      <c r="AH11" s="119">
        <v>23.582999999999998</v>
      </c>
      <c r="AI11" s="120">
        <f t="shared" si="10"/>
        <v>3.1605261134797291</v>
      </c>
      <c r="AJ11" s="121">
        <v>588</v>
      </c>
      <c r="AK11" s="120">
        <f t="shared" si="11"/>
        <v>6.3767269478986268</v>
      </c>
      <c r="AL11" s="108">
        <v>58.2</v>
      </c>
      <c r="AM11" s="119">
        <v>0</v>
      </c>
      <c r="AN11" s="120">
        <v>0</v>
      </c>
      <c r="AO11" s="96">
        <v>82.040999999999997</v>
      </c>
      <c r="AP11" s="94">
        <v>107.60899999999999</v>
      </c>
      <c r="AQ11" s="95">
        <v>4.6785100000000002</v>
      </c>
      <c r="AR11" s="94">
        <v>34</v>
      </c>
      <c r="AS11" s="95">
        <f t="shared" si="13"/>
        <v>3.5263605246161616</v>
      </c>
      <c r="AT11" s="96">
        <v>58.515000000000001</v>
      </c>
    </row>
    <row r="12" spans="1:46">
      <c r="A12" s="109">
        <v>1</v>
      </c>
      <c r="B12" s="110" t="s">
        <v>52</v>
      </c>
      <c r="C12" s="110" t="s">
        <v>51</v>
      </c>
      <c r="D12" s="111">
        <v>2020</v>
      </c>
      <c r="E12" s="109">
        <v>33.6</v>
      </c>
      <c r="F12" s="111">
        <f t="shared" si="0"/>
        <v>3.5145260669691587</v>
      </c>
      <c r="G12" s="93">
        <v>-2.7633200000000002</v>
      </c>
      <c r="H12" s="93">
        <v>-12000000000</v>
      </c>
      <c r="I12" s="94">
        <v>43428.7</v>
      </c>
      <c r="J12" s="95">
        <v>10.678900000000001</v>
      </c>
      <c r="K12" s="96">
        <v>0.62</v>
      </c>
      <c r="L12" s="109">
        <v>22.264999</v>
      </c>
      <c r="M12" s="111">
        <f t="shared" si="1"/>
        <v>3.1030158938601233</v>
      </c>
      <c r="N12" s="112">
        <v>2.1833</v>
      </c>
      <c r="O12" s="113">
        <f t="shared" si="2"/>
        <v>0.78083749368693389</v>
      </c>
      <c r="P12" s="109">
        <v>834</v>
      </c>
      <c r="Q12" s="111">
        <f t="shared" si="3"/>
        <v>6.7262334023587469</v>
      </c>
      <c r="R12" s="93">
        <v>62.299999</v>
      </c>
      <c r="S12" s="114">
        <v>82</v>
      </c>
      <c r="T12" s="113">
        <f t="shared" si="4"/>
        <v>4.4067192472642533</v>
      </c>
      <c r="U12" s="112">
        <v>11.4</v>
      </c>
      <c r="V12" s="113">
        <f t="shared" si="5"/>
        <v>2.4336133554004498</v>
      </c>
      <c r="W12" s="115">
        <v>2912.1</v>
      </c>
      <c r="X12" s="101">
        <f t="shared" si="6"/>
        <v>7.9766297493862899</v>
      </c>
      <c r="Y12" s="116">
        <v>7903</v>
      </c>
      <c r="Z12" s="102">
        <v>49423</v>
      </c>
      <c r="AA12" s="235">
        <v>0.73</v>
      </c>
      <c r="AB12" s="117">
        <f t="shared" si="7"/>
        <v>-0.31471074483970024</v>
      </c>
      <c r="AC12" s="115">
        <v>0.52</v>
      </c>
      <c r="AD12" s="117">
        <f t="shared" si="8"/>
        <v>-0.65392646740666394</v>
      </c>
      <c r="AE12" s="109">
        <v>5733.4258</v>
      </c>
      <c r="AF12" s="111">
        <f t="shared" si="9"/>
        <v>8.6540685019103574</v>
      </c>
      <c r="AG12" s="118">
        <v>44.3</v>
      </c>
      <c r="AH12" s="119">
        <v>22.265000000000001</v>
      </c>
      <c r="AI12" s="120">
        <f t="shared" si="10"/>
        <v>3.1030159387736655</v>
      </c>
      <c r="AJ12" s="121">
        <v>834</v>
      </c>
      <c r="AK12" s="120">
        <f t="shared" si="11"/>
        <v>6.7262334023587469</v>
      </c>
      <c r="AL12" s="108">
        <v>62.3</v>
      </c>
      <c r="AM12" s="119">
        <v>0</v>
      </c>
      <c r="AN12" s="120">
        <v>0</v>
      </c>
      <c r="AO12" s="96">
        <v>78.699100000000001</v>
      </c>
      <c r="AP12" s="94">
        <v>108.057</v>
      </c>
      <c r="AQ12" s="95">
        <v>4.6826600000000003</v>
      </c>
      <c r="AR12" s="94">
        <v>35.799999999999997</v>
      </c>
      <c r="AS12" s="95">
        <f t="shared" si="13"/>
        <v>3.5779478934066544</v>
      </c>
      <c r="AT12" s="96">
        <v>58.747999999999998</v>
      </c>
    </row>
    <row r="13" spans="1:46">
      <c r="A13" s="109">
        <v>2</v>
      </c>
      <c r="B13" s="110" t="s">
        <v>50</v>
      </c>
      <c r="C13" s="110" t="s">
        <v>49</v>
      </c>
      <c r="D13" s="111">
        <v>2010</v>
      </c>
      <c r="E13" s="109">
        <v>29.5</v>
      </c>
      <c r="F13" s="111">
        <f t="shared" si="0"/>
        <v>3.3843902633457743</v>
      </c>
      <c r="G13" s="93">
        <v>26.0596</v>
      </c>
      <c r="H13" s="93">
        <v>130000000000</v>
      </c>
      <c r="I13" s="94">
        <v>39991.599999999999</v>
      </c>
      <c r="J13" s="95">
        <v>10.596399999999999</v>
      </c>
      <c r="K13" s="96">
        <v>0.66</v>
      </c>
      <c r="L13" s="109">
        <v>13.677</v>
      </c>
      <c r="M13" s="111">
        <f t="shared" si="1"/>
        <v>2.615715589899414</v>
      </c>
      <c r="N13" s="112">
        <v>2.5962000000000001</v>
      </c>
      <c r="O13" s="113">
        <f t="shared" si="2"/>
        <v>0.95404883747675706</v>
      </c>
      <c r="P13" s="109">
        <v>480</v>
      </c>
      <c r="Q13" s="111">
        <f t="shared" si="3"/>
        <v>6.1737861039019366</v>
      </c>
      <c r="R13" s="93">
        <v>54.799999</v>
      </c>
      <c r="S13" s="114">
        <v>80.2</v>
      </c>
      <c r="T13" s="113">
        <f t="shared" si="4"/>
        <v>4.3845235148724688</v>
      </c>
      <c r="U13" s="112">
        <v>13.5</v>
      </c>
      <c r="V13" s="113">
        <f t="shared" si="5"/>
        <v>2.6026896854443837</v>
      </c>
      <c r="W13" s="115">
        <v>8812</v>
      </c>
      <c r="X13" s="101">
        <f t="shared" si="6"/>
        <v>9.0838697079222346</v>
      </c>
      <c r="Y13" s="116">
        <v>6487</v>
      </c>
      <c r="Z13" s="102">
        <v>60327</v>
      </c>
      <c r="AA13" s="235">
        <v>1.29</v>
      </c>
      <c r="AB13" s="117">
        <f t="shared" si="7"/>
        <v>0.25464221837358075</v>
      </c>
      <c r="AC13" s="115">
        <v>100</v>
      </c>
      <c r="AD13" s="117">
        <f t="shared" si="8"/>
        <v>4.6051701859880918</v>
      </c>
      <c r="AE13" s="109">
        <v>8141.2515000000003</v>
      </c>
      <c r="AF13" s="111">
        <f t="shared" si="9"/>
        <v>9.0046991941074843</v>
      </c>
      <c r="AG13" s="118">
        <v>72.5</v>
      </c>
      <c r="AH13" s="119">
        <v>13.677</v>
      </c>
      <c r="AI13" s="120">
        <f t="shared" si="10"/>
        <v>2.615715589899414</v>
      </c>
      <c r="AJ13" s="121">
        <v>480</v>
      </c>
      <c r="AK13" s="120">
        <f t="shared" si="11"/>
        <v>6.1737861039019366</v>
      </c>
      <c r="AL13" s="108">
        <v>54.8</v>
      </c>
      <c r="AM13" s="119">
        <v>8141.25</v>
      </c>
      <c r="AN13" s="120">
        <f t="shared" si="12"/>
        <v>9.0046990098606106</v>
      </c>
      <c r="AO13" s="96">
        <v>165.893</v>
      </c>
      <c r="AP13" s="94">
        <v>359.19900000000001</v>
      </c>
      <c r="AQ13" s="95">
        <v>5.8838800000000004</v>
      </c>
      <c r="AR13" s="94">
        <v>6.2</v>
      </c>
      <c r="AS13" s="95">
        <f t="shared" si="13"/>
        <v>1.824549292051046</v>
      </c>
      <c r="AT13" s="96">
        <v>97.650999999999996</v>
      </c>
    </row>
    <row r="14" spans="1:46">
      <c r="A14" s="109">
        <v>2</v>
      </c>
      <c r="B14" s="110" t="s">
        <v>50</v>
      </c>
      <c r="C14" s="110" t="s">
        <v>49</v>
      </c>
      <c r="D14" s="111">
        <v>2011</v>
      </c>
      <c r="E14" s="109">
        <v>30</v>
      </c>
      <c r="F14" s="111">
        <f t="shared" si="0"/>
        <v>3.4011973816621555</v>
      </c>
      <c r="G14" s="93">
        <v>31.0367</v>
      </c>
      <c r="H14" s="93">
        <v>160000000000</v>
      </c>
      <c r="I14" s="94">
        <v>40237</v>
      </c>
      <c r="J14" s="95">
        <v>10.602499999999999</v>
      </c>
      <c r="K14" s="96">
        <v>0.66</v>
      </c>
      <c r="L14" s="109">
        <v>15.513</v>
      </c>
      <c r="M14" s="111">
        <f t="shared" si="1"/>
        <v>2.7416783820821942</v>
      </c>
      <c r="N14" s="112">
        <v>2.4622000000000002</v>
      </c>
      <c r="O14" s="113">
        <f t="shared" si="2"/>
        <v>0.90105525923137764</v>
      </c>
      <c r="P14" s="109">
        <v>467</v>
      </c>
      <c r="Q14" s="111">
        <f t="shared" si="3"/>
        <v>6.1463292576688975</v>
      </c>
      <c r="R14" s="93">
        <v>54.400002000000001</v>
      </c>
      <c r="S14" s="114">
        <v>77.7</v>
      </c>
      <c r="T14" s="113">
        <f t="shared" si="4"/>
        <v>4.3528552573736015</v>
      </c>
      <c r="U14" s="112">
        <v>14.4</v>
      </c>
      <c r="V14" s="113">
        <f t="shared" si="5"/>
        <v>2.6672282065819548</v>
      </c>
      <c r="W14" s="115">
        <v>8324.4</v>
      </c>
      <c r="X14" s="101">
        <f t="shared" si="6"/>
        <v>9.0269462401792566</v>
      </c>
      <c r="Y14" s="116">
        <v>6918</v>
      </c>
      <c r="Z14" s="102">
        <v>61814</v>
      </c>
      <c r="AA14" s="235">
        <v>0.76</v>
      </c>
      <c r="AB14" s="117">
        <f t="shared" si="7"/>
        <v>-0.2744368457017603</v>
      </c>
      <c r="AC14" s="115">
        <v>104</v>
      </c>
      <c r="AD14" s="117">
        <f t="shared" si="8"/>
        <v>4.6443908991413725</v>
      </c>
      <c r="AE14" s="109">
        <v>7898.8657000000003</v>
      </c>
      <c r="AF14" s="111">
        <f t="shared" si="9"/>
        <v>8.9744744458677097</v>
      </c>
      <c r="AG14" s="118">
        <v>71.3</v>
      </c>
      <c r="AH14" s="119">
        <v>15.513</v>
      </c>
      <c r="AI14" s="120">
        <f t="shared" si="10"/>
        <v>2.7416783820821942</v>
      </c>
      <c r="AJ14" s="121">
        <v>467</v>
      </c>
      <c r="AK14" s="120">
        <f t="shared" si="11"/>
        <v>6.1463292576688975</v>
      </c>
      <c r="AL14" s="108">
        <v>54.4</v>
      </c>
      <c r="AM14" s="119">
        <v>7898.87</v>
      </c>
      <c r="AN14" s="120">
        <f t="shared" si="12"/>
        <v>8.9744749902495222</v>
      </c>
      <c r="AO14" s="96">
        <v>178.798</v>
      </c>
      <c r="AP14" s="94">
        <v>363.90300000000002</v>
      </c>
      <c r="AQ14" s="95">
        <v>5.89689</v>
      </c>
      <c r="AR14" s="94">
        <v>6.7</v>
      </c>
      <c r="AS14" s="95">
        <f t="shared" si="13"/>
        <v>1.9021075263969205</v>
      </c>
      <c r="AT14" s="96">
        <v>97.697999999999993</v>
      </c>
    </row>
    <row r="15" spans="1:46">
      <c r="A15" s="109">
        <v>2</v>
      </c>
      <c r="B15" s="110" t="s">
        <v>50</v>
      </c>
      <c r="C15" s="110" t="s">
        <v>49</v>
      </c>
      <c r="D15" s="111">
        <v>2012</v>
      </c>
      <c r="E15" s="109">
        <v>31</v>
      </c>
      <c r="F15" s="111">
        <f t="shared" si="0"/>
        <v>3.4339872044851463</v>
      </c>
      <c r="G15" s="93">
        <v>2.36957</v>
      </c>
      <c r="H15" s="93">
        <v>12000000000</v>
      </c>
      <c r="I15" s="94">
        <v>40074.5</v>
      </c>
      <c r="J15" s="95">
        <v>10.5985</v>
      </c>
      <c r="K15" s="96">
        <v>0.66</v>
      </c>
      <c r="L15" s="109">
        <v>14.069000000000001</v>
      </c>
      <c r="M15" s="111">
        <f t="shared" si="1"/>
        <v>2.6439737953950764</v>
      </c>
      <c r="N15" s="112">
        <v>2.681</v>
      </c>
      <c r="O15" s="113">
        <f t="shared" si="2"/>
        <v>0.9861898592538223</v>
      </c>
      <c r="P15" s="109">
        <v>456</v>
      </c>
      <c r="Q15" s="111">
        <f t="shared" si="3"/>
        <v>6.1224928095143865</v>
      </c>
      <c r="R15" s="93">
        <v>53.400002000000001</v>
      </c>
      <c r="S15" s="114">
        <v>78.400000000000006</v>
      </c>
      <c r="T15" s="113">
        <f t="shared" si="4"/>
        <v>4.3618239273563626</v>
      </c>
      <c r="U15" s="112">
        <v>17.3</v>
      </c>
      <c r="V15" s="113">
        <f t="shared" si="5"/>
        <v>2.8507065015037334</v>
      </c>
      <c r="W15" s="115">
        <v>7970.1</v>
      </c>
      <c r="X15" s="101">
        <f t="shared" si="6"/>
        <v>8.9834523187569904</v>
      </c>
      <c r="Y15" s="116">
        <v>6896</v>
      </c>
      <c r="Z15" s="102">
        <v>63376</v>
      </c>
      <c r="AA15" s="235">
        <v>0.8</v>
      </c>
      <c r="AB15" s="117">
        <f t="shared" si="7"/>
        <v>-0.22314355131420971</v>
      </c>
      <c r="AC15" s="115">
        <v>105</v>
      </c>
      <c r="AD15" s="117">
        <f t="shared" si="8"/>
        <v>4.6539603501575231</v>
      </c>
      <c r="AE15" s="109">
        <v>7687.2075000000004</v>
      </c>
      <c r="AF15" s="111">
        <f t="shared" si="9"/>
        <v>8.9473128626104117</v>
      </c>
      <c r="AG15" s="118">
        <v>72.2</v>
      </c>
      <c r="AH15" s="119">
        <v>14.069000000000001</v>
      </c>
      <c r="AI15" s="120">
        <f t="shared" si="10"/>
        <v>2.6439737953950764</v>
      </c>
      <c r="AJ15" s="121">
        <v>456</v>
      </c>
      <c r="AK15" s="120">
        <f t="shared" si="11"/>
        <v>6.1224928095143865</v>
      </c>
      <c r="AL15" s="108">
        <v>53.4</v>
      </c>
      <c r="AM15" s="119">
        <v>7687.21</v>
      </c>
      <c r="AN15" s="120">
        <f t="shared" si="12"/>
        <v>8.9473131878259853</v>
      </c>
      <c r="AO15" s="96">
        <v>177.577</v>
      </c>
      <c r="AP15" s="94">
        <v>366.16699999999997</v>
      </c>
      <c r="AQ15" s="95">
        <v>5.9030899999999997</v>
      </c>
      <c r="AR15" s="94">
        <v>7.7</v>
      </c>
      <c r="AS15" s="95">
        <f t="shared" si="13"/>
        <v>2.0412203288596382</v>
      </c>
      <c r="AT15" s="96">
        <v>97.744</v>
      </c>
    </row>
    <row r="16" spans="1:46">
      <c r="A16" s="109">
        <v>2</v>
      </c>
      <c r="B16" s="110" t="s">
        <v>50</v>
      </c>
      <c r="C16" s="110" t="s">
        <v>49</v>
      </c>
      <c r="D16" s="111">
        <v>2013</v>
      </c>
      <c r="E16" s="109">
        <v>30.5</v>
      </c>
      <c r="F16" s="111">
        <f t="shared" si="0"/>
        <v>3.417726683613366</v>
      </c>
      <c r="G16" s="93">
        <v>-5.6556199999999999</v>
      </c>
      <c r="H16" s="93">
        <v>-30000000000</v>
      </c>
      <c r="I16" s="94">
        <v>40007.9</v>
      </c>
      <c r="J16" s="95">
        <v>10.5968</v>
      </c>
      <c r="K16" s="96">
        <v>0.66</v>
      </c>
      <c r="L16" s="109">
        <v>13.377000000000001</v>
      </c>
      <c r="M16" s="111">
        <f t="shared" si="1"/>
        <v>2.5935368143134494</v>
      </c>
      <c r="N16" s="112">
        <v>2.7286000000000001</v>
      </c>
      <c r="O16" s="113">
        <f t="shared" si="2"/>
        <v>1.0037886571466368</v>
      </c>
      <c r="P16" s="109">
        <v>455</v>
      </c>
      <c r="Q16" s="111">
        <f t="shared" si="3"/>
        <v>6.1202974189509503</v>
      </c>
      <c r="R16" s="93">
        <v>52.799999</v>
      </c>
      <c r="S16" s="114">
        <v>79.099999999999994</v>
      </c>
      <c r="T16" s="113">
        <f t="shared" si="4"/>
        <v>4.3707128747736084</v>
      </c>
      <c r="U16" s="112">
        <v>17.3</v>
      </c>
      <c r="V16" s="113">
        <f t="shared" si="5"/>
        <v>2.8507065015037334</v>
      </c>
      <c r="W16" s="115">
        <v>8590.4</v>
      </c>
      <c r="X16" s="101">
        <f t="shared" si="6"/>
        <v>9.0584005796683051</v>
      </c>
      <c r="Y16" s="116">
        <v>7346</v>
      </c>
      <c r="Z16" s="102">
        <v>62572</v>
      </c>
      <c r="AA16" s="235">
        <v>1.38</v>
      </c>
      <c r="AB16" s="117">
        <f t="shared" si="7"/>
        <v>0.32208349916911322</v>
      </c>
      <c r="AC16" s="115">
        <v>110</v>
      </c>
      <c r="AD16" s="117">
        <f t="shared" si="8"/>
        <v>4.7004803657924166</v>
      </c>
      <c r="AE16" s="109">
        <v>7875.6752999999999</v>
      </c>
      <c r="AF16" s="111">
        <f t="shared" si="9"/>
        <v>8.9715342123982609</v>
      </c>
      <c r="AG16" s="118">
        <v>72.099999999999994</v>
      </c>
      <c r="AH16" s="119">
        <v>13.377000000000001</v>
      </c>
      <c r="AI16" s="120">
        <f t="shared" si="10"/>
        <v>2.5935368143134494</v>
      </c>
      <c r="AJ16" s="121">
        <v>455</v>
      </c>
      <c r="AK16" s="120">
        <f t="shared" si="11"/>
        <v>6.1202974189509503</v>
      </c>
      <c r="AL16" s="108">
        <v>52.8</v>
      </c>
      <c r="AM16" s="119">
        <v>7875.68</v>
      </c>
      <c r="AN16" s="120">
        <f t="shared" si="12"/>
        <v>8.9715348091723044</v>
      </c>
      <c r="AO16" s="96">
        <v>175.62299999999999</v>
      </c>
      <c r="AP16" s="94">
        <v>367.89699999999999</v>
      </c>
      <c r="AQ16" s="95">
        <v>5.9077999999999999</v>
      </c>
      <c r="AR16" s="94">
        <v>8.3000000000000007</v>
      </c>
      <c r="AS16" s="95">
        <f t="shared" si="13"/>
        <v>2.1162555148025524</v>
      </c>
      <c r="AT16" s="96">
        <v>97.789000000000001</v>
      </c>
    </row>
    <row r="17" spans="1:46">
      <c r="A17" s="109">
        <v>2</v>
      </c>
      <c r="B17" s="110" t="s">
        <v>50</v>
      </c>
      <c r="C17" s="110" t="s">
        <v>49</v>
      </c>
      <c r="D17" s="111">
        <v>2014</v>
      </c>
      <c r="E17" s="109">
        <v>29.6</v>
      </c>
      <c r="F17" s="111">
        <f t="shared" si="0"/>
        <v>3.3877743613300146</v>
      </c>
      <c r="G17" s="93">
        <v>-2.8264399999999998</v>
      </c>
      <c r="H17" s="93">
        <v>-15000000000</v>
      </c>
      <c r="I17" s="94">
        <v>40533.9</v>
      </c>
      <c r="J17" s="95">
        <v>10.6099</v>
      </c>
      <c r="K17" s="96">
        <v>0.64</v>
      </c>
      <c r="L17" s="109">
        <v>14.489000000000001</v>
      </c>
      <c r="M17" s="111">
        <f t="shared" si="1"/>
        <v>2.6733897408385854</v>
      </c>
      <c r="N17" s="112">
        <v>2.7778999999999998</v>
      </c>
      <c r="O17" s="113">
        <f t="shared" si="2"/>
        <v>1.0216952465640097</v>
      </c>
      <c r="P17" s="109">
        <v>445</v>
      </c>
      <c r="Q17" s="111">
        <f t="shared" si="3"/>
        <v>6.0980742821662401</v>
      </c>
      <c r="R17" s="93">
        <v>53.799999</v>
      </c>
      <c r="S17" s="114">
        <v>76.7</v>
      </c>
      <c r="T17" s="113">
        <f t="shared" si="4"/>
        <v>4.3399017083732101</v>
      </c>
      <c r="U17" s="112">
        <v>17.899999999999999</v>
      </c>
      <c r="V17" s="113">
        <f t="shared" si="5"/>
        <v>2.884800712846709</v>
      </c>
      <c r="W17" s="115">
        <v>12341.4</v>
      </c>
      <c r="X17" s="101">
        <f t="shared" si="6"/>
        <v>9.4207147432121729</v>
      </c>
      <c r="Y17" s="116">
        <v>7032</v>
      </c>
      <c r="Z17" s="102">
        <v>60314</v>
      </c>
      <c r="AA17" s="235">
        <v>1.08</v>
      </c>
      <c r="AB17" s="117">
        <f t="shared" si="7"/>
        <v>7.6961041136128394E-2</v>
      </c>
      <c r="AC17" s="115">
        <v>114</v>
      </c>
      <c r="AD17" s="117">
        <f t="shared" si="8"/>
        <v>4.7361984483944957</v>
      </c>
      <c r="AE17" s="109">
        <v>7804.6421</v>
      </c>
      <c r="AF17" s="111">
        <f t="shared" si="9"/>
        <v>8.9624739766771366</v>
      </c>
      <c r="AG17" s="118">
        <v>71.5</v>
      </c>
      <c r="AH17" s="119">
        <v>14.489000000000001</v>
      </c>
      <c r="AI17" s="120">
        <f t="shared" si="10"/>
        <v>2.6733897408385854</v>
      </c>
      <c r="AJ17" s="121">
        <v>445</v>
      </c>
      <c r="AK17" s="120">
        <f t="shared" si="11"/>
        <v>6.0980742821662401</v>
      </c>
      <c r="AL17" s="108">
        <v>53.8</v>
      </c>
      <c r="AM17" s="119">
        <v>7804.64</v>
      </c>
      <c r="AN17" s="120">
        <f t="shared" si="12"/>
        <v>8.9624737076064669</v>
      </c>
      <c r="AO17" s="96">
        <v>172.10300000000001</v>
      </c>
      <c r="AP17" s="94">
        <v>369.53300000000002</v>
      </c>
      <c r="AQ17" s="95">
        <v>5.9122399999999997</v>
      </c>
      <c r="AR17" s="94">
        <v>9.1</v>
      </c>
      <c r="AS17" s="95">
        <f t="shared" si="13"/>
        <v>2.2082744135228043</v>
      </c>
      <c r="AT17" s="96">
        <v>97.832999999999998</v>
      </c>
    </row>
    <row r="18" spans="1:46">
      <c r="A18" s="109">
        <v>2</v>
      </c>
      <c r="B18" s="110" t="s">
        <v>50</v>
      </c>
      <c r="C18" s="110" t="s">
        <v>49</v>
      </c>
      <c r="D18" s="111">
        <v>2015</v>
      </c>
      <c r="E18" s="109">
        <v>30.4</v>
      </c>
      <c r="F18" s="111">
        <f t="shared" si="0"/>
        <v>3.414442608412176</v>
      </c>
      <c r="G18" s="93">
        <v>-4.2326100000000002</v>
      </c>
      <c r="H18" s="93">
        <v>-20000000000</v>
      </c>
      <c r="I18" s="94">
        <v>40893.800000000003</v>
      </c>
      <c r="J18" s="95">
        <v>10.6187</v>
      </c>
      <c r="K18" s="96">
        <v>0.68</v>
      </c>
      <c r="L18" s="109">
        <v>14.526</v>
      </c>
      <c r="M18" s="111">
        <f t="shared" si="1"/>
        <v>2.6759401471839763</v>
      </c>
      <c r="N18" s="112">
        <v>2.8570000000000002</v>
      </c>
      <c r="O18" s="113">
        <f t="shared" si="2"/>
        <v>1.0497721232486361</v>
      </c>
      <c r="P18" s="109">
        <v>436</v>
      </c>
      <c r="Q18" s="111">
        <f t="shared" si="3"/>
        <v>6.0776422433490342</v>
      </c>
      <c r="R18" s="93">
        <v>53.5</v>
      </c>
      <c r="S18" s="114">
        <v>77.400000000000006</v>
      </c>
      <c r="T18" s="113">
        <f t="shared" si="4"/>
        <v>4.3489867805956814</v>
      </c>
      <c r="U18" s="112">
        <v>18.100000000000001</v>
      </c>
      <c r="V18" s="113">
        <f t="shared" si="5"/>
        <v>2.8959119382717802</v>
      </c>
      <c r="W18" s="115">
        <v>10765.5</v>
      </c>
      <c r="X18" s="101">
        <f t="shared" si="6"/>
        <v>9.2841018555382355</v>
      </c>
      <c r="Y18" s="116">
        <v>7187</v>
      </c>
      <c r="Z18" s="102">
        <v>62338</v>
      </c>
      <c r="AA18" s="235">
        <v>1.71</v>
      </c>
      <c r="AB18" s="117">
        <f t="shared" si="7"/>
        <v>0.53649337051456847</v>
      </c>
      <c r="AC18" s="115">
        <v>117</v>
      </c>
      <c r="AD18" s="117">
        <f t="shared" si="8"/>
        <v>4.7621739347977563</v>
      </c>
      <c r="AE18" s="109">
        <v>7785.2739000000001</v>
      </c>
      <c r="AF18" s="111">
        <f t="shared" si="9"/>
        <v>8.9599892666935066</v>
      </c>
      <c r="AG18" s="118">
        <v>71.400000000000006</v>
      </c>
      <c r="AH18" s="119">
        <v>14.526</v>
      </c>
      <c r="AI18" s="120">
        <f t="shared" si="10"/>
        <v>2.6759401471839763</v>
      </c>
      <c r="AJ18" s="121">
        <v>436</v>
      </c>
      <c r="AK18" s="120">
        <f t="shared" si="11"/>
        <v>6.0776422433490342</v>
      </c>
      <c r="AL18" s="108">
        <v>53.5</v>
      </c>
      <c r="AM18" s="119">
        <v>7785.27</v>
      </c>
      <c r="AN18" s="120">
        <f t="shared" si="12"/>
        <v>8.9599887657476138</v>
      </c>
      <c r="AO18" s="96">
        <v>167.52600000000001</v>
      </c>
      <c r="AP18" s="94">
        <v>371.68099999999998</v>
      </c>
      <c r="AQ18" s="95">
        <v>5.9180400000000004</v>
      </c>
      <c r="AR18" s="94">
        <v>9.4</v>
      </c>
      <c r="AS18" s="95">
        <f t="shared" si="13"/>
        <v>2.2407096892759584</v>
      </c>
      <c r="AT18" s="96">
        <v>97.876000000000005</v>
      </c>
    </row>
    <row r="19" spans="1:46">
      <c r="A19" s="109">
        <v>2</v>
      </c>
      <c r="B19" s="110" t="s">
        <v>50</v>
      </c>
      <c r="C19" s="110" t="s">
        <v>49</v>
      </c>
      <c r="D19" s="111">
        <v>2016</v>
      </c>
      <c r="E19" s="109">
        <v>29.2</v>
      </c>
      <c r="F19" s="111">
        <f t="shared" si="0"/>
        <v>3.3741687092742358</v>
      </c>
      <c r="G19" s="93">
        <v>12.1319</v>
      </c>
      <c r="H19" s="93">
        <v>58000000000</v>
      </c>
      <c r="I19" s="94">
        <v>41172.9</v>
      </c>
      <c r="J19" s="95">
        <v>10.625500000000001</v>
      </c>
      <c r="K19" s="96">
        <v>0.65</v>
      </c>
      <c r="L19" s="109">
        <v>14.007999999999999</v>
      </c>
      <c r="M19" s="111">
        <f t="shared" si="1"/>
        <v>2.6396285949835505</v>
      </c>
      <c r="N19" s="112">
        <v>2.8933</v>
      </c>
      <c r="O19" s="113">
        <f t="shared" si="2"/>
        <v>1.0623977192004577</v>
      </c>
      <c r="P19" s="109">
        <v>425</v>
      </c>
      <c r="Q19" s="111">
        <f t="shared" si="3"/>
        <v>6.0520891689244172</v>
      </c>
      <c r="R19" s="93">
        <v>53.5</v>
      </c>
      <c r="S19" s="114">
        <v>72.5</v>
      </c>
      <c r="T19" s="113">
        <f t="shared" si="4"/>
        <v>4.2835865618606288</v>
      </c>
      <c r="U19" s="112">
        <v>18.100000000000001</v>
      </c>
      <c r="V19" s="113">
        <f t="shared" si="5"/>
        <v>2.8959119382717802</v>
      </c>
      <c r="W19" s="115">
        <v>7861.7</v>
      </c>
      <c r="X19" s="101">
        <f t="shared" si="6"/>
        <v>8.9697581470243044</v>
      </c>
      <c r="Y19" s="116">
        <v>7880</v>
      </c>
      <c r="Z19" s="102">
        <v>61463</v>
      </c>
      <c r="AA19" s="235">
        <v>1.43</v>
      </c>
      <c r="AB19" s="117">
        <f t="shared" si="7"/>
        <v>0.35767444427181588</v>
      </c>
      <c r="AC19" s="115">
        <v>114</v>
      </c>
      <c r="AD19" s="117">
        <f t="shared" si="8"/>
        <v>4.7361984483944957</v>
      </c>
      <c r="AE19" s="109">
        <v>7897.4214000000002</v>
      </c>
      <c r="AF19" s="111">
        <f t="shared" si="9"/>
        <v>8.9742915801100942</v>
      </c>
      <c r="AG19" s="118">
        <v>72.900000000000006</v>
      </c>
      <c r="AH19" s="119">
        <v>14.007999999999999</v>
      </c>
      <c r="AI19" s="120">
        <f t="shared" si="10"/>
        <v>2.6396285949835505</v>
      </c>
      <c r="AJ19" s="121">
        <v>425</v>
      </c>
      <c r="AK19" s="120">
        <f t="shared" si="11"/>
        <v>6.0520891689244172</v>
      </c>
      <c r="AL19" s="108">
        <v>53.5</v>
      </c>
      <c r="AM19" s="119">
        <v>7897.42</v>
      </c>
      <c r="AN19" s="120">
        <f t="shared" si="12"/>
        <v>8.9742914028370269</v>
      </c>
      <c r="AO19" s="96">
        <v>163.94499999999999</v>
      </c>
      <c r="AP19" s="94">
        <v>373.56700000000001</v>
      </c>
      <c r="AQ19" s="95">
        <v>5.9230999999999998</v>
      </c>
      <c r="AR19" s="94">
        <v>9.1999999999999993</v>
      </c>
      <c r="AS19" s="95">
        <f t="shared" si="13"/>
        <v>2.2192034840549946</v>
      </c>
      <c r="AT19" s="96">
        <v>97.918999999999997</v>
      </c>
    </row>
    <row r="20" spans="1:46">
      <c r="A20" s="109">
        <v>2</v>
      </c>
      <c r="B20" s="110" t="s">
        <v>50</v>
      </c>
      <c r="C20" s="110" t="s">
        <v>49</v>
      </c>
      <c r="D20" s="111">
        <v>2017</v>
      </c>
      <c r="E20" s="109">
        <v>30.2</v>
      </c>
      <c r="F20" s="111">
        <f t="shared" si="0"/>
        <v>3.4078419243808238</v>
      </c>
      <c r="G20" s="93">
        <v>-7.4442399999999997</v>
      </c>
      <c r="H20" s="93">
        <v>-37000000000</v>
      </c>
      <c r="I20" s="94">
        <v>41619.300000000003</v>
      </c>
      <c r="J20" s="95">
        <v>10.6363</v>
      </c>
      <c r="K20" s="96">
        <v>0.7</v>
      </c>
      <c r="L20" s="109">
        <v>13.430999999999999</v>
      </c>
      <c r="M20" s="111">
        <f t="shared" si="1"/>
        <v>2.597565467926938</v>
      </c>
      <c r="N20" s="112">
        <v>2.8744000000000001</v>
      </c>
      <c r="O20" s="113">
        <f t="shared" si="2"/>
        <v>1.055843956817172</v>
      </c>
      <c r="P20" s="109">
        <v>412</v>
      </c>
      <c r="Q20" s="111">
        <f t="shared" si="3"/>
        <v>6.0210233493495267</v>
      </c>
      <c r="R20" s="93">
        <v>53.900002000000001</v>
      </c>
      <c r="S20" s="114">
        <v>75.099999999999994</v>
      </c>
      <c r="T20" s="113">
        <f t="shared" si="4"/>
        <v>4.3188205587700894</v>
      </c>
      <c r="U20" s="112">
        <v>19</v>
      </c>
      <c r="V20" s="113">
        <f t="shared" si="5"/>
        <v>2.9444389791664403</v>
      </c>
      <c r="W20" s="115">
        <v>9962.5</v>
      </c>
      <c r="X20" s="101">
        <f t="shared" si="6"/>
        <v>9.2065833230984708</v>
      </c>
      <c r="Y20" s="116">
        <v>8166</v>
      </c>
      <c r="Z20" s="102">
        <v>62281</v>
      </c>
      <c r="AA20" s="235">
        <v>1.7</v>
      </c>
      <c r="AB20" s="117">
        <f t="shared" si="7"/>
        <v>0.53062825106217038</v>
      </c>
      <c r="AC20" s="115">
        <v>119</v>
      </c>
      <c r="AD20" s="117">
        <f t="shared" si="8"/>
        <v>4.7791234931115296</v>
      </c>
      <c r="AE20" s="109">
        <v>7861.9477999999999</v>
      </c>
      <c r="AF20" s="111">
        <f t="shared" si="9"/>
        <v>8.9697896664278378</v>
      </c>
      <c r="AG20" s="118">
        <v>72</v>
      </c>
      <c r="AH20" s="119">
        <v>13.430999999999999</v>
      </c>
      <c r="AI20" s="120">
        <f t="shared" si="10"/>
        <v>2.597565467926938</v>
      </c>
      <c r="AJ20" s="121">
        <v>412</v>
      </c>
      <c r="AK20" s="120">
        <f t="shared" si="11"/>
        <v>6.0210233493495267</v>
      </c>
      <c r="AL20" s="108">
        <v>53.9</v>
      </c>
      <c r="AM20" s="119">
        <v>7861.95</v>
      </c>
      <c r="AN20" s="120">
        <f t="shared" si="12"/>
        <v>8.9697899462566735</v>
      </c>
      <c r="AO20" s="96">
        <v>167.46899999999999</v>
      </c>
      <c r="AP20" s="94">
        <v>375.00900000000001</v>
      </c>
      <c r="AQ20" s="95">
        <v>5.9269499999999997</v>
      </c>
      <c r="AR20" s="94">
        <v>9.6999999999999993</v>
      </c>
      <c r="AS20" s="95">
        <f t="shared" si="13"/>
        <v>2.2721258855093369</v>
      </c>
      <c r="AT20" s="96">
        <v>97.960999999999999</v>
      </c>
    </row>
    <row r="21" spans="1:46">
      <c r="A21" s="109">
        <v>2</v>
      </c>
      <c r="B21" s="110" t="s">
        <v>50</v>
      </c>
      <c r="C21" s="110" t="s">
        <v>49</v>
      </c>
      <c r="D21" s="111">
        <v>2018</v>
      </c>
      <c r="E21" s="109">
        <v>30.6</v>
      </c>
      <c r="F21" s="111">
        <f t="shared" si="0"/>
        <v>3.4210000089583352</v>
      </c>
      <c r="G21" s="93">
        <v>-7.6665000000000001</v>
      </c>
      <c r="H21" s="93">
        <v>-42000000000</v>
      </c>
      <c r="I21" s="94">
        <v>42208.4</v>
      </c>
      <c r="J21" s="95">
        <v>10.650399999999999</v>
      </c>
      <c r="K21" s="96">
        <v>0.66</v>
      </c>
      <c r="L21" s="109">
        <v>14.92</v>
      </c>
      <c r="M21" s="111">
        <f t="shared" si="1"/>
        <v>2.7027025947756149</v>
      </c>
      <c r="N21" s="112">
        <v>3.0398000000000001</v>
      </c>
      <c r="O21" s="113">
        <f t="shared" si="2"/>
        <v>1.1117917237802237</v>
      </c>
      <c r="P21" s="109">
        <v>419</v>
      </c>
      <c r="Q21" s="111">
        <f t="shared" si="3"/>
        <v>6.0378709199221374</v>
      </c>
      <c r="R21" s="93">
        <v>54.400002000000001</v>
      </c>
      <c r="S21" s="114">
        <v>72.5</v>
      </c>
      <c r="T21" s="113">
        <f t="shared" si="4"/>
        <v>4.2835865618606288</v>
      </c>
      <c r="U21" s="112">
        <v>20.6</v>
      </c>
      <c r="V21" s="113">
        <f t="shared" si="5"/>
        <v>3.0252910757955354</v>
      </c>
      <c r="W21" s="115">
        <v>11848.3</v>
      </c>
      <c r="X21" s="101">
        <f t="shared" si="6"/>
        <v>9.3799396763563081</v>
      </c>
      <c r="Y21" s="116">
        <v>7614</v>
      </c>
      <c r="Z21" s="102">
        <v>63234</v>
      </c>
      <c r="AA21" s="235">
        <v>1.41</v>
      </c>
      <c r="AB21" s="117">
        <f t="shared" si="7"/>
        <v>0.34358970439007686</v>
      </c>
      <c r="AC21" s="115">
        <v>116</v>
      </c>
      <c r="AD21" s="117">
        <f t="shared" si="8"/>
        <v>4.7535901911063645</v>
      </c>
      <c r="AE21" s="109">
        <v>7215.5068000000001</v>
      </c>
      <c r="AF21" s="111">
        <f t="shared" si="9"/>
        <v>8.8839877112913221</v>
      </c>
      <c r="AG21" s="118">
        <v>72.7</v>
      </c>
      <c r="AH21" s="119">
        <v>14.92</v>
      </c>
      <c r="AI21" s="120">
        <f t="shared" si="10"/>
        <v>2.7027025947756149</v>
      </c>
      <c r="AJ21" s="121">
        <v>419</v>
      </c>
      <c r="AK21" s="120">
        <f t="shared" si="11"/>
        <v>6.0378709199221374</v>
      </c>
      <c r="AL21" s="108">
        <v>54.4</v>
      </c>
      <c r="AM21" s="119">
        <v>7215.51</v>
      </c>
      <c r="AN21" s="120">
        <f t="shared" si="12"/>
        <v>8.8839881547805142</v>
      </c>
      <c r="AO21" s="96">
        <v>170.16900000000001</v>
      </c>
      <c r="AP21" s="94">
        <v>374.74299999999999</v>
      </c>
      <c r="AQ21" s="95">
        <v>5.92624</v>
      </c>
      <c r="AR21" s="94">
        <v>10.7</v>
      </c>
      <c r="AS21" s="95">
        <f t="shared" si="13"/>
        <v>2.3702437414678603</v>
      </c>
      <c r="AT21" s="96">
        <v>98.001000000000005</v>
      </c>
    </row>
    <row r="22" spans="1:46">
      <c r="A22" s="109">
        <v>2</v>
      </c>
      <c r="B22" s="110" t="s">
        <v>50</v>
      </c>
      <c r="C22" s="110" t="s">
        <v>49</v>
      </c>
      <c r="D22" s="111">
        <v>2019</v>
      </c>
      <c r="E22" s="109">
        <v>31.6</v>
      </c>
      <c r="F22" s="111">
        <f t="shared" si="0"/>
        <v>3.4531571205928664</v>
      </c>
      <c r="G22" s="93">
        <v>-1.9725299999999999</v>
      </c>
      <c r="H22" s="93">
        <v>-11000000000</v>
      </c>
      <c r="I22" s="94">
        <v>43006.400000000001</v>
      </c>
      <c r="J22" s="95">
        <v>10.6691</v>
      </c>
      <c r="K22" s="96">
        <v>0.66</v>
      </c>
      <c r="L22" s="109">
        <v>12.821999999999999</v>
      </c>
      <c r="M22" s="111">
        <f t="shared" si="1"/>
        <v>2.5511624455650654</v>
      </c>
      <c r="N22" s="112">
        <v>2.9823</v>
      </c>
      <c r="O22" s="113">
        <f t="shared" si="2"/>
        <v>1.0926948149040721</v>
      </c>
      <c r="P22" s="109">
        <v>411</v>
      </c>
      <c r="Q22" s="111">
        <f t="shared" si="3"/>
        <v>6.0185932144962342</v>
      </c>
      <c r="R22" s="93">
        <v>54.700001</v>
      </c>
      <c r="S22" s="114">
        <v>70.8</v>
      </c>
      <c r="T22" s="113">
        <f t="shared" si="4"/>
        <v>4.2598590006996737</v>
      </c>
      <c r="U22" s="112">
        <v>20.5</v>
      </c>
      <c r="V22" s="113">
        <f t="shared" si="5"/>
        <v>3.0204248861443626</v>
      </c>
      <c r="W22" s="115">
        <v>9433.7999999999993</v>
      </c>
      <c r="X22" s="101">
        <f t="shared" si="6"/>
        <v>9.1520542637042848</v>
      </c>
      <c r="Y22" s="116">
        <v>8592</v>
      </c>
      <c r="Z22" s="102">
        <v>62091</v>
      </c>
      <c r="AA22" s="235">
        <v>1.36</v>
      </c>
      <c r="AB22" s="117">
        <f t="shared" si="7"/>
        <v>0.30748469974796072</v>
      </c>
      <c r="AC22" s="115">
        <v>118</v>
      </c>
      <c r="AD22" s="117">
        <f t="shared" si="8"/>
        <v>4.7706846244656651</v>
      </c>
      <c r="AE22" s="109">
        <v>6569.0658999999996</v>
      </c>
      <c r="AF22" s="111">
        <f t="shared" si="9"/>
        <v>8.7901269248104885</v>
      </c>
      <c r="AG22" s="118">
        <v>72.5</v>
      </c>
      <c r="AH22" s="119">
        <v>12.821999999999999</v>
      </c>
      <c r="AI22" s="120">
        <f t="shared" si="10"/>
        <v>2.5511624455650654</v>
      </c>
      <c r="AJ22" s="121">
        <v>411</v>
      </c>
      <c r="AK22" s="120">
        <f t="shared" si="11"/>
        <v>6.0185932144962342</v>
      </c>
      <c r="AL22" s="108">
        <v>54.7</v>
      </c>
      <c r="AM22" s="119">
        <v>0</v>
      </c>
      <c r="AN22" s="120">
        <v>0</v>
      </c>
      <c r="AO22" s="96">
        <v>163.172</v>
      </c>
      <c r="AP22" s="94">
        <v>376.762</v>
      </c>
      <c r="AQ22" s="95">
        <v>5.93161</v>
      </c>
      <c r="AR22" s="94">
        <v>10.199999999999999</v>
      </c>
      <c r="AS22" s="95">
        <f t="shared" si="13"/>
        <v>2.3223877202902252</v>
      </c>
      <c r="AT22" s="96">
        <v>98.040999999999997</v>
      </c>
    </row>
    <row r="23" spans="1:46">
      <c r="A23" s="109">
        <v>2</v>
      </c>
      <c r="B23" s="110" t="s">
        <v>50</v>
      </c>
      <c r="C23" s="110" t="s">
        <v>49</v>
      </c>
      <c r="D23" s="111">
        <v>2020</v>
      </c>
      <c r="E23" s="109">
        <v>32.200000000000003</v>
      </c>
      <c r="F23" s="111">
        <f t="shared" si="0"/>
        <v>3.4719664525503626</v>
      </c>
      <c r="G23" s="93">
        <v>-5.7423500000000001</v>
      </c>
      <c r="H23" s="93">
        <v>-30000000000</v>
      </c>
      <c r="I23" s="94">
        <v>40769</v>
      </c>
      <c r="J23" s="95">
        <v>10.6157</v>
      </c>
      <c r="K23" s="96">
        <v>0.63</v>
      </c>
      <c r="L23" s="109">
        <v>12.984999999999999</v>
      </c>
      <c r="M23" s="111">
        <f t="shared" si="1"/>
        <v>2.5637948451147117</v>
      </c>
      <c r="N23" s="112">
        <v>3.0830000000000002</v>
      </c>
      <c r="O23" s="113">
        <f t="shared" si="2"/>
        <v>1.1259031489040134</v>
      </c>
      <c r="P23" s="109">
        <v>409</v>
      </c>
      <c r="Q23" s="111">
        <f t="shared" si="3"/>
        <v>6.0137151560428022</v>
      </c>
      <c r="R23" s="93">
        <v>51.400002000000001</v>
      </c>
      <c r="S23" s="114">
        <v>73.5</v>
      </c>
      <c r="T23" s="113">
        <f t="shared" si="4"/>
        <v>4.2972854062187906</v>
      </c>
      <c r="U23" s="112">
        <v>22.9</v>
      </c>
      <c r="V23" s="113">
        <f t="shared" si="5"/>
        <v>3.1311369105601941</v>
      </c>
      <c r="W23" s="115">
        <v>7318.9</v>
      </c>
      <c r="X23" s="101">
        <f t="shared" si="6"/>
        <v>8.898215322439162</v>
      </c>
      <c r="Y23" s="116">
        <v>8516</v>
      </c>
      <c r="Z23" s="102">
        <v>63816</v>
      </c>
      <c r="AA23" s="235">
        <v>0.48</v>
      </c>
      <c r="AB23" s="117">
        <f t="shared" si="7"/>
        <v>-0.73396917508020043</v>
      </c>
      <c r="AC23" s="115">
        <v>117</v>
      </c>
      <c r="AD23" s="117">
        <f t="shared" si="8"/>
        <v>4.7621739347977563</v>
      </c>
      <c r="AE23" s="109">
        <v>5922.625</v>
      </c>
      <c r="AF23" s="111">
        <f t="shared" si="9"/>
        <v>8.6865350417620917</v>
      </c>
      <c r="AG23" s="118">
        <v>72.3</v>
      </c>
      <c r="AH23" s="119">
        <v>12.984999999999999</v>
      </c>
      <c r="AI23" s="120">
        <f t="shared" si="10"/>
        <v>2.5637948451147117</v>
      </c>
      <c r="AJ23" s="121">
        <v>409</v>
      </c>
      <c r="AK23" s="120">
        <f t="shared" si="11"/>
        <v>6.0137151560428022</v>
      </c>
      <c r="AL23" s="108">
        <v>51.4</v>
      </c>
      <c r="AM23" s="119">
        <v>0</v>
      </c>
      <c r="AN23" s="120">
        <v>0</v>
      </c>
      <c r="AO23" s="96">
        <v>154.56399999999999</v>
      </c>
      <c r="AP23" s="94">
        <v>378.38900000000001</v>
      </c>
      <c r="AQ23" s="95">
        <v>5.9359200000000003</v>
      </c>
      <c r="AR23" s="94">
        <v>12.3</v>
      </c>
      <c r="AS23" s="95">
        <f t="shared" si="13"/>
        <v>2.5095992623783721</v>
      </c>
      <c r="AT23" s="96">
        <v>98.078999999999994</v>
      </c>
    </row>
    <row r="24" spans="1:46">
      <c r="A24" s="109">
        <v>3</v>
      </c>
      <c r="B24" s="110" t="s">
        <v>48</v>
      </c>
      <c r="C24" s="110" t="s">
        <v>47</v>
      </c>
      <c r="D24" s="111">
        <v>2010</v>
      </c>
      <c r="E24" s="109">
        <v>13</v>
      </c>
      <c r="F24" s="111">
        <f t="shared" si="0"/>
        <v>2.5649493574615367</v>
      </c>
      <c r="G24" s="93">
        <v>3.6305499999999999</v>
      </c>
      <c r="H24" s="93">
        <v>1800000000</v>
      </c>
      <c r="I24" s="94">
        <v>6434.55</v>
      </c>
      <c r="J24" s="95">
        <v>8.7694399999999995</v>
      </c>
      <c r="K24" s="96">
        <v>0.37</v>
      </c>
      <c r="L24" s="109">
        <v>13.522</v>
      </c>
      <c r="M24" s="111">
        <f t="shared" si="1"/>
        <v>2.6043179886684862</v>
      </c>
      <c r="N24" s="112">
        <v>0.35520000000000002</v>
      </c>
      <c r="O24" s="113">
        <f t="shared" si="2"/>
        <v>-1.035074267864122</v>
      </c>
      <c r="P24" s="109">
        <v>577</v>
      </c>
      <c r="Q24" s="111">
        <f t="shared" si="3"/>
        <v>6.3578422665080998</v>
      </c>
      <c r="R24" s="93">
        <v>24.5</v>
      </c>
      <c r="S24" s="114">
        <v>78.400000000000006</v>
      </c>
      <c r="T24" s="113">
        <f t="shared" si="4"/>
        <v>4.3618239273563626</v>
      </c>
      <c r="U24" s="112">
        <v>2.1</v>
      </c>
      <c r="V24" s="113">
        <f t="shared" si="5"/>
        <v>0.74193734472937733</v>
      </c>
      <c r="W24" s="115">
        <v>439.7</v>
      </c>
      <c r="X24" s="101">
        <f t="shared" si="6"/>
        <v>6.0860926761867642</v>
      </c>
      <c r="Y24" s="116">
        <v>568</v>
      </c>
      <c r="Z24" s="102">
        <v>49981</v>
      </c>
      <c r="AA24" s="235">
        <v>0.14000000000000001</v>
      </c>
      <c r="AB24" s="117">
        <f t="shared" si="7"/>
        <v>-1.9661128563728327</v>
      </c>
      <c r="AC24" s="115">
        <v>100</v>
      </c>
      <c r="AD24" s="117">
        <f t="shared" si="8"/>
        <v>4.6051701859880918</v>
      </c>
      <c r="AE24" s="109">
        <v>7811.9087</v>
      </c>
      <c r="AF24" s="111">
        <f t="shared" si="9"/>
        <v>8.9634046047802975</v>
      </c>
      <c r="AG24" s="118">
        <v>15.9</v>
      </c>
      <c r="AH24" s="119">
        <v>13.522</v>
      </c>
      <c r="AI24" s="120">
        <f t="shared" si="10"/>
        <v>2.6043179886684862</v>
      </c>
      <c r="AJ24" s="121">
        <v>577</v>
      </c>
      <c r="AK24" s="120">
        <f t="shared" si="11"/>
        <v>6.3578422665080998</v>
      </c>
      <c r="AL24" s="108">
        <v>24.5</v>
      </c>
      <c r="AM24" s="119">
        <v>7811.91</v>
      </c>
      <c r="AN24" s="120">
        <f t="shared" si="12"/>
        <v>8.9634047711928773</v>
      </c>
      <c r="AO24" s="96">
        <v>90.902600000000007</v>
      </c>
      <c r="AP24" s="94">
        <v>68.124499999999998</v>
      </c>
      <c r="AQ24" s="95">
        <v>4.2213399999999996</v>
      </c>
      <c r="AR24" s="94">
        <v>14.3</v>
      </c>
      <c r="AS24" s="95">
        <f t="shared" si="13"/>
        <v>2.6602595372658615</v>
      </c>
      <c r="AT24" s="96">
        <v>72.302000000000007</v>
      </c>
    </row>
    <row r="25" spans="1:46">
      <c r="A25" s="109">
        <v>3</v>
      </c>
      <c r="B25" s="110" t="s">
        <v>48</v>
      </c>
      <c r="C25" s="110" t="s">
        <v>47</v>
      </c>
      <c r="D25" s="111">
        <v>2011</v>
      </c>
      <c r="E25" s="109">
        <v>14.5</v>
      </c>
      <c r="F25" s="111">
        <f t="shared" si="0"/>
        <v>2.6741486494265287</v>
      </c>
      <c r="G25" s="93">
        <v>3.64378</v>
      </c>
      <c r="H25" s="93">
        <v>2100000000</v>
      </c>
      <c r="I25" s="94">
        <v>6611.3</v>
      </c>
      <c r="J25" s="95">
        <v>8.7965400000000002</v>
      </c>
      <c r="K25" s="96">
        <v>0.36</v>
      </c>
      <c r="L25" s="109">
        <v>14.548</v>
      </c>
      <c r="M25" s="111">
        <f t="shared" si="1"/>
        <v>2.6774535271247424</v>
      </c>
      <c r="N25" s="112">
        <v>0.32750000000000001</v>
      </c>
      <c r="O25" s="113">
        <f t="shared" si="2"/>
        <v>-1.1162672239068303</v>
      </c>
      <c r="P25" s="109">
        <v>553</v>
      </c>
      <c r="Q25" s="111">
        <f t="shared" si="3"/>
        <v>6.315358001522335</v>
      </c>
      <c r="R25" s="93">
        <v>26.200001</v>
      </c>
      <c r="S25" s="114">
        <v>82.3</v>
      </c>
      <c r="T25" s="113">
        <f t="shared" si="4"/>
        <v>4.4103711076830239</v>
      </c>
      <c r="U25" s="112">
        <v>1.8</v>
      </c>
      <c r="V25" s="113">
        <f t="shared" si="5"/>
        <v>0.58778666490211906</v>
      </c>
      <c r="W25" s="115">
        <v>1111.5</v>
      </c>
      <c r="X25" s="101">
        <f t="shared" si="6"/>
        <v>7.0134657334042512</v>
      </c>
      <c r="Y25" s="116">
        <v>572</v>
      </c>
      <c r="Z25" s="102">
        <v>49886</v>
      </c>
      <c r="AA25" s="235">
        <v>0.14000000000000001</v>
      </c>
      <c r="AB25" s="117">
        <f t="shared" si="7"/>
        <v>-1.9661128563728327</v>
      </c>
      <c r="AC25" s="115">
        <v>97</v>
      </c>
      <c r="AD25" s="117">
        <f t="shared" si="8"/>
        <v>4.5747109785033828</v>
      </c>
      <c r="AE25" s="109">
        <v>7243.7046</v>
      </c>
      <c r="AF25" s="111">
        <f t="shared" si="9"/>
        <v>8.8878880395964632</v>
      </c>
      <c r="AG25" s="118">
        <v>15</v>
      </c>
      <c r="AH25" s="119">
        <v>14.548</v>
      </c>
      <c r="AI25" s="120">
        <f t="shared" si="10"/>
        <v>2.6774535271247424</v>
      </c>
      <c r="AJ25" s="121">
        <v>553</v>
      </c>
      <c r="AK25" s="120">
        <f t="shared" si="11"/>
        <v>6.315358001522335</v>
      </c>
      <c r="AL25" s="108">
        <v>26.2</v>
      </c>
      <c r="AM25" s="119">
        <v>7243.7</v>
      </c>
      <c r="AN25" s="120">
        <f t="shared" si="12"/>
        <v>8.8878874045620826</v>
      </c>
      <c r="AO25" s="96">
        <v>105.288</v>
      </c>
      <c r="AP25" s="94">
        <v>67.689099999999996</v>
      </c>
      <c r="AQ25" s="95">
        <v>4.2149299999999998</v>
      </c>
      <c r="AR25" s="94">
        <v>13.2</v>
      </c>
      <c r="AS25" s="95">
        <f t="shared" si="13"/>
        <v>2.5802168295923251</v>
      </c>
      <c r="AT25" s="96">
        <v>72.638000000000005</v>
      </c>
    </row>
    <row r="26" spans="1:46">
      <c r="A26" s="109">
        <v>3</v>
      </c>
      <c r="B26" s="110" t="s">
        <v>48</v>
      </c>
      <c r="C26" s="110" t="s">
        <v>47</v>
      </c>
      <c r="D26" s="111">
        <v>2012</v>
      </c>
      <c r="E26" s="109">
        <v>17</v>
      </c>
      <c r="F26" s="111">
        <f t="shared" si="0"/>
        <v>2.8332133440562162</v>
      </c>
      <c r="G26" s="93">
        <v>3.2937400000000001</v>
      </c>
      <c r="H26" s="93">
        <v>1800000000</v>
      </c>
      <c r="I26" s="94">
        <v>6699.5</v>
      </c>
      <c r="J26" s="95">
        <v>8.8097899999999996</v>
      </c>
      <c r="K26" s="96">
        <v>0.36</v>
      </c>
      <c r="L26" s="109">
        <v>14.429</v>
      </c>
      <c r="M26" s="111">
        <f t="shared" si="1"/>
        <v>2.6692400703151189</v>
      </c>
      <c r="N26" s="112">
        <v>0.34329999999999999</v>
      </c>
      <c r="O26" s="113">
        <f t="shared" si="2"/>
        <v>-1.0691505785184907</v>
      </c>
      <c r="P26" s="109">
        <v>599</v>
      </c>
      <c r="Q26" s="111">
        <f t="shared" si="3"/>
        <v>6.3952615981154493</v>
      </c>
      <c r="R26" s="93">
        <v>25</v>
      </c>
      <c r="S26" s="114">
        <v>84</v>
      </c>
      <c r="T26" s="113">
        <f t="shared" si="4"/>
        <v>4.4308167988433134</v>
      </c>
      <c r="U26" s="112">
        <v>1.8</v>
      </c>
      <c r="V26" s="113">
        <f t="shared" si="5"/>
        <v>0.58778666490211906</v>
      </c>
      <c r="W26" s="115">
        <v>1490</v>
      </c>
      <c r="X26" s="101">
        <f t="shared" si="6"/>
        <v>7.3065313989395051</v>
      </c>
      <c r="Y26" s="116">
        <v>591</v>
      </c>
      <c r="Z26" s="102">
        <v>50643</v>
      </c>
      <c r="AA26" s="235">
        <v>0</v>
      </c>
      <c r="AB26" s="117">
        <v>0</v>
      </c>
      <c r="AC26" s="115">
        <v>99</v>
      </c>
      <c r="AD26" s="117">
        <f t="shared" si="8"/>
        <v>4.5951198501345898</v>
      </c>
      <c r="AE26" s="109">
        <v>7807.1646000000001</v>
      </c>
      <c r="AF26" s="111">
        <f t="shared" si="9"/>
        <v>8.9627971295409186</v>
      </c>
      <c r="AG26" s="118">
        <v>15.2</v>
      </c>
      <c r="AH26" s="119">
        <v>14.429</v>
      </c>
      <c r="AI26" s="120">
        <f t="shared" si="10"/>
        <v>2.6692400703151189</v>
      </c>
      <c r="AJ26" s="121">
        <v>599</v>
      </c>
      <c r="AK26" s="120">
        <f t="shared" si="11"/>
        <v>6.3952615981154493</v>
      </c>
      <c r="AL26" s="108">
        <v>25</v>
      </c>
      <c r="AM26" s="119">
        <v>7807.16</v>
      </c>
      <c r="AN26" s="120">
        <f t="shared" si="12"/>
        <v>8.9627965403383598</v>
      </c>
      <c r="AO26" s="96">
        <v>109.40900000000001</v>
      </c>
      <c r="AP26" s="94">
        <v>67.298199999999994</v>
      </c>
      <c r="AQ26" s="95">
        <v>4.20913</v>
      </c>
      <c r="AR26" s="94">
        <v>15.6</v>
      </c>
      <c r="AS26" s="95">
        <f t="shared" si="13"/>
        <v>2.7472709142554912</v>
      </c>
      <c r="AT26" s="96">
        <v>72.974999999999994</v>
      </c>
    </row>
    <row r="27" spans="1:46">
      <c r="A27" s="109">
        <v>3</v>
      </c>
      <c r="B27" s="110" t="s">
        <v>48</v>
      </c>
      <c r="C27" s="110" t="s">
        <v>47</v>
      </c>
      <c r="D27" s="111">
        <v>2013</v>
      </c>
      <c r="E27" s="109">
        <v>17</v>
      </c>
      <c r="F27" s="111">
        <f t="shared" si="0"/>
        <v>2.8332133440562162</v>
      </c>
      <c r="G27" s="93">
        <v>3.5612599999999999</v>
      </c>
      <c r="H27" s="93">
        <v>2000000000</v>
      </c>
      <c r="I27" s="94">
        <v>6700.54</v>
      </c>
      <c r="J27" s="95">
        <v>8.8099399999999992</v>
      </c>
      <c r="K27" s="96">
        <v>0.37</v>
      </c>
      <c r="L27" s="109">
        <v>15.289</v>
      </c>
      <c r="M27" s="111">
        <f t="shared" si="1"/>
        <v>2.7271336155784764</v>
      </c>
      <c r="N27" s="112">
        <v>0.35360000000000003</v>
      </c>
      <c r="O27" s="113">
        <f t="shared" si="2"/>
        <v>-1.0395889482186487</v>
      </c>
      <c r="P27" s="109">
        <v>598</v>
      </c>
      <c r="Q27" s="111">
        <f t="shared" si="3"/>
        <v>6.3935907539506314</v>
      </c>
      <c r="R27" s="93">
        <v>28.5</v>
      </c>
      <c r="S27" s="114">
        <v>83.5</v>
      </c>
      <c r="T27" s="113">
        <f t="shared" si="4"/>
        <v>4.42484663185681</v>
      </c>
      <c r="U27" s="112">
        <v>2.5</v>
      </c>
      <c r="V27" s="113">
        <f t="shared" si="5"/>
        <v>0.91629073187415511</v>
      </c>
      <c r="W27" s="115">
        <v>780.6</v>
      </c>
      <c r="X27" s="101">
        <f t="shared" si="6"/>
        <v>6.6600628547465144</v>
      </c>
      <c r="Y27" s="116">
        <v>572</v>
      </c>
      <c r="Z27" s="102">
        <v>49110</v>
      </c>
      <c r="AA27" s="235">
        <v>0</v>
      </c>
      <c r="AB27" s="117">
        <v>0</v>
      </c>
      <c r="AC27" s="115">
        <v>100</v>
      </c>
      <c r="AD27" s="117">
        <f t="shared" si="8"/>
        <v>4.6051701859880918</v>
      </c>
      <c r="AE27" s="109">
        <v>8344.7471000000005</v>
      </c>
      <c r="AF27" s="111">
        <f t="shared" si="9"/>
        <v>9.029387530064513</v>
      </c>
      <c r="AG27" s="118">
        <v>15.7</v>
      </c>
      <c r="AH27" s="119">
        <v>15.289</v>
      </c>
      <c r="AI27" s="120">
        <f t="shared" si="10"/>
        <v>2.7271336155784764</v>
      </c>
      <c r="AJ27" s="121">
        <v>598</v>
      </c>
      <c r="AK27" s="120">
        <f t="shared" si="11"/>
        <v>6.3935907539506314</v>
      </c>
      <c r="AL27" s="108">
        <v>28.5</v>
      </c>
      <c r="AM27" s="119">
        <v>8344.75</v>
      </c>
      <c r="AN27" s="120">
        <f t="shared" si="12"/>
        <v>9.0293878775884657</v>
      </c>
      <c r="AO27" s="96">
        <v>114.377</v>
      </c>
      <c r="AP27" s="94">
        <v>66.922600000000003</v>
      </c>
      <c r="AQ27" s="95">
        <v>4.2035400000000003</v>
      </c>
      <c r="AR27" s="94">
        <v>18.2</v>
      </c>
      <c r="AS27" s="95">
        <f t="shared" si="13"/>
        <v>2.9014215940827497</v>
      </c>
      <c r="AT27" s="96">
        <v>73.313000000000002</v>
      </c>
    </row>
    <row r="28" spans="1:46">
      <c r="A28" s="109">
        <v>3</v>
      </c>
      <c r="B28" s="110" t="s">
        <v>48</v>
      </c>
      <c r="C28" s="110" t="s">
        <v>47</v>
      </c>
      <c r="D28" s="111">
        <v>2014</v>
      </c>
      <c r="E28" s="109">
        <v>17.100000000000001</v>
      </c>
      <c r="F28" s="111">
        <f t="shared" si="0"/>
        <v>2.8390784635086144</v>
      </c>
      <c r="G28" s="93">
        <v>1.9133</v>
      </c>
      <c r="H28" s="93">
        <v>1100000000</v>
      </c>
      <c r="I28" s="94">
        <v>6802.71</v>
      </c>
      <c r="J28" s="95">
        <v>8.8250799999999998</v>
      </c>
      <c r="K28" s="96">
        <v>0.35</v>
      </c>
      <c r="L28" s="109">
        <v>16.566998999999999</v>
      </c>
      <c r="M28" s="111">
        <f t="shared" si="1"/>
        <v>2.80741270459544</v>
      </c>
      <c r="N28" s="112">
        <v>0.32569999999999999</v>
      </c>
      <c r="O28" s="113">
        <f t="shared" si="2"/>
        <v>-1.1217785666999494</v>
      </c>
      <c r="P28" s="109">
        <v>554</v>
      </c>
      <c r="Q28" s="111">
        <f t="shared" si="3"/>
        <v>6.3171646867472839</v>
      </c>
      <c r="R28" s="93">
        <v>23.1</v>
      </c>
      <c r="S28" s="114">
        <v>84.9</v>
      </c>
      <c r="T28" s="113">
        <f t="shared" si="4"/>
        <v>4.4414740933173018</v>
      </c>
      <c r="U28" s="112">
        <v>2.7</v>
      </c>
      <c r="V28" s="113">
        <f t="shared" si="5"/>
        <v>0.99325177301028345</v>
      </c>
      <c r="W28" s="115">
        <v>1120.4000000000001</v>
      </c>
      <c r="X28" s="101">
        <f t="shared" si="6"/>
        <v>7.0214410433859538</v>
      </c>
      <c r="Y28" s="116">
        <v>654</v>
      </c>
      <c r="Z28" s="102">
        <v>48335</v>
      </c>
      <c r="AA28" s="235">
        <v>0.21</v>
      </c>
      <c r="AB28" s="117">
        <f t="shared" si="7"/>
        <v>-1.5606477482646683</v>
      </c>
      <c r="AC28" s="115">
        <v>104</v>
      </c>
      <c r="AD28" s="117">
        <f t="shared" si="8"/>
        <v>4.6443908991413725</v>
      </c>
      <c r="AE28" s="109">
        <v>8137.8334999999997</v>
      </c>
      <c r="AF28" s="111">
        <f t="shared" si="9"/>
        <v>9.0042792687799587</v>
      </c>
      <c r="AG28" s="118">
        <v>14.5</v>
      </c>
      <c r="AH28" s="119">
        <v>16.567</v>
      </c>
      <c r="AI28" s="120">
        <f t="shared" si="10"/>
        <v>2.8074127649564002</v>
      </c>
      <c r="AJ28" s="121">
        <v>554</v>
      </c>
      <c r="AK28" s="120">
        <f t="shared" si="11"/>
        <v>6.3171646867472839</v>
      </c>
      <c r="AL28" s="108">
        <v>23.1</v>
      </c>
      <c r="AM28" s="119">
        <v>8137.83</v>
      </c>
      <c r="AN28" s="120">
        <f t="shared" si="12"/>
        <v>9.0042788386899666</v>
      </c>
      <c r="AO28" s="96">
        <v>111.789</v>
      </c>
      <c r="AP28" s="94">
        <v>66.543300000000002</v>
      </c>
      <c r="AQ28" s="95">
        <v>4.1978499999999999</v>
      </c>
      <c r="AR28" s="94">
        <v>17.100000000000001</v>
      </c>
      <c r="AS28" s="95">
        <f t="shared" si="13"/>
        <v>2.8390784635086144</v>
      </c>
      <c r="AT28" s="96">
        <v>73.650999999999996</v>
      </c>
    </row>
    <row r="29" spans="1:46">
      <c r="A29" s="109">
        <v>3</v>
      </c>
      <c r="B29" s="110" t="s">
        <v>48</v>
      </c>
      <c r="C29" s="110" t="s">
        <v>47</v>
      </c>
      <c r="D29" s="111">
        <v>2015</v>
      </c>
      <c r="E29" s="109">
        <v>17.899999999999999</v>
      </c>
      <c r="F29" s="111">
        <f t="shared" si="0"/>
        <v>2.884800712846709</v>
      </c>
      <c r="G29" s="93">
        <v>4.3717800000000002</v>
      </c>
      <c r="H29" s="93">
        <v>2200000000</v>
      </c>
      <c r="I29" s="94">
        <v>7078.86</v>
      </c>
      <c r="J29" s="95">
        <v>8.8648699999999998</v>
      </c>
      <c r="K29" s="96">
        <v>0.36</v>
      </c>
      <c r="L29" s="109">
        <v>17.585999999999999</v>
      </c>
      <c r="M29" s="111">
        <f t="shared" si="1"/>
        <v>2.8671031309568105</v>
      </c>
      <c r="N29" s="112">
        <v>0.29949999999999999</v>
      </c>
      <c r="O29" s="113">
        <f t="shared" si="2"/>
        <v>-1.205640861426633</v>
      </c>
      <c r="P29" s="109">
        <v>508</v>
      </c>
      <c r="Q29" s="111">
        <f t="shared" si="3"/>
        <v>6.230481447578482</v>
      </c>
      <c r="R29" s="93">
        <v>29.4</v>
      </c>
      <c r="S29" s="114">
        <v>85.6</v>
      </c>
      <c r="T29" s="113">
        <f t="shared" si="4"/>
        <v>4.4496852831476961</v>
      </c>
      <c r="U29" s="112">
        <v>3.1</v>
      </c>
      <c r="V29" s="113">
        <f t="shared" si="5"/>
        <v>1.1314021114911006</v>
      </c>
      <c r="W29" s="115">
        <v>1763.9</v>
      </c>
      <c r="X29" s="101">
        <f t="shared" si="6"/>
        <v>7.4752825456174312</v>
      </c>
      <c r="Y29" s="116">
        <v>711</v>
      </c>
      <c r="Z29" s="102">
        <v>48132</v>
      </c>
      <c r="AA29" s="235">
        <v>7.0000000000000007E-2</v>
      </c>
      <c r="AB29" s="117">
        <f t="shared" si="7"/>
        <v>-2.6592600369327779</v>
      </c>
      <c r="AC29" s="115">
        <v>110</v>
      </c>
      <c r="AD29" s="117">
        <f t="shared" si="8"/>
        <v>4.7004803657924166</v>
      </c>
      <c r="AE29" s="109">
        <v>8492.9014000000006</v>
      </c>
      <c r="AF29" s="111">
        <f t="shared" si="9"/>
        <v>9.0469859641518031</v>
      </c>
      <c r="AG29" s="118">
        <v>14.1</v>
      </c>
      <c r="AH29" s="119">
        <v>17.585999999999999</v>
      </c>
      <c r="AI29" s="120">
        <f t="shared" si="10"/>
        <v>2.8671031309568105</v>
      </c>
      <c r="AJ29" s="121">
        <v>508</v>
      </c>
      <c r="AK29" s="120">
        <f t="shared" si="11"/>
        <v>6.230481447578482</v>
      </c>
      <c r="AL29" s="108">
        <v>29.4</v>
      </c>
      <c r="AM29" s="119">
        <v>8492.9</v>
      </c>
      <c r="AN29" s="120">
        <f t="shared" si="12"/>
        <v>9.0469857993082421</v>
      </c>
      <c r="AO29" s="96">
        <v>107.408</v>
      </c>
      <c r="AP29" s="94">
        <v>66.12</v>
      </c>
      <c r="AQ29" s="95">
        <v>4.1914699999999998</v>
      </c>
      <c r="AR29" s="94">
        <v>17.899999999999999</v>
      </c>
      <c r="AS29" s="95">
        <f t="shared" si="13"/>
        <v>2.884800712846709</v>
      </c>
      <c r="AT29" s="96">
        <v>73.989999999999995</v>
      </c>
    </row>
    <row r="30" spans="1:46">
      <c r="A30" s="109">
        <v>3</v>
      </c>
      <c r="B30" s="110" t="s">
        <v>48</v>
      </c>
      <c r="C30" s="110" t="s">
        <v>47</v>
      </c>
      <c r="D30" s="111">
        <v>2016</v>
      </c>
      <c r="E30" s="109">
        <v>17.2</v>
      </c>
      <c r="F30" s="111">
        <f t="shared" si="0"/>
        <v>2.8449093838194073</v>
      </c>
      <c r="G30" s="93">
        <v>2.7581799999999999</v>
      </c>
      <c r="H30" s="93">
        <v>1500000000</v>
      </c>
      <c r="I30" s="94">
        <v>7344.44</v>
      </c>
      <c r="J30" s="95">
        <v>8.9016999999999999</v>
      </c>
      <c r="K30" s="96">
        <v>0.37</v>
      </c>
      <c r="L30" s="109">
        <v>17.524000000000001</v>
      </c>
      <c r="M30" s="111">
        <f t="shared" si="1"/>
        <v>2.8635713699516523</v>
      </c>
      <c r="N30" s="112">
        <v>0.3498</v>
      </c>
      <c r="O30" s="113">
        <f t="shared" si="2"/>
        <v>-1.0503937163976353</v>
      </c>
      <c r="P30" s="109">
        <v>460</v>
      </c>
      <c r="Q30" s="111">
        <f t="shared" si="3"/>
        <v>6.131226489483141</v>
      </c>
      <c r="R30" s="93">
        <v>31.799999</v>
      </c>
      <c r="S30" s="114">
        <v>81.5</v>
      </c>
      <c r="T30" s="113">
        <f t="shared" si="4"/>
        <v>4.4006030202468169</v>
      </c>
      <c r="U30" s="112">
        <v>4.3</v>
      </c>
      <c r="V30" s="113">
        <f t="shared" si="5"/>
        <v>1.4586150226995167</v>
      </c>
      <c r="W30" s="115">
        <v>2970.3</v>
      </c>
      <c r="X30" s="101">
        <f t="shared" si="6"/>
        <v>7.996418236796579</v>
      </c>
      <c r="Y30" s="116">
        <v>730</v>
      </c>
      <c r="Z30" s="102">
        <v>51013</v>
      </c>
      <c r="AA30" s="235">
        <v>0.05</v>
      </c>
      <c r="AB30" s="117">
        <f t="shared" si="7"/>
        <v>-2.9957322735539909</v>
      </c>
      <c r="AC30" s="115">
        <v>112</v>
      </c>
      <c r="AD30" s="117">
        <f t="shared" si="8"/>
        <v>4.7184988712950942</v>
      </c>
      <c r="AE30" s="109">
        <v>7944.9813999999997</v>
      </c>
      <c r="AF30" s="111">
        <f t="shared" si="9"/>
        <v>8.9802957378730479</v>
      </c>
      <c r="AG30" s="118">
        <v>16.100000000000001</v>
      </c>
      <c r="AH30" s="119">
        <v>17.524000000000001</v>
      </c>
      <c r="AI30" s="120">
        <f t="shared" si="10"/>
        <v>2.8635713699516523</v>
      </c>
      <c r="AJ30" s="121">
        <v>460</v>
      </c>
      <c r="AK30" s="120">
        <f t="shared" si="11"/>
        <v>6.131226489483141</v>
      </c>
      <c r="AL30" s="108">
        <v>31.8</v>
      </c>
      <c r="AM30" s="119">
        <v>7944.98</v>
      </c>
      <c r="AN30" s="120">
        <f t="shared" si="12"/>
        <v>8.9802955616611655</v>
      </c>
      <c r="AO30" s="96">
        <v>102.855</v>
      </c>
      <c r="AP30" s="94">
        <v>65.657899999999998</v>
      </c>
      <c r="AQ30" s="95">
        <v>4.1844599999999996</v>
      </c>
      <c r="AR30" s="94">
        <v>17.7</v>
      </c>
      <c r="AS30" s="95">
        <f t="shared" si="13"/>
        <v>2.8735646395797834</v>
      </c>
      <c r="AT30" s="96">
        <v>74.328999999999994</v>
      </c>
    </row>
    <row r="31" spans="1:46">
      <c r="A31" s="109">
        <v>3</v>
      </c>
      <c r="B31" s="110" t="s">
        <v>48</v>
      </c>
      <c r="C31" s="110" t="s">
        <v>47</v>
      </c>
      <c r="D31" s="111">
        <v>2017</v>
      </c>
      <c r="E31" s="109">
        <v>17.899999999999999</v>
      </c>
      <c r="F31" s="111">
        <f t="shared" si="0"/>
        <v>2.884800712846709</v>
      </c>
      <c r="G31" s="93">
        <v>3.38442</v>
      </c>
      <c r="H31" s="93">
        <v>2000000000</v>
      </c>
      <c r="I31" s="94">
        <v>7601.44</v>
      </c>
      <c r="J31" s="95">
        <v>8.9360900000000001</v>
      </c>
      <c r="K31" s="96">
        <v>0.37</v>
      </c>
      <c r="L31" s="109">
        <v>17.308001000000001</v>
      </c>
      <c r="M31" s="111">
        <f t="shared" si="1"/>
        <v>2.8511688801393875</v>
      </c>
      <c r="N31" s="112">
        <v>0.3483</v>
      </c>
      <c r="O31" s="113">
        <f t="shared" si="2"/>
        <v>-1.0546911016101816</v>
      </c>
      <c r="P31" s="109">
        <v>438</v>
      </c>
      <c r="Q31" s="111">
        <f t="shared" si="3"/>
        <v>6.0822189103764464</v>
      </c>
      <c r="R31" s="93">
        <v>34.599997999999999</v>
      </c>
      <c r="S31" s="114">
        <v>83.7</v>
      </c>
      <c r="T31" s="113">
        <f t="shared" si="4"/>
        <v>4.4272389774954295</v>
      </c>
      <c r="U31" s="112">
        <v>3.4</v>
      </c>
      <c r="V31" s="113">
        <f t="shared" si="5"/>
        <v>1.2237754316221157</v>
      </c>
      <c r="W31" s="115">
        <v>2539.8000000000002</v>
      </c>
      <c r="X31" s="101">
        <f t="shared" si="6"/>
        <v>7.839840616754933</v>
      </c>
      <c r="Y31" s="116">
        <v>885</v>
      </c>
      <c r="Z31" s="102">
        <v>51855</v>
      </c>
      <c r="AA31" s="235">
        <v>0.03</v>
      </c>
      <c r="AB31" s="117">
        <f t="shared" si="7"/>
        <v>-3.5065578973199818</v>
      </c>
      <c r="AC31" s="115">
        <v>112</v>
      </c>
      <c r="AD31" s="117">
        <f t="shared" si="8"/>
        <v>4.7184988712950942</v>
      </c>
      <c r="AE31" s="109">
        <v>7863.5249000000003</v>
      </c>
      <c r="AF31" s="111">
        <f t="shared" si="9"/>
        <v>8.9699902454546656</v>
      </c>
      <c r="AG31" s="118">
        <v>16.8</v>
      </c>
      <c r="AH31" s="119">
        <v>17.308</v>
      </c>
      <c r="AI31" s="120">
        <f t="shared" si="10"/>
        <v>2.8511688223626384</v>
      </c>
      <c r="AJ31" s="121">
        <v>438</v>
      </c>
      <c r="AK31" s="120">
        <f t="shared" si="11"/>
        <v>6.0822189103764464</v>
      </c>
      <c r="AL31" s="108">
        <v>34.6</v>
      </c>
      <c r="AM31" s="119">
        <v>7863.52</v>
      </c>
      <c r="AN31" s="120">
        <f t="shared" si="12"/>
        <v>8.9699896223242526</v>
      </c>
      <c r="AO31" s="96">
        <v>110.643</v>
      </c>
      <c r="AP31" s="94">
        <v>65.180099999999996</v>
      </c>
      <c r="AQ31" s="95">
        <v>4.1771500000000001</v>
      </c>
      <c r="AR31" s="94">
        <v>17.100000000000001</v>
      </c>
      <c r="AS31" s="95">
        <f t="shared" si="13"/>
        <v>2.8390784635086144</v>
      </c>
      <c r="AT31" s="96">
        <v>74.668999999999997</v>
      </c>
    </row>
    <row r="32" spans="1:46">
      <c r="A32" s="109">
        <v>3</v>
      </c>
      <c r="B32" s="110" t="s">
        <v>48</v>
      </c>
      <c r="C32" s="110" t="s">
        <v>47</v>
      </c>
      <c r="D32" s="111">
        <v>2018</v>
      </c>
      <c r="E32" s="109">
        <v>18.3</v>
      </c>
      <c r="F32" s="111">
        <f t="shared" si="0"/>
        <v>2.9069010598473755</v>
      </c>
      <c r="G32" s="93">
        <v>2.7302499999999998</v>
      </c>
      <c r="H32" s="93">
        <v>1800000000</v>
      </c>
      <c r="I32" s="94">
        <v>7851.73</v>
      </c>
      <c r="J32" s="95">
        <v>8.9684899999999992</v>
      </c>
      <c r="K32" s="96">
        <v>0.37</v>
      </c>
      <c r="L32" s="109">
        <v>19.405999999999999</v>
      </c>
      <c r="M32" s="111">
        <f t="shared" si="1"/>
        <v>2.9655822966031078</v>
      </c>
      <c r="N32" s="112">
        <v>0.34870000000000001</v>
      </c>
      <c r="O32" s="113">
        <f t="shared" si="2"/>
        <v>-1.0535433253005315</v>
      </c>
      <c r="P32" s="109">
        <v>451</v>
      </c>
      <c r="Q32" s="111">
        <f t="shared" si="3"/>
        <v>6.1114673395026786</v>
      </c>
      <c r="R32" s="93">
        <v>31.5</v>
      </c>
      <c r="S32" s="114">
        <v>81</v>
      </c>
      <c r="T32" s="113">
        <f t="shared" si="4"/>
        <v>4.3944491546724391</v>
      </c>
      <c r="U32" s="112">
        <v>2.4</v>
      </c>
      <c r="V32" s="113">
        <f t="shared" si="5"/>
        <v>0.87546873735389985</v>
      </c>
      <c r="W32" s="115">
        <v>2798.1</v>
      </c>
      <c r="X32" s="101">
        <f t="shared" si="6"/>
        <v>7.9366958944009278</v>
      </c>
      <c r="Y32" s="116">
        <v>909</v>
      </c>
      <c r="Z32" s="102">
        <v>52418</v>
      </c>
      <c r="AA32" s="235">
        <v>7.0000000000000007E-2</v>
      </c>
      <c r="AB32" s="117">
        <f t="shared" si="7"/>
        <v>-2.6592600369327779</v>
      </c>
      <c r="AC32" s="115">
        <v>117</v>
      </c>
      <c r="AD32" s="117">
        <f t="shared" si="8"/>
        <v>4.7621739347977563</v>
      </c>
      <c r="AE32" s="109">
        <v>6967.8842999999997</v>
      </c>
      <c r="AF32" s="111">
        <f t="shared" si="9"/>
        <v>8.8490669139168716</v>
      </c>
      <c r="AG32" s="118">
        <v>15.7</v>
      </c>
      <c r="AH32" s="119">
        <v>19.405999999999999</v>
      </c>
      <c r="AI32" s="120">
        <f t="shared" si="10"/>
        <v>2.9655822966031078</v>
      </c>
      <c r="AJ32" s="121">
        <v>451</v>
      </c>
      <c r="AK32" s="120">
        <f t="shared" si="11"/>
        <v>6.1114673395026786</v>
      </c>
      <c r="AL32" s="108">
        <v>31.5</v>
      </c>
      <c r="AM32" s="119">
        <v>6967.88</v>
      </c>
      <c r="AN32" s="120">
        <f t="shared" si="12"/>
        <v>8.8490662967996592</v>
      </c>
      <c r="AO32" s="96">
        <v>107.82</v>
      </c>
      <c r="AP32" s="94">
        <v>64.711100000000002</v>
      </c>
      <c r="AQ32" s="95">
        <v>4.1699299999999999</v>
      </c>
      <c r="AR32" s="94">
        <v>19.600000000000001</v>
      </c>
      <c r="AS32" s="95">
        <f t="shared" si="13"/>
        <v>2.9755295662364718</v>
      </c>
      <c r="AT32" s="96">
        <v>75.007999999999996</v>
      </c>
    </row>
    <row r="33" spans="1:46">
      <c r="A33" s="109">
        <v>3</v>
      </c>
      <c r="B33" s="110" t="s">
        <v>48</v>
      </c>
      <c r="C33" s="110" t="s">
        <v>47</v>
      </c>
      <c r="D33" s="111">
        <v>2019</v>
      </c>
      <c r="E33" s="109">
        <v>18.8</v>
      </c>
      <c r="F33" s="111">
        <f t="shared" si="0"/>
        <v>2.9338568698359038</v>
      </c>
      <c r="G33" s="93">
        <v>3.2364799999999998</v>
      </c>
      <c r="H33" s="93">
        <v>2200000000</v>
      </c>
      <c r="I33" s="94">
        <v>8206.7800000000007</v>
      </c>
      <c r="J33" s="95">
        <v>9.0127199999999998</v>
      </c>
      <c r="K33" s="96">
        <v>0.37</v>
      </c>
      <c r="L33" s="109">
        <v>20.239999999999998</v>
      </c>
      <c r="M33" s="111">
        <f t="shared" si="1"/>
        <v>3.0076608444192647</v>
      </c>
      <c r="N33" s="112">
        <v>0.3599</v>
      </c>
      <c r="O33" s="113">
        <f t="shared" si="2"/>
        <v>-1.0219290638971521</v>
      </c>
      <c r="P33" s="109">
        <v>431</v>
      </c>
      <c r="Q33" s="111">
        <f t="shared" si="3"/>
        <v>6.0661080901037474</v>
      </c>
      <c r="R33" s="93">
        <v>34.599997999999999</v>
      </c>
      <c r="S33" s="114">
        <v>83</v>
      </c>
      <c r="T33" s="113">
        <f t="shared" si="4"/>
        <v>4.4188406077965983</v>
      </c>
      <c r="U33" s="112">
        <v>4</v>
      </c>
      <c r="V33" s="113">
        <f t="shared" si="5"/>
        <v>1.3862943611198906</v>
      </c>
      <c r="W33" s="115">
        <v>1686.4</v>
      </c>
      <c r="X33" s="101">
        <f t="shared" si="6"/>
        <v>7.4303513583470435</v>
      </c>
      <c r="Y33" s="116">
        <v>1023</v>
      </c>
      <c r="Z33" s="102">
        <v>53871</v>
      </c>
      <c r="AA33" s="235">
        <v>0</v>
      </c>
      <c r="AB33" s="117">
        <v>0</v>
      </c>
      <c r="AC33" s="115">
        <v>122</v>
      </c>
      <c r="AD33" s="117">
        <f t="shared" si="8"/>
        <v>4.8040210447332568</v>
      </c>
      <c r="AE33" s="109">
        <v>6072.2437</v>
      </c>
      <c r="AF33" s="111">
        <f t="shared" si="9"/>
        <v>8.7114834533161893</v>
      </c>
      <c r="AG33" s="118">
        <v>16.399999999999999</v>
      </c>
      <c r="AH33" s="119">
        <v>20.239999999999998</v>
      </c>
      <c r="AI33" s="120">
        <f t="shared" si="10"/>
        <v>3.0076608444192647</v>
      </c>
      <c r="AJ33" s="121">
        <v>431</v>
      </c>
      <c r="AK33" s="120">
        <f t="shared" si="11"/>
        <v>6.0661080901037474</v>
      </c>
      <c r="AL33" s="108">
        <v>34.6</v>
      </c>
      <c r="AM33" s="119">
        <v>0</v>
      </c>
      <c r="AN33" s="120">
        <v>0</v>
      </c>
      <c r="AO33" s="96">
        <v>103.455</v>
      </c>
      <c r="AP33" s="94">
        <v>64.257199999999997</v>
      </c>
      <c r="AQ33" s="95">
        <v>4.16289</v>
      </c>
      <c r="AR33" s="94">
        <v>19.3</v>
      </c>
      <c r="AS33" s="95">
        <f t="shared" si="13"/>
        <v>2.9601050959108397</v>
      </c>
      <c r="AT33" s="96">
        <v>75.346999999999994</v>
      </c>
    </row>
    <row r="34" spans="1:46">
      <c r="A34" s="109">
        <v>3</v>
      </c>
      <c r="B34" s="110" t="s">
        <v>48</v>
      </c>
      <c r="C34" s="110" t="s">
        <v>47</v>
      </c>
      <c r="D34" s="111">
        <v>2020</v>
      </c>
      <c r="E34" s="109">
        <v>19.3</v>
      </c>
      <c r="F34" s="111">
        <f t="shared" si="0"/>
        <v>2.9601050959108397</v>
      </c>
      <c r="G34" s="93">
        <v>4.6815699999999998</v>
      </c>
      <c r="H34" s="93">
        <v>3300000000</v>
      </c>
      <c r="I34" s="94">
        <v>7990.69</v>
      </c>
      <c r="J34" s="95">
        <v>8.9860299999999995</v>
      </c>
      <c r="K34" s="96">
        <v>0.38</v>
      </c>
      <c r="L34" s="109">
        <v>21.073999000000001</v>
      </c>
      <c r="M34" s="111">
        <f t="shared" si="1"/>
        <v>3.0480400057254982</v>
      </c>
      <c r="N34" s="112">
        <v>0.35120000000000001</v>
      </c>
      <c r="O34" s="113">
        <f t="shared" si="2"/>
        <v>-1.0463994172211755</v>
      </c>
      <c r="P34" s="109">
        <v>418</v>
      </c>
      <c r="Q34" s="111">
        <f t="shared" si="3"/>
        <v>6.0354814325247563</v>
      </c>
      <c r="R34" s="93">
        <v>35.200001</v>
      </c>
      <c r="S34" s="114">
        <v>83.6</v>
      </c>
      <c r="T34" s="113">
        <f t="shared" si="4"/>
        <v>4.4260435200906558</v>
      </c>
      <c r="U34" s="112">
        <v>5.8</v>
      </c>
      <c r="V34" s="113">
        <f t="shared" si="5"/>
        <v>1.7578579175523736</v>
      </c>
      <c r="W34" s="115">
        <v>2309.1999999999998</v>
      </c>
      <c r="X34" s="101">
        <f t="shared" si="6"/>
        <v>7.744656423186778</v>
      </c>
      <c r="Y34" s="116">
        <v>955</v>
      </c>
      <c r="Z34" s="102">
        <v>51751</v>
      </c>
      <c r="AA34" s="235">
        <v>0</v>
      </c>
      <c r="AB34" s="117">
        <v>0</v>
      </c>
      <c r="AC34" s="115">
        <v>117</v>
      </c>
      <c r="AD34" s="117">
        <f t="shared" si="8"/>
        <v>4.7621739347977563</v>
      </c>
      <c r="AE34" s="109">
        <v>5176.6030000000001</v>
      </c>
      <c r="AF34" s="111">
        <f t="shared" si="9"/>
        <v>8.551904328622431</v>
      </c>
      <c r="AG34" s="118">
        <v>16</v>
      </c>
      <c r="AH34" s="119">
        <v>0</v>
      </c>
      <c r="AI34" s="120">
        <v>0</v>
      </c>
      <c r="AJ34" s="121">
        <v>418</v>
      </c>
      <c r="AK34" s="120">
        <f t="shared" si="11"/>
        <v>6.0354814325247563</v>
      </c>
      <c r="AL34" s="108">
        <v>35.200000000000003</v>
      </c>
      <c r="AM34" s="119">
        <v>0</v>
      </c>
      <c r="AN34" s="120">
        <v>0</v>
      </c>
      <c r="AO34" s="96">
        <v>94.758200000000002</v>
      </c>
      <c r="AP34" s="94">
        <v>63.872700000000002</v>
      </c>
      <c r="AQ34" s="95">
        <v>4.1568899999999998</v>
      </c>
      <c r="AR34" s="94">
        <v>21.1</v>
      </c>
      <c r="AS34" s="95">
        <f t="shared" si="13"/>
        <v>3.0492730404820207</v>
      </c>
      <c r="AT34" s="96">
        <v>75.686000000000007</v>
      </c>
    </row>
    <row r="35" spans="1:46">
      <c r="A35" s="109">
        <v>4</v>
      </c>
      <c r="B35" s="110" t="s">
        <v>46</v>
      </c>
      <c r="C35" s="110" t="s">
        <v>45</v>
      </c>
      <c r="D35" s="111">
        <v>2010</v>
      </c>
      <c r="E35" s="109">
        <v>17.5</v>
      </c>
      <c r="F35" s="111">
        <f t="shared" si="0"/>
        <v>2.8622008809294686</v>
      </c>
      <c r="G35" s="93">
        <v>120.279</v>
      </c>
      <c r="H35" s="93">
        <v>31000000000</v>
      </c>
      <c r="I35" s="94">
        <v>26090</v>
      </c>
      <c r="J35" s="95">
        <v>10.1693</v>
      </c>
      <c r="K35" s="96">
        <v>0.61</v>
      </c>
      <c r="L35" s="109">
        <v>31.122999</v>
      </c>
      <c r="M35" s="111">
        <f t="shared" si="1"/>
        <v>3.4379470635616087</v>
      </c>
      <c r="N35" s="112">
        <v>0.84560000000000002</v>
      </c>
      <c r="O35" s="113">
        <f t="shared" si="2"/>
        <v>-0.16770884442610914</v>
      </c>
      <c r="P35" s="109">
        <v>684</v>
      </c>
      <c r="Q35" s="111">
        <f t="shared" si="3"/>
        <v>6.5279579176225502</v>
      </c>
      <c r="R35" s="93">
        <v>11.2</v>
      </c>
      <c r="S35" s="114">
        <v>71.599999999999994</v>
      </c>
      <c r="T35" s="113">
        <f t="shared" si="4"/>
        <v>4.2710950739665998</v>
      </c>
      <c r="U35" s="112">
        <v>2</v>
      </c>
      <c r="V35" s="113">
        <f t="shared" si="5"/>
        <v>0.69314718055994529</v>
      </c>
      <c r="W35" s="115">
        <v>17.600000000000001</v>
      </c>
      <c r="X35" s="101">
        <f t="shared" si="6"/>
        <v>2.8678989020441064</v>
      </c>
      <c r="Y35" s="116">
        <v>269</v>
      </c>
      <c r="Z35" s="102">
        <v>6003</v>
      </c>
      <c r="AA35" s="235">
        <v>0</v>
      </c>
      <c r="AB35" s="117">
        <v>0</v>
      </c>
      <c r="AC35" s="115">
        <v>100</v>
      </c>
      <c r="AD35" s="117">
        <f t="shared" si="8"/>
        <v>4.6051701859880918</v>
      </c>
      <c r="AE35" s="109">
        <v>8046.9683000000005</v>
      </c>
      <c r="AF35" s="111">
        <f t="shared" si="9"/>
        <v>8.9930506907820913</v>
      </c>
      <c r="AG35" s="118">
        <v>24.7</v>
      </c>
      <c r="AH35" s="119">
        <v>31.123000000000001</v>
      </c>
      <c r="AI35" s="120">
        <f t="shared" si="10"/>
        <v>3.4379470956921878</v>
      </c>
      <c r="AJ35" s="121">
        <v>684</v>
      </c>
      <c r="AK35" s="120">
        <f t="shared" si="11"/>
        <v>6.5279579176225502</v>
      </c>
      <c r="AL35" s="108">
        <v>11.2</v>
      </c>
      <c r="AM35" s="119">
        <v>8046.97</v>
      </c>
      <c r="AN35" s="120">
        <f t="shared" si="12"/>
        <v>8.9930509020417553</v>
      </c>
      <c r="AO35" s="96">
        <v>38.647399999999998</v>
      </c>
      <c r="AP35" s="94">
        <v>122.05800000000001</v>
      </c>
      <c r="AQ35" s="95">
        <v>4.8045</v>
      </c>
      <c r="AR35" s="94">
        <v>6.5</v>
      </c>
      <c r="AS35" s="95">
        <f t="shared" si="13"/>
        <v>1.8718021769015913</v>
      </c>
      <c r="AT35" s="96">
        <v>67.551000000000002</v>
      </c>
    </row>
    <row r="36" spans="1:46">
      <c r="A36" s="109">
        <v>4</v>
      </c>
      <c r="B36" s="110" t="s">
        <v>46</v>
      </c>
      <c r="C36" s="110" t="s">
        <v>45</v>
      </c>
      <c r="D36" s="111">
        <v>2011</v>
      </c>
      <c r="E36" s="109">
        <v>18.5</v>
      </c>
      <c r="F36" s="111">
        <f t="shared" si="0"/>
        <v>2.917770732084279</v>
      </c>
      <c r="G36" s="93">
        <v>146.32300000000001</v>
      </c>
      <c r="H36" s="93">
        <v>40000000000</v>
      </c>
      <c r="I36" s="94">
        <v>25538.799999999999</v>
      </c>
      <c r="J36" s="95">
        <v>10.148</v>
      </c>
      <c r="K36" s="96">
        <v>0.56999999999999995</v>
      </c>
      <c r="L36" s="109">
        <v>28.802</v>
      </c>
      <c r="M36" s="111">
        <f t="shared" si="1"/>
        <v>3.3604448291751909</v>
      </c>
      <c r="N36" s="112">
        <v>0.86499999999999999</v>
      </c>
      <c r="O36" s="113">
        <f t="shared" si="2"/>
        <v>-0.14502577205025774</v>
      </c>
      <c r="P36" s="109">
        <v>688</v>
      </c>
      <c r="Q36" s="111">
        <f t="shared" si="3"/>
        <v>6.5337888379333435</v>
      </c>
      <c r="R36" s="93">
        <v>11.2</v>
      </c>
      <c r="S36" s="114">
        <v>78.900000000000006</v>
      </c>
      <c r="T36" s="113">
        <f t="shared" si="4"/>
        <v>4.3681812278518288</v>
      </c>
      <c r="U36" s="112">
        <v>1.9</v>
      </c>
      <c r="V36" s="113">
        <f t="shared" si="5"/>
        <v>0.64185388617239469</v>
      </c>
      <c r="W36" s="115">
        <v>5.4</v>
      </c>
      <c r="X36" s="101">
        <f t="shared" si="6"/>
        <v>1.6863989535702288</v>
      </c>
      <c r="Y36" s="116">
        <v>251</v>
      </c>
      <c r="Z36" s="102">
        <v>5625</v>
      </c>
      <c r="AA36" s="235">
        <v>2.12</v>
      </c>
      <c r="AB36" s="117">
        <f t="shared" si="7"/>
        <v>0.75141608868392118</v>
      </c>
      <c r="AC36" s="115">
        <v>102</v>
      </c>
      <c r="AD36" s="117">
        <f t="shared" si="8"/>
        <v>4.6249728132842707</v>
      </c>
      <c r="AE36" s="109">
        <v>7326.9228999999996</v>
      </c>
      <c r="AF36" s="111">
        <f t="shared" si="9"/>
        <v>8.8993109113804287</v>
      </c>
      <c r="AG36" s="118">
        <v>22.5</v>
      </c>
      <c r="AH36" s="119">
        <v>28.802</v>
      </c>
      <c r="AI36" s="120">
        <f t="shared" si="10"/>
        <v>3.3604448291751909</v>
      </c>
      <c r="AJ36" s="121">
        <v>688</v>
      </c>
      <c r="AK36" s="120">
        <f t="shared" si="11"/>
        <v>6.5337888379333435</v>
      </c>
      <c r="AL36" s="108">
        <v>11.2</v>
      </c>
      <c r="AM36" s="119">
        <v>7326.92</v>
      </c>
      <c r="AN36" s="120">
        <f t="shared" si="12"/>
        <v>8.8993105155798151</v>
      </c>
      <c r="AO36" s="96">
        <v>37.971800000000002</v>
      </c>
      <c r="AP36" s="94">
        <v>124.07899999999999</v>
      </c>
      <c r="AQ36" s="95">
        <v>4.8209200000000001</v>
      </c>
      <c r="AR36" s="94">
        <v>7.6</v>
      </c>
      <c r="AS36" s="95">
        <f t="shared" si="13"/>
        <v>2.0281482472922852</v>
      </c>
      <c r="AT36" s="96">
        <v>67.406000000000006</v>
      </c>
    </row>
    <row r="37" spans="1:46">
      <c r="A37" s="109">
        <v>4</v>
      </c>
      <c r="B37" s="110" t="s">
        <v>46</v>
      </c>
      <c r="C37" s="110" t="s">
        <v>45</v>
      </c>
      <c r="D37" s="111">
        <v>2012</v>
      </c>
      <c r="E37" s="109">
        <v>20.5</v>
      </c>
      <c r="F37" s="111">
        <f t="shared" si="0"/>
        <v>3.0204248861443626</v>
      </c>
      <c r="G37" s="93">
        <v>279.36099999999999</v>
      </c>
      <c r="H37" s="93">
        <v>70000000000</v>
      </c>
      <c r="I37" s="94">
        <v>24285.5</v>
      </c>
      <c r="J37" s="95">
        <v>10.0976</v>
      </c>
      <c r="K37" s="96">
        <v>0.55000000000000004</v>
      </c>
      <c r="L37" s="109">
        <v>20.693999999999999</v>
      </c>
      <c r="M37" s="111">
        <f t="shared" si="1"/>
        <v>3.029843803182759</v>
      </c>
      <c r="N37" s="112">
        <v>1.1384000000000001</v>
      </c>
      <c r="O37" s="113">
        <f t="shared" si="2"/>
        <v>0.12962376779350562</v>
      </c>
      <c r="P37" s="109">
        <v>695</v>
      </c>
      <c r="Q37" s="111">
        <f t="shared" si="3"/>
        <v>6.543911845564792</v>
      </c>
      <c r="R37" s="93">
        <v>12.8</v>
      </c>
      <c r="S37" s="114">
        <v>86.6</v>
      </c>
      <c r="T37" s="113">
        <f t="shared" si="4"/>
        <v>4.4612998155683892</v>
      </c>
      <c r="U37" s="112">
        <v>2</v>
      </c>
      <c r="V37" s="113">
        <f t="shared" si="5"/>
        <v>0.69314718055994529</v>
      </c>
      <c r="W37" s="115">
        <v>0</v>
      </c>
      <c r="X37" s="101">
        <v>0</v>
      </c>
      <c r="Y37" s="116">
        <v>254</v>
      </c>
      <c r="Z37" s="102">
        <v>5582</v>
      </c>
      <c r="AA37" s="235">
        <v>0</v>
      </c>
      <c r="AB37" s="117">
        <v>0</v>
      </c>
      <c r="AC37" s="115">
        <v>104</v>
      </c>
      <c r="AD37" s="117">
        <f t="shared" si="8"/>
        <v>4.6443908991413725</v>
      </c>
      <c r="AE37" s="109">
        <v>7812.5293000000001</v>
      </c>
      <c r="AF37" s="111">
        <f t="shared" si="9"/>
        <v>8.9634840444376245</v>
      </c>
      <c r="AG37" s="118">
        <v>26.5</v>
      </c>
      <c r="AH37" s="119">
        <v>20.693999999999999</v>
      </c>
      <c r="AI37" s="120">
        <f t="shared" si="10"/>
        <v>3.029843803182759</v>
      </c>
      <c r="AJ37" s="121">
        <v>695</v>
      </c>
      <c r="AK37" s="120">
        <f t="shared" si="11"/>
        <v>6.543911845564792</v>
      </c>
      <c r="AL37" s="108">
        <v>12.8</v>
      </c>
      <c r="AM37" s="119">
        <v>7812.53</v>
      </c>
      <c r="AN37" s="120">
        <f t="shared" si="12"/>
        <v>8.9634841340372837</v>
      </c>
      <c r="AO37" s="96">
        <v>36.075499999999998</v>
      </c>
      <c r="AP37" s="94">
        <v>126.125</v>
      </c>
      <c r="AQ37" s="95">
        <v>4.8372799999999998</v>
      </c>
      <c r="AR37" s="94">
        <v>8.6</v>
      </c>
      <c r="AS37" s="95">
        <f t="shared" si="13"/>
        <v>2.1517622032594619</v>
      </c>
      <c r="AT37" s="96">
        <v>67.260999999999996</v>
      </c>
    </row>
    <row r="38" spans="1:46">
      <c r="A38" s="109">
        <v>4</v>
      </c>
      <c r="B38" s="110" t="s">
        <v>46</v>
      </c>
      <c r="C38" s="110" t="s">
        <v>45</v>
      </c>
      <c r="D38" s="111">
        <v>2013</v>
      </c>
      <c r="E38" s="109">
        <v>20.5</v>
      </c>
      <c r="F38" s="111">
        <f t="shared" si="0"/>
        <v>3.0204248861443626</v>
      </c>
      <c r="G38" s="93">
        <v>108.375</v>
      </c>
      <c r="H38" s="93">
        <v>26000000000</v>
      </c>
      <c r="I38" s="94">
        <v>22738.5</v>
      </c>
      <c r="J38" s="95">
        <v>10.0318</v>
      </c>
      <c r="K38" s="96">
        <v>0.49</v>
      </c>
      <c r="L38" s="109">
        <v>15.271000000000001</v>
      </c>
      <c r="M38" s="111">
        <f t="shared" si="1"/>
        <v>2.7259556049710447</v>
      </c>
      <c r="N38" s="112">
        <v>1.4731000000000001</v>
      </c>
      <c r="O38" s="113">
        <f t="shared" si="2"/>
        <v>0.38736902383875566</v>
      </c>
      <c r="P38" s="109">
        <v>704</v>
      </c>
      <c r="Q38" s="111">
        <f t="shared" si="3"/>
        <v>6.5567783561580422</v>
      </c>
      <c r="R38" s="93">
        <v>13.9</v>
      </c>
      <c r="S38" s="114">
        <v>80.3</v>
      </c>
      <c r="T38" s="113">
        <f t="shared" si="4"/>
        <v>4.3857696209527157</v>
      </c>
      <c r="U38" s="112">
        <v>2.4</v>
      </c>
      <c r="V38" s="113">
        <f t="shared" si="5"/>
        <v>0.87546873735389985</v>
      </c>
      <c r="W38" s="115">
        <v>4.5</v>
      </c>
      <c r="X38" s="101">
        <f t="shared" si="6"/>
        <v>1.5040773967762742</v>
      </c>
      <c r="Y38" s="116">
        <v>242</v>
      </c>
      <c r="Z38" s="102">
        <v>5391</v>
      </c>
      <c r="AA38" s="235">
        <v>0</v>
      </c>
      <c r="AB38" s="117">
        <v>0</v>
      </c>
      <c r="AC38" s="115">
        <v>101</v>
      </c>
      <c r="AD38" s="117">
        <f t="shared" si="8"/>
        <v>4.6151205168412597</v>
      </c>
      <c r="AE38" s="109">
        <v>7647.4579999999996</v>
      </c>
      <c r="AF38" s="111">
        <f t="shared" si="9"/>
        <v>8.9421285840191302</v>
      </c>
      <c r="AG38" s="118">
        <v>29.2</v>
      </c>
      <c r="AH38" s="119">
        <v>15.271000000000001</v>
      </c>
      <c r="AI38" s="120">
        <f t="shared" si="10"/>
        <v>2.7259556049710447</v>
      </c>
      <c r="AJ38" s="121">
        <v>704</v>
      </c>
      <c r="AK38" s="120">
        <f t="shared" si="11"/>
        <v>6.5567783561580422</v>
      </c>
      <c r="AL38" s="108">
        <v>13.9</v>
      </c>
      <c r="AM38" s="119">
        <v>7647.46</v>
      </c>
      <c r="AN38" s="120">
        <f t="shared" si="12"/>
        <v>8.9421288455439072</v>
      </c>
      <c r="AO38" s="96">
        <v>34.779200000000003</v>
      </c>
      <c r="AP38" s="94">
        <v>128.12700000000001</v>
      </c>
      <c r="AQ38" s="95">
        <v>4.8530199999999999</v>
      </c>
      <c r="AR38" s="94">
        <v>9.6999999999999993</v>
      </c>
      <c r="AS38" s="95">
        <f t="shared" si="13"/>
        <v>2.2721258855093369</v>
      </c>
      <c r="AT38" s="96">
        <v>67.137</v>
      </c>
    </row>
    <row r="39" spans="1:46">
      <c r="A39" s="109">
        <v>4</v>
      </c>
      <c r="B39" s="110" t="s">
        <v>46</v>
      </c>
      <c r="C39" s="110" t="s">
        <v>45</v>
      </c>
      <c r="D39" s="111">
        <v>2014</v>
      </c>
      <c r="E39" s="109">
        <v>20.8</v>
      </c>
      <c r="F39" s="111">
        <f t="shared" si="0"/>
        <v>3.0349529867072724</v>
      </c>
      <c r="G39" s="93">
        <v>222.76400000000001</v>
      </c>
      <c r="H39" s="93">
        <v>52000000000</v>
      </c>
      <c r="I39" s="94">
        <v>22581.8</v>
      </c>
      <c r="J39" s="95">
        <v>10.024900000000001</v>
      </c>
      <c r="K39" s="96">
        <v>0.48</v>
      </c>
      <c r="L39" s="109">
        <v>15.134</v>
      </c>
      <c r="M39" s="111">
        <f t="shared" si="1"/>
        <v>2.7169438682723297</v>
      </c>
      <c r="N39" s="112">
        <v>1.4573</v>
      </c>
      <c r="O39" s="113">
        <f t="shared" si="2"/>
        <v>0.37658540855751393</v>
      </c>
      <c r="P39" s="109">
        <v>729</v>
      </c>
      <c r="Q39" s="111">
        <f t="shared" si="3"/>
        <v>6.5916737320086582</v>
      </c>
      <c r="R39" s="93">
        <v>14.8</v>
      </c>
      <c r="S39" s="114">
        <v>89.4</v>
      </c>
      <c r="T39" s="113">
        <f t="shared" si="4"/>
        <v>4.4931206821794687</v>
      </c>
      <c r="U39" s="112">
        <v>2.2000000000000002</v>
      </c>
      <c r="V39" s="113">
        <f t="shared" si="5"/>
        <v>0.78845736036427028</v>
      </c>
      <c r="W39" s="115">
        <v>4.7</v>
      </c>
      <c r="X39" s="101">
        <f t="shared" si="6"/>
        <v>1.547562508716013</v>
      </c>
      <c r="Y39" s="116">
        <v>248</v>
      </c>
      <c r="Z39" s="102">
        <v>5515</v>
      </c>
      <c r="AA39" s="235">
        <v>0</v>
      </c>
      <c r="AB39" s="117">
        <v>0</v>
      </c>
      <c r="AC39" s="115">
        <v>102</v>
      </c>
      <c r="AD39" s="117">
        <f t="shared" si="8"/>
        <v>4.6249728132842707</v>
      </c>
      <c r="AE39" s="109">
        <v>8058.0087999999996</v>
      </c>
      <c r="AF39" s="111">
        <f t="shared" si="9"/>
        <v>8.9944217578330985</v>
      </c>
      <c r="AG39" s="118">
        <v>30.8</v>
      </c>
      <c r="AH39" s="119">
        <v>15.134</v>
      </c>
      <c r="AI39" s="120">
        <f t="shared" si="10"/>
        <v>2.7169438682723297</v>
      </c>
      <c r="AJ39" s="121">
        <v>729</v>
      </c>
      <c r="AK39" s="120">
        <f t="shared" si="11"/>
        <v>6.5916737320086582</v>
      </c>
      <c r="AL39" s="108">
        <v>14.8</v>
      </c>
      <c r="AM39" s="119">
        <v>8058.01</v>
      </c>
      <c r="AN39" s="120">
        <f t="shared" si="12"/>
        <v>8.9944219067532529</v>
      </c>
      <c r="AO39" s="96">
        <v>48.045499999999997</v>
      </c>
      <c r="AP39" s="94">
        <v>130.065</v>
      </c>
      <c r="AQ39" s="95">
        <v>4.8680300000000001</v>
      </c>
      <c r="AR39" s="94">
        <v>9.5</v>
      </c>
      <c r="AS39" s="95">
        <f t="shared" si="13"/>
        <v>2.2512917986064953</v>
      </c>
      <c r="AT39" s="96">
        <v>67.031000000000006</v>
      </c>
    </row>
    <row r="40" spans="1:46">
      <c r="A40" s="109">
        <v>4</v>
      </c>
      <c r="B40" s="110" t="s">
        <v>46</v>
      </c>
      <c r="C40" s="110" t="s">
        <v>45</v>
      </c>
      <c r="D40" s="111">
        <v>2015</v>
      </c>
      <c r="E40" s="109">
        <v>21.5</v>
      </c>
      <c r="F40" s="111">
        <f t="shared" si="0"/>
        <v>3.068052935133617</v>
      </c>
      <c r="G40" s="93">
        <v>145.46199999999999</v>
      </c>
      <c r="H40" s="93">
        <v>29000000000</v>
      </c>
      <c r="I40" s="94">
        <v>23487.200000000001</v>
      </c>
      <c r="J40" s="95">
        <v>10.0642</v>
      </c>
      <c r="K40" s="96">
        <v>0.47</v>
      </c>
      <c r="L40" s="109">
        <v>15.362</v>
      </c>
      <c r="M40" s="111">
        <f t="shared" si="1"/>
        <v>2.7318969275764902</v>
      </c>
      <c r="N40" s="112">
        <v>1.4997</v>
      </c>
      <c r="O40" s="113">
        <f t="shared" si="2"/>
        <v>0.40526508810549733</v>
      </c>
      <c r="P40" s="109">
        <v>729</v>
      </c>
      <c r="Q40" s="111">
        <f t="shared" si="3"/>
        <v>6.5916737320086582</v>
      </c>
      <c r="R40" s="93">
        <v>16.700001</v>
      </c>
      <c r="S40" s="114">
        <v>91</v>
      </c>
      <c r="T40" s="113">
        <f t="shared" si="4"/>
        <v>4.5108595065168497</v>
      </c>
      <c r="U40" s="112">
        <v>2.4</v>
      </c>
      <c r="V40" s="113">
        <f t="shared" si="5"/>
        <v>0.87546873735389985</v>
      </c>
      <c r="W40" s="115">
        <v>15.2</v>
      </c>
      <c r="X40" s="101">
        <f t="shared" si="6"/>
        <v>2.7212954278522306</v>
      </c>
      <c r="Y40" s="116">
        <v>265</v>
      </c>
      <c r="Z40" s="102">
        <v>6120</v>
      </c>
      <c r="AA40" s="235">
        <v>1.18</v>
      </c>
      <c r="AB40" s="117">
        <f t="shared" si="7"/>
        <v>0.16551443847757333</v>
      </c>
      <c r="AC40" s="115">
        <v>102</v>
      </c>
      <c r="AD40" s="117">
        <f t="shared" si="8"/>
        <v>4.6249728132842707</v>
      </c>
      <c r="AE40" s="109">
        <v>8295.8438000000006</v>
      </c>
      <c r="AF40" s="111">
        <f t="shared" si="9"/>
        <v>9.0235099213810948</v>
      </c>
      <c r="AG40" s="118">
        <v>32.799999999999997</v>
      </c>
      <c r="AH40" s="119">
        <v>15.362</v>
      </c>
      <c r="AI40" s="120">
        <f t="shared" si="10"/>
        <v>2.7318969275764902</v>
      </c>
      <c r="AJ40" s="121">
        <v>729</v>
      </c>
      <c r="AK40" s="120">
        <f t="shared" si="11"/>
        <v>6.5916737320086582</v>
      </c>
      <c r="AL40" s="108">
        <v>16.7</v>
      </c>
      <c r="AM40" s="119">
        <v>8295.84</v>
      </c>
      <c r="AN40" s="120">
        <f t="shared" si="12"/>
        <v>9.023509463320293</v>
      </c>
      <c r="AO40" s="96">
        <v>51.825099999999999</v>
      </c>
      <c r="AP40" s="94">
        <v>131.98099999999999</v>
      </c>
      <c r="AQ40" s="95">
        <v>4.8826599999999996</v>
      </c>
      <c r="AR40" s="94">
        <v>10.4</v>
      </c>
      <c r="AS40" s="95">
        <f t="shared" si="13"/>
        <v>2.341805806147327</v>
      </c>
      <c r="AT40" s="96">
        <v>66.945999999999998</v>
      </c>
    </row>
    <row r="41" spans="1:46">
      <c r="A41" s="109">
        <v>4</v>
      </c>
      <c r="B41" s="110" t="s">
        <v>46</v>
      </c>
      <c r="C41" s="110" t="s">
        <v>45</v>
      </c>
      <c r="D41" s="111">
        <v>2016</v>
      </c>
      <c r="E41" s="109">
        <v>20.399999999999999</v>
      </c>
      <c r="F41" s="111">
        <f t="shared" si="0"/>
        <v>3.0155349008501706</v>
      </c>
      <c r="G41" s="93">
        <v>40.425800000000002</v>
      </c>
      <c r="H41" s="93">
        <v>8500000000</v>
      </c>
      <c r="I41" s="94">
        <v>24916.6</v>
      </c>
      <c r="J41" s="95">
        <v>10.1233</v>
      </c>
      <c r="K41" s="96">
        <v>0.47</v>
      </c>
      <c r="L41" s="109">
        <v>16.966999000000001</v>
      </c>
      <c r="M41" s="111">
        <f t="shared" si="1"/>
        <v>2.8312702221228623</v>
      </c>
      <c r="N41" s="112">
        <v>1.4369000000000001</v>
      </c>
      <c r="O41" s="113">
        <f t="shared" si="2"/>
        <v>0.36248801525302393</v>
      </c>
      <c r="P41" s="109">
        <v>711</v>
      </c>
      <c r="Q41" s="111">
        <f t="shared" si="3"/>
        <v>6.5666724298032406</v>
      </c>
      <c r="R41" s="93">
        <v>16.299999</v>
      </c>
      <c r="S41" s="114">
        <v>87.8</v>
      </c>
      <c r="T41" s="113">
        <f t="shared" si="4"/>
        <v>4.475061500641071</v>
      </c>
      <c r="U41" s="112">
        <v>2.4</v>
      </c>
      <c r="V41" s="113">
        <f t="shared" si="5"/>
        <v>0.87546873735389985</v>
      </c>
      <c r="W41" s="115">
        <v>6.6</v>
      </c>
      <c r="X41" s="101">
        <f t="shared" si="6"/>
        <v>1.8870696490323797</v>
      </c>
      <c r="Y41" s="116">
        <v>294</v>
      </c>
      <c r="Z41" s="102">
        <v>6840</v>
      </c>
      <c r="AA41" s="235">
        <v>0</v>
      </c>
      <c r="AB41" s="117">
        <v>0</v>
      </c>
      <c r="AC41" s="115">
        <v>106</v>
      </c>
      <c r="AD41" s="117">
        <f t="shared" si="8"/>
        <v>4.6634390941120669</v>
      </c>
      <c r="AE41" s="109">
        <v>8283.5663999999997</v>
      </c>
      <c r="AF41" s="111">
        <f t="shared" si="9"/>
        <v>9.0220288792817573</v>
      </c>
      <c r="AG41" s="118">
        <v>33.6</v>
      </c>
      <c r="AH41" s="119">
        <v>16.966999999999999</v>
      </c>
      <c r="AI41" s="120">
        <f t="shared" si="10"/>
        <v>2.8312702810608026</v>
      </c>
      <c r="AJ41" s="121">
        <v>711</v>
      </c>
      <c r="AK41" s="120">
        <f t="shared" si="11"/>
        <v>6.5666724298032406</v>
      </c>
      <c r="AL41" s="108">
        <v>16.3</v>
      </c>
      <c r="AM41" s="119">
        <v>8283.57</v>
      </c>
      <c r="AN41" s="120">
        <f t="shared" si="12"/>
        <v>9.0220293138770806</v>
      </c>
      <c r="AO41" s="96">
        <v>51.2913</v>
      </c>
      <c r="AP41" s="94">
        <v>133.887</v>
      </c>
      <c r="AQ41" s="95">
        <v>4.8969899999999997</v>
      </c>
      <c r="AR41" s="94">
        <v>10.3</v>
      </c>
      <c r="AS41" s="95">
        <f t="shared" si="13"/>
        <v>2.33214389523559</v>
      </c>
      <c r="AT41" s="96">
        <v>66.881</v>
      </c>
    </row>
    <row r="42" spans="1:46">
      <c r="A42" s="109">
        <v>4</v>
      </c>
      <c r="B42" s="110" t="s">
        <v>46</v>
      </c>
      <c r="C42" s="110" t="s">
        <v>45</v>
      </c>
      <c r="D42" s="111">
        <v>2017</v>
      </c>
      <c r="E42" s="109">
        <v>20.9</v>
      </c>
      <c r="F42" s="111">
        <f t="shared" si="0"/>
        <v>3.039749158970765</v>
      </c>
      <c r="G42" s="93">
        <v>62.783099999999997</v>
      </c>
      <c r="H42" s="93">
        <v>14000000000</v>
      </c>
      <c r="I42" s="94">
        <v>26105.599999999999</v>
      </c>
      <c r="J42" s="95">
        <v>10.1699</v>
      </c>
      <c r="K42" s="96">
        <v>0.55000000000000004</v>
      </c>
      <c r="L42" s="109">
        <v>20.197001</v>
      </c>
      <c r="M42" s="111">
        <f t="shared" si="1"/>
        <v>3.0055341280385539</v>
      </c>
      <c r="N42" s="112">
        <v>1.2815000000000001</v>
      </c>
      <c r="O42" s="113">
        <f t="shared" si="2"/>
        <v>0.24803126682198881</v>
      </c>
      <c r="P42" s="109">
        <v>692</v>
      </c>
      <c r="Q42" s="111">
        <f t="shared" si="3"/>
        <v>6.5395859556176692</v>
      </c>
      <c r="R42" s="93">
        <v>16.5</v>
      </c>
      <c r="S42" s="114">
        <v>78.3</v>
      </c>
      <c r="T42" s="113">
        <f t="shared" si="4"/>
        <v>4.3605476029967578</v>
      </c>
      <c r="U42" s="112">
        <v>2.4</v>
      </c>
      <c r="V42" s="113">
        <f t="shared" si="5"/>
        <v>0.87546873735389985</v>
      </c>
      <c r="W42" s="115">
        <v>8.5</v>
      </c>
      <c r="X42" s="101">
        <f t="shared" si="6"/>
        <v>2.1400661634962708</v>
      </c>
      <c r="Y42" s="116">
        <v>333</v>
      </c>
      <c r="Z42" s="102">
        <v>7449</v>
      </c>
      <c r="AA42" s="235">
        <v>0</v>
      </c>
      <c r="AB42" s="117">
        <v>0</v>
      </c>
      <c r="AC42" s="115">
        <v>110</v>
      </c>
      <c r="AD42" s="117">
        <f t="shared" si="8"/>
        <v>4.7004803657924166</v>
      </c>
      <c r="AE42" s="109">
        <v>7971.4116000000004</v>
      </c>
      <c r="AF42" s="111">
        <f t="shared" si="9"/>
        <v>8.9836168702795653</v>
      </c>
      <c r="AG42" s="118">
        <v>33.299999999999997</v>
      </c>
      <c r="AH42" s="119">
        <v>20.196999999999999</v>
      </c>
      <c r="AI42" s="120">
        <f t="shared" si="10"/>
        <v>3.0055340785262512</v>
      </c>
      <c r="AJ42" s="121">
        <v>692</v>
      </c>
      <c r="AK42" s="120">
        <f t="shared" si="11"/>
        <v>6.5395859556176692</v>
      </c>
      <c r="AL42" s="108">
        <v>16.5</v>
      </c>
      <c r="AM42" s="119">
        <v>7971.41</v>
      </c>
      <c r="AN42" s="120">
        <f t="shared" si="12"/>
        <v>8.9836166695622719</v>
      </c>
      <c r="AO42" s="96">
        <v>54.557200000000002</v>
      </c>
      <c r="AP42" s="94">
        <v>135.744</v>
      </c>
      <c r="AQ42" s="95">
        <v>4.9107700000000003</v>
      </c>
      <c r="AR42" s="94">
        <v>10.9</v>
      </c>
      <c r="AS42" s="95">
        <f t="shared" si="13"/>
        <v>2.388762789235098</v>
      </c>
      <c r="AT42" s="96">
        <v>66.835999999999999</v>
      </c>
    </row>
    <row r="43" spans="1:46">
      <c r="A43" s="109">
        <v>4</v>
      </c>
      <c r="B43" s="110" t="s">
        <v>46</v>
      </c>
      <c r="C43" s="110" t="s">
        <v>45</v>
      </c>
      <c r="D43" s="111">
        <v>2018</v>
      </c>
      <c r="E43" s="109">
        <v>21.2</v>
      </c>
      <c r="F43" s="111">
        <f t="shared" si="0"/>
        <v>3.0540011816779669</v>
      </c>
      <c r="G43" s="93">
        <v>-4.3110200000000001</v>
      </c>
      <c r="H43" s="93">
        <v>-1100000000</v>
      </c>
      <c r="I43" s="94">
        <v>27406.5</v>
      </c>
      <c r="J43" s="95">
        <v>10.218500000000001</v>
      </c>
      <c r="K43" s="96">
        <v>0.54</v>
      </c>
      <c r="L43" s="109">
        <v>19.367999999999999</v>
      </c>
      <c r="M43" s="111">
        <f t="shared" si="1"/>
        <v>2.9636222196357571</v>
      </c>
      <c r="N43" s="112">
        <v>1.3594999999999999</v>
      </c>
      <c r="O43" s="113">
        <f t="shared" si="2"/>
        <v>0.30711698509038832</v>
      </c>
      <c r="P43" s="109">
        <v>681</v>
      </c>
      <c r="Q43" s="111">
        <f t="shared" si="3"/>
        <v>6.523562306149512</v>
      </c>
      <c r="R43" s="93">
        <v>16.799999</v>
      </c>
      <c r="S43" s="114">
        <v>90.6</v>
      </c>
      <c r="T43" s="113">
        <f t="shared" si="4"/>
        <v>4.5064542130489338</v>
      </c>
      <c r="U43" s="112">
        <v>2.8</v>
      </c>
      <c r="V43" s="113">
        <f t="shared" si="5"/>
        <v>1.0296194171811581</v>
      </c>
      <c r="W43" s="115">
        <v>29.4</v>
      </c>
      <c r="X43" s="101">
        <f t="shared" si="6"/>
        <v>3.380994674344636</v>
      </c>
      <c r="Y43" s="116">
        <v>367</v>
      </c>
      <c r="Z43" s="102">
        <v>8291</v>
      </c>
      <c r="AA43" s="235">
        <v>0</v>
      </c>
      <c r="AB43" s="117">
        <v>0</v>
      </c>
      <c r="AC43" s="115">
        <v>109</v>
      </c>
      <c r="AD43" s="117">
        <f t="shared" si="8"/>
        <v>4.6913478822291435</v>
      </c>
      <c r="AE43" s="109">
        <v>7773.4263000000001</v>
      </c>
      <c r="AF43" s="111">
        <f t="shared" si="9"/>
        <v>8.9584663114160552</v>
      </c>
      <c r="AG43" s="118">
        <v>34</v>
      </c>
      <c r="AH43" s="119">
        <v>19.367999999999999</v>
      </c>
      <c r="AI43" s="120">
        <f t="shared" si="10"/>
        <v>2.9636222196357571</v>
      </c>
      <c r="AJ43" s="121">
        <v>681</v>
      </c>
      <c r="AK43" s="120">
        <f t="shared" si="11"/>
        <v>6.523562306149512</v>
      </c>
      <c r="AL43" s="108">
        <v>16.8</v>
      </c>
      <c r="AM43" s="119">
        <v>7773.43</v>
      </c>
      <c r="AN43" s="120">
        <f t="shared" si="12"/>
        <v>8.9584667873965262</v>
      </c>
      <c r="AO43" s="96">
        <v>61.6098</v>
      </c>
      <c r="AP43" s="94">
        <v>137.52600000000001</v>
      </c>
      <c r="AQ43" s="95">
        <v>4.9238099999999996</v>
      </c>
      <c r="AR43" s="94">
        <v>12</v>
      </c>
      <c r="AS43" s="95">
        <f t="shared" si="13"/>
        <v>2.4849066497880004</v>
      </c>
      <c r="AT43" s="96">
        <v>66.81</v>
      </c>
    </row>
    <row r="44" spans="1:46">
      <c r="A44" s="109">
        <v>4</v>
      </c>
      <c r="B44" s="110" t="s">
        <v>46</v>
      </c>
      <c r="C44" s="110" t="s">
        <v>45</v>
      </c>
      <c r="D44" s="111">
        <v>2019</v>
      </c>
      <c r="E44" s="109">
        <v>22</v>
      </c>
      <c r="F44" s="111">
        <f t="shared" si="0"/>
        <v>3.0910424533583161</v>
      </c>
      <c r="G44" s="93">
        <v>201.685</v>
      </c>
      <c r="H44" s="93">
        <v>53000000000</v>
      </c>
      <c r="I44" s="94">
        <v>28625.8</v>
      </c>
      <c r="J44" s="95">
        <v>10.2621</v>
      </c>
      <c r="K44" s="96">
        <v>0.52</v>
      </c>
      <c r="L44" s="109">
        <v>20.504999000000002</v>
      </c>
      <c r="M44" s="111">
        <f t="shared" si="1"/>
        <v>3.0206687100754284</v>
      </c>
      <c r="N44" s="112">
        <v>1.3320000000000001</v>
      </c>
      <c r="O44" s="113">
        <f t="shared" si="2"/>
        <v>0.28668157211819745</v>
      </c>
      <c r="P44" s="109">
        <v>635</v>
      </c>
      <c r="Q44" s="111">
        <f t="shared" si="3"/>
        <v>6.4536249988926917</v>
      </c>
      <c r="R44" s="93">
        <v>16.899999999999999</v>
      </c>
      <c r="S44" s="114">
        <v>81.400000000000006</v>
      </c>
      <c r="T44" s="113">
        <f t="shared" si="4"/>
        <v>4.399375273008495</v>
      </c>
      <c r="U44" s="112">
        <v>3.2</v>
      </c>
      <c r="V44" s="113">
        <f t="shared" si="5"/>
        <v>1.1631508098056809</v>
      </c>
      <c r="W44" s="115">
        <v>16.600000000000001</v>
      </c>
      <c r="X44" s="101">
        <f t="shared" si="6"/>
        <v>2.8094026953624978</v>
      </c>
      <c r="Y44" s="116">
        <v>403</v>
      </c>
      <c r="Z44" s="102">
        <v>8664</v>
      </c>
      <c r="AA44" s="235">
        <v>0</v>
      </c>
      <c r="AB44" s="117">
        <v>0</v>
      </c>
      <c r="AC44" s="115">
        <v>110</v>
      </c>
      <c r="AD44" s="117">
        <f t="shared" si="8"/>
        <v>4.7004803657924166</v>
      </c>
      <c r="AE44" s="109">
        <v>7575.4408999999996</v>
      </c>
      <c r="AF44" s="111">
        <f t="shared" si="9"/>
        <v>8.932666833304209</v>
      </c>
      <c r="AG44" s="118">
        <v>31.4</v>
      </c>
      <c r="AH44" s="119">
        <v>20.504999999999999</v>
      </c>
      <c r="AI44" s="120">
        <f t="shared" si="10"/>
        <v>3.0206687588440224</v>
      </c>
      <c r="AJ44" s="121">
        <v>635</v>
      </c>
      <c r="AK44" s="120">
        <f t="shared" si="11"/>
        <v>6.4536249988926917</v>
      </c>
      <c r="AL44" s="108">
        <v>16.899999999999999</v>
      </c>
      <c r="AM44" s="119">
        <v>0</v>
      </c>
      <c r="AN44" s="120">
        <v>0</v>
      </c>
      <c r="AO44" s="96">
        <v>48.0214</v>
      </c>
      <c r="AP44" s="94">
        <v>139.25</v>
      </c>
      <c r="AQ44" s="95">
        <v>4.9362700000000004</v>
      </c>
      <c r="AR44" s="94">
        <v>12</v>
      </c>
      <c r="AS44" s="95">
        <f t="shared" si="13"/>
        <v>2.4849066497880004</v>
      </c>
      <c r="AT44" s="96">
        <v>66.805000000000007</v>
      </c>
    </row>
    <row r="45" spans="1:46">
      <c r="A45" s="109">
        <v>4</v>
      </c>
      <c r="B45" s="110" t="s">
        <v>46</v>
      </c>
      <c r="C45" s="110" t="s">
        <v>45</v>
      </c>
      <c r="D45" s="111">
        <v>2020</v>
      </c>
      <c r="E45" s="109">
        <v>22.4</v>
      </c>
      <c r="F45" s="111">
        <f t="shared" si="0"/>
        <v>3.1090609588609941</v>
      </c>
      <c r="G45" s="93">
        <v>-101.833</v>
      </c>
      <c r="H45" s="93">
        <v>-26000000000</v>
      </c>
      <c r="I45" s="94">
        <v>27391.599999999999</v>
      </c>
      <c r="J45" s="95">
        <v>10.218</v>
      </c>
      <c r="K45" s="96">
        <v>0.5</v>
      </c>
      <c r="L45" s="109">
        <v>19.562999999999999</v>
      </c>
      <c r="M45" s="111">
        <f t="shared" si="1"/>
        <v>2.973640027079175</v>
      </c>
      <c r="N45" s="112">
        <v>1.3385</v>
      </c>
      <c r="O45" s="113">
        <f t="shared" si="2"/>
        <v>0.29154958397827019</v>
      </c>
      <c r="P45" s="109">
        <v>619</v>
      </c>
      <c r="Q45" s="111">
        <f t="shared" si="3"/>
        <v>6.4281052726845962</v>
      </c>
      <c r="R45" s="93">
        <v>17</v>
      </c>
      <c r="S45" s="114">
        <v>90.9</v>
      </c>
      <c r="T45" s="113">
        <f t="shared" si="4"/>
        <v>4.5097600011834329</v>
      </c>
      <c r="U45" s="112">
        <v>3.8</v>
      </c>
      <c r="V45" s="113">
        <f t="shared" si="5"/>
        <v>1.33500106673234</v>
      </c>
      <c r="W45" s="115">
        <v>9</v>
      </c>
      <c r="X45" s="101">
        <f t="shared" si="6"/>
        <v>2.1972245773362196</v>
      </c>
      <c r="Y45" s="116">
        <v>364</v>
      </c>
      <c r="Z45" s="102">
        <v>8348</v>
      </c>
      <c r="AA45" s="235">
        <v>0</v>
      </c>
      <c r="AB45" s="117">
        <v>0</v>
      </c>
      <c r="AC45" s="115">
        <v>98</v>
      </c>
      <c r="AD45" s="117">
        <f t="shared" si="8"/>
        <v>4.5849674786705723</v>
      </c>
      <c r="AE45" s="109">
        <v>7377.4556000000002</v>
      </c>
      <c r="AF45" s="111">
        <f t="shared" si="9"/>
        <v>8.9061840885001029</v>
      </c>
      <c r="AG45" s="118">
        <v>32.4</v>
      </c>
      <c r="AH45" s="119">
        <v>19.562999999999999</v>
      </c>
      <c r="AI45" s="120">
        <f t="shared" si="10"/>
        <v>2.973640027079175</v>
      </c>
      <c r="AJ45" s="121">
        <v>619</v>
      </c>
      <c r="AK45" s="120">
        <f t="shared" si="11"/>
        <v>6.4281052726845962</v>
      </c>
      <c r="AL45" s="108">
        <v>17</v>
      </c>
      <c r="AM45" s="119">
        <v>0</v>
      </c>
      <c r="AN45" s="120">
        <v>0</v>
      </c>
      <c r="AO45" s="96">
        <v>46.268700000000003</v>
      </c>
      <c r="AP45" s="94">
        <v>140.93600000000001</v>
      </c>
      <c r="AQ45" s="95">
        <v>4.9482999999999997</v>
      </c>
      <c r="AR45" s="94">
        <v>15</v>
      </c>
      <c r="AS45" s="95">
        <f t="shared" si="13"/>
        <v>2.7080502011022101</v>
      </c>
      <c r="AT45" s="96">
        <v>66.820999999999998</v>
      </c>
    </row>
    <row r="46" spans="1:46">
      <c r="A46" s="109">
        <v>5</v>
      </c>
      <c r="B46" s="110" t="s">
        <v>44</v>
      </c>
      <c r="C46" s="110" t="s">
        <v>43</v>
      </c>
      <c r="D46" s="111">
        <v>2010</v>
      </c>
      <c r="E46" s="109">
        <v>21</v>
      </c>
      <c r="F46" s="111">
        <f t="shared" si="0"/>
        <v>3.044522437723423</v>
      </c>
      <c r="G46" s="93">
        <v>4.8150300000000001</v>
      </c>
      <c r="H46" s="93">
        <v>10000000000</v>
      </c>
      <c r="I46" s="94">
        <v>16665.900000000001</v>
      </c>
      <c r="J46" s="95">
        <v>9.7211200000000009</v>
      </c>
      <c r="K46" s="96">
        <v>0.45</v>
      </c>
      <c r="L46" s="109">
        <v>17.002001</v>
      </c>
      <c r="M46" s="111">
        <f t="shared" si="1"/>
        <v>2.8333310430117753</v>
      </c>
      <c r="N46" s="112">
        <v>0.93799999999999994</v>
      </c>
      <c r="O46" s="113">
        <f t="shared" si="2"/>
        <v>-6.4005329975912434E-2</v>
      </c>
      <c r="P46" s="109">
        <v>279</v>
      </c>
      <c r="Q46" s="111">
        <f t="shared" si="3"/>
        <v>5.6312117818213654</v>
      </c>
      <c r="R46" s="93">
        <v>15.8</v>
      </c>
      <c r="S46" s="114">
        <v>86.7</v>
      </c>
      <c r="T46" s="113">
        <f t="shared" si="4"/>
        <v>4.4624538837864964</v>
      </c>
      <c r="U46" s="112">
        <v>5.3</v>
      </c>
      <c r="V46" s="113">
        <f t="shared" si="5"/>
        <v>1.6677068205580761</v>
      </c>
      <c r="W46" s="115">
        <v>7435.2</v>
      </c>
      <c r="X46" s="101">
        <f t="shared" si="6"/>
        <v>8.9139807583307142</v>
      </c>
      <c r="Y46" s="116">
        <v>2123</v>
      </c>
      <c r="Z46" s="102">
        <v>114395</v>
      </c>
      <c r="AA46" s="235">
        <v>0.73</v>
      </c>
      <c r="AB46" s="117">
        <f t="shared" si="7"/>
        <v>-0.31471074483970024</v>
      </c>
      <c r="AC46" s="115">
        <v>100</v>
      </c>
      <c r="AD46" s="117">
        <f t="shared" si="8"/>
        <v>4.6051701859880918</v>
      </c>
      <c r="AE46" s="109">
        <v>10601.975</v>
      </c>
      <c r="AF46" s="111">
        <f t="shared" si="9"/>
        <v>9.268795583499319</v>
      </c>
      <c r="AG46" s="118">
        <v>29.3</v>
      </c>
      <c r="AH46" s="119">
        <v>17.001999999999999</v>
      </c>
      <c r="AI46" s="120">
        <f t="shared" si="10"/>
        <v>2.8333309841951673</v>
      </c>
      <c r="AJ46" s="121">
        <v>279</v>
      </c>
      <c r="AK46" s="120">
        <f t="shared" si="11"/>
        <v>5.6312117818213654</v>
      </c>
      <c r="AL46" s="108">
        <v>15.8</v>
      </c>
      <c r="AM46" s="119">
        <v>10602</v>
      </c>
      <c r="AN46" s="120">
        <f t="shared" si="12"/>
        <v>9.2687979415477511</v>
      </c>
      <c r="AO46" s="96">
        <v>122.95099999999999</v>
      </c>
      <c r="AP46" s="94">
        <v>135.626</v>
      </c>
      <c r="AQ46" s="95">
        <v>4.9099000000000004</v>
      </c>
      <c r="AR46" s="94">
        <v>10.9</v>
      </c>
      <c r="AS46" s="95">
        <f t="shared" si="13"/>
        <v>2.388762789235098</v>
      </c>
      <c r="AT46" s="96">
        <v>73.254999999999995</v>
      </c>
    </row>
    <row r="47" spans="1:46">
      <c r="A47" s="109">
        <v>5</v>
      </c>
      <c r="B47" s="110" t="s">
        <v>44</v>
      </c>
      <c r="C47" s="110" t="s">
        <v>43</v>
      </c>
      <c r="D47" s="111">
        <v>2011</v>
      </c>
      <c r="E47" s="109">
        <v>22.5</v>
      </c>
      <c r="F47" s="111">
        <f t="shared" si="0"/>
        <v>3.1135153092103742</v>
      </c>
      <c r="G47" s="93">
        <v>1.8099400000000001</v>
      </c>
      <c r="H47" s="93">
        <v>4200000000</v>
      </c>
      <c r="I47" s="94">
        <v>16926.3</v>
      </c>
      <c r="J47" s="95">
        <v>9.7366200000000003</v>
      </c>
      <c r="K47" s="96">
        <v>0.45</v>
      </c>
      <c r="L47" s="109">
        <v>17.271000000000001</v>
      </c>
      <c r="M47" s="111">
        <f t="shared" si="1"/>
        <v>2.8490287943617822</v>
      </c>
      <c r="N47" s="112">
        <v>0.90429999999999999</v>
      </c>
      <c r="O47" s="113">
        <f t="shared" si="2"/>
        <v>-0.10059411523570259</v>
      </c>
      <c r="P47" s="109">
        <v>280</v>
      </c>
      <c r="Q47" s="111">
        <f t="shared" si="3"/>
        <v>5.6347896031692493</v>
      </c>
      <c r="R47" s="93">
        <v>16.899999999999999</v>
      </c>
      <c r="S47" s="114">
        <v>86.8</v>
      </c>
      <c r="T47" s="113">
        <f t="shared" si="4"/>
        <v>4.4636066216663046</v>
      </c>
      <c r="U47" s="112">
        <v>5.4</v>
      </c>
      <c r="V47" s="113">
        <f t="shared" si="5"/>
        <v>1.6863989535702288</v>
      </c>
      <c r="W47" s="115">
        <v>9869.4</v>
      </c>
      <c r="X47" s="101">
        <f t="shared" si="6"/>
        <v>9.1971943403061669</v>
      </c>
      <c r="Y47" s="116">
        <v>2267</v>
      </c>
      <c r="Z47" s="102">
        <v>117602</v>
      </c>
      <c r="AA47" s="235">
        <v>0.42</v>
      </c>
      <c r="AB47" s="117">
        <f t="shared" si="7"/>
        <v>-0.86750056770472306</v>
      </c>
      <c r="AC47" s="115">
        <v>101</v>
      </c>
      <c r="AD47" s="117">
        <f t="shared" si="8"/>
        <v>4.6151205168412597</v>
      </c>
      <c r="AE47" s="109">
        <v>10130.85</v>
      </c>
      <c r="AF47" s="111">
        <f t="shared" si="9"/>
        <v>9.2233405029032021</v>
      </c>
      <c r="AG47" s="118">
        <v>29.1</v>
      </c>
      <c r="AH47" s="119">
        <v>17.271000000000001</v>
      </c>
      <c r="AI47" s="120">
        <f t="shared" si="10"/>
        <v>2.8490287943617822</v>
      </c>
      <c r="AJ47" s="121">
        <v>280</v>
      </c>
      <c r="AK47" s="120">
        <f t="shared" si="11"/>
        <v>5.6347896031692493</v>
      </c>
      <c r="AL47" s="108">
        <v>16.899999999999999</v>
      </c>
      <c r="AM47" s="119">
        <v>10130.799999999999</v>
      </c>
      <c r="AN47" s="120">
        <f t="shared" si="12"/>
        <v>9.2233355674709934</v>
      </c>
      <c r="AO47" s="96">
        <v>136.13800000000001</v>
      </c>
      <c r="AP47" s="94">
        <v>135.90700000000001</v>
      </c>
      <c r="AQ47" s="95">
        <v>4.9119700000000002</v>
      </c>
      <c r="AR47" s="94">
        <v>12.2</v>
      </c>
      <c r="AS47" s="95">
        <f t="shared" si="13"/>
        <v>2.5014359517392109</v>
      </c>
      <c r="AT47" s="96">
        <v>73.185000000000002</v>
      </c>
    </row>
    <row r="48" spans="1:46">
      <c r="A48" s="109">
        <v>5</v>
      </c>
      <c r="B48" s="110" t="s">
        <v>44</v>
      </c>
      <c r="C48" s="110" t="s">
        <v>43</v>
      </c>
      <c r="D48" s="111">
        <v>2012</v>
      </c>
      <c r="E48" s="109">
        <v>24.5</v>
      </c>
      <c r="F48" s="111">
        <f t="shared" si="0"/>
        <v>3.1986731175506815</v>
      </c>
      <c r="G48" s="93">
        <v>4.4842399999999998</v>
      </c>
      <c r="H48" s="93">
        <v>9400000000</v>
      </c>
      <c r="I48" s="94">
        <v>16772.400000000001</v>
      </c>
      <c r="J48" s="95">
        <v>9.7274899999999995</v>
      </c>
      <c r="K48" s="96">
        <v>0.46</v>
      </c>
      <c r="L48" s="109">
        <v>14.981999999999999</v>
      </c>
      <c r="M48" s="111">
        <f t="shared" si="1"/>
        <v>2.7068494805256913</v>
      </c>
      <c r="N48" s="112">
        <v>1.0089999999999999</v>
      </c>
      <c r="O48" s="113">
        <f t="shared" si="2"/>
        <v>8.9597413714718015E-3</v>
      </c>
      <c r="P48" s="109">
        <v>279</v>
      </c>
      <c r="Q48" s="111">
        <f t="shared" si="3"/>
        <v>5.6312117818213654</v>
      </c>
      <c r="R48" s="93">
        <v>23.200001</v>
      </c>
      <c r="S48" s="114">
        <v>80.599999999999994</v>
      </c>
      <c r="T48" s="113">
        <f t="shared" si="4"/>
        <v>4.389498649512583</v>
      </c>
      <c r="U48" s="112">
        <v>6.3</v>
      </c>
      <c r="V48" s="113">
        <f t="shared" si="5"/>
        <v>1.8405496333974869</v>
      </c>
      <c r="W48" s="115">
        <v>9845.5</v>
      </c>
      <c r="X48" s="101">
        <f t="shared" si="6"/>
        <v>9.1947697769852255</v>
      </c>
      <c r="Y48" s="116">
        <v>2263</v>
      </c>
      <c r="Z48" s="102">
        <v>119217</v>
      </c>
      <c r="AA48" s="235">
        <v>0.7</v>
      </c>
      <c r="AB48" s="117">
        <f t="shared" si="7"/>
        <v>-0.35667494393873245</v>
      </c>
      <c r="AC48" s="115">
        <v>95</v>
      </c>
      <c r="AD48" s="117">
        <f t="shared" si="8"/>
        <v>4.5538768916005408</v>
      </c>
      <c r="AE48" s="109">
        <v>10059.413</v>
      </c>
      <c r="AF48" s="111">
        <f t="shared" si="9"/>
        <v>9.2162640920507126</v>
      </c>
      <c r="AG48" s="118">
        <v>29.9</v>
      </c>
      <c r="AH48" s="119">
        <v>14.981999999999999</v>
      </c>
      <c r="AI48" s="120">
        <f t="shared" si="10"/>
        <v>2.7068494805256913</v>
      </c>
      <c r="AJ48" s="121">
        <v>279</v>
      </c>
      <c r="AK48" s="120">
        <f t="shared" si="11"/>
        <v>5.6312117818213654</v>
      </c>
      <c r="AL48" s="108">
        <v>23.2</v>
      </c>
      <c r="AM48" s="119">
        <v>10059.4</v>
      </c>
      <c r="AN48" s="120">
        <f t="shared" si="12"/>
        <v>9.21626279972795</v>
      </c>
      <c r="AO48" s="96">
        <v>141.875</v>
      </c>
      <c r="AP48" s="94">
        <v>136.09700000000001</v>
      </c>
      <c r="AQ48" s="95">
        <v>4.9133699999999996</v>
      </c>
      <c r="AR48" s="94">
        <v>12.8</v>
      </c>
      <c r="AS48" s="95">
        <f t="shared" si="13"/>
        <v>2.5494451709255714</v>
      </c>
      <c r="AT48" s="96">
        <v>73.197000000000003</v>
      </c>
    </row>
    <row r="49" spans="1:46">
      <c r="A49" s="109">
        <v>5</v>
      </c>
      <c r="B49" s="110" t="s">
        <v>44</v>
      </c>
      <c r="C49" s="110" t="s">
        <v>43</v>
      </c>
      <c r="D49" s="111">
        <v>2013</v>
      </c>
      <c r="E49" s="109">
        <v>24</v>
      </c>
      <c r="F49" s="111">
        <f t="shared" si="0"/>
        <v>3.1780538303479458</v>
      </c>
      <c r="G49" s="93">
        <v>3.4538700000000002</v>
      </c>
      <c r="H49" s="93">
        <v>7400000000</v>
      </c>
      <c r="I49" s="94">
        <v>16759.8</v>
      </c>
      <c r="J49" s="95">
        <v>9.7267399999999995</v>
      </c>
      <c r="K49" s="96">
        <v>0.48</v>
      </c>
      <c r="L49" s="109">
        <v>15.314</v>
      </c>
      <c r="M49" s="111">
        <f t="shared" si="1"/>
        <v>2.7287674426909319</v>
      </c>
      <c r="N49" s="112">
        <v>1.0245</v>
      </c>
      <c r="O49" s="113">
        <f t="shared" si="2"/>
        <v>2.4204688696817359E-2</v>
      </c>
      <c r="P49" s="109">
        <v>289</v>
      </c>
      <c r="Q49" s="111">
        <f t="shared" si="3"/>
        <v>5.6664266881124323</v>
      </c>
      <c r="R49" s="93">
        <v>24.200001</v>
      </c>
      <c r="S49" s="114">
        <v>91.1</v>
      </c>
      <c r="T49" s="113">
        <f t="shared" si="4"/>
        <v>4.5119578042659123</v>
      </c>
      <c r="U49" s="112">
        <v>6.7</v>
      </c>
      <c r="V49" s="113">
        <f t="shared" si="5"/>
        <v>1.9021075263969205</v>
      </c>
      <c r="W49" s="115">
        <v>9709.4</v>
      </c>
      <c r="X49" s="101">
        <f t="shared" si="6"/>
        <v>9.1808497674091232</v>
      </c>
      <c r="Y49" s="116">
        <v>2232</v>
      </c>
      <c r="Z49" s="102">
        <v>116448</v>
      </c>
      <c r="AA49" s="235">
        <v>0.67</v>
      </c>
      <c r="AB49" s="117">
        <f t="shared" si="7"/>
        <v>-0.40047756659712525</v>
      </c>
      <c r="AC49" s="115">
        <v>93</v>
      </c>
      <c r="AD49" s="117">
        <f t="shared" si="8"/>
        <v>4.5325994931532563</v>
      </c>
      <c r="AE49" s="109">
        <v>10009.271000000001</v>
      </c>
      <c r="AF49" s="111">
        <f t="shared" si="9"/>
        <v>9.2112670424844119</v>
      </c>
      <c r="AG49" s="118">
        <v>31.8</v>
      </c>
      <c r="AH49" s="119">
        <v>15.314</v>
      </c>
      <c r="AI49" s="120">
        <f t="shared" si="10"/>
        <v>2.7287674426909319</v>
      </c>
      <c r="AJ49" s="121">
        <v>289</v>
      </c>
      <c r="AK49" s="120">
        <f t="shared" si="11"/>
        <v>5.6664266881124323</v>
      </c>
      <c r="AL49" s="108">
        <v>24.2</v>
      </c>
      <c r="AM49" s="119">
        <v>10009.299999999999</v>
      </c>
      <c r="AN49" s="120">
        <f t="shared" si="12"/>
        <v>9.2112699397941142</v>
      </c>
      <c r="AO49" s="96">
        <v>143.89599999999999</v>
      </c>
      <c r="AP49" s="94">
        <v>136.16</v>
      </c>
      <c r="AQ49" s="95">
        <v>4.9138299999999999</v>
      </c>
      <c r="AR49" s="94">
        <v>13.9</v>
      </c>
      <c r="AS49" s="95">
        <f t="shared" si="13"/>
        <v>2.631888840136646</v>
      </c>
      <c r="AT49" s="96">
        <v>73.290000000000006</v>
      </c>
    </row>
    <row r="50" spans="1:46">
      <c r="A50" s="109">
        <v>5</v>
      </c>
      <c r="B50" s="110" t="s">
        <v>44</v>
      </c>
      <c r="C50" s="110" t="s">
        <v>43</v>
      </c>
      <c r="D50" s="111">
        <v>2014</v>
      </c>
      <c r="E50" s="109">
        <v>24</v>
      </c>
      <c r="F50" s="111">
        <f t="shared" si="0"/>
        <v>3.1780538303479458</v>
      </c>
      <c r="G50" s="93">
        <v>3.8351000000000002</v>
      </c>
      <c r="H50" s="93">
        <v>8100000000</v>
      </c>
      <c r="I50" s="94">
        <v>17118</v>
      </c>
      <c r="J50" s="95">
        <v>9.7478899999999999</v>
      </c>
      <c r="K50" s="96">
        <v>0.47</v>
      </c>
      <c r="L50" s="109">
        <v>16.141000999999999</v>
      </c>
      <c r="M50" s="111">
        <f t="shared" si="1"/>
        <v>2.7813626807451706</v>
      </c>
      <c r="N50" s="112">
        <v>1.0129999999999999</v>
      </c>
      <c r="O50" s="113">
        <f t="shared" si="2"/>
        <v>1.2916225266546229E-2</v>
      </c>
      <c r="P50" s="109">
        <v>297</v>
      </c>
      <c r="Q50" s="111">
        <f t="shared" si="3"/>
        <v>5.6937321388026998</v>
      </c>
      <c r="R50" s="93">
        <v>25.4</v>
      </c>
      <c r="S50" s="114">
        <v>85.5</v>
      </c>
      <c r="T50" s="113">
        <f t="shared" si="4"/>
        <v>4.4485163759427149</v>
      </c>
      <c r="U50" s="112">
        <v>6.8</v>
      </c>
      <c r="V50" s="113">
        <f t="shared" si="5"/>
        <v>1.9169226121820611</v>
      </c>
      <c r="W50" s="115">
        <v>11381.9</v>
      </c>
      <c r="X50" s="101">
        <f t="shared" si="6"/>
        <v>9.3397796533223296</v>
      </c>
      <c r="Y50" s="116">
        <v>2244</v>
      </c>
      <c r="Z50" s="102">
        <v>114863</v>
      </c>
      <c r="AA50" s="235">
        <v>0.41</v>
      </c>
      <c r="AB50" s="117">
        <f t="shared" si="7"/>
        <v>-0.89159811928378363</v>
      </c>
      <c r="AC50" s="115">
        <v>94</v>
      </c>
      <c r="AD50" s="117">
        <f t="shared" si="8"/>
        <v>4.5432947822700038</v>
      </c>
      <c r="AE50" s="109">
        <v>10178.439</v>
      </c>
      <c r="AF50" s="111">
        <f t="shared" si="9"/>
        <v>9.2280269384646303</v>
      </c>
      <c r="AG50" s="118">
        <v>31.8</v>
      </c>
      <c r="AH50" s="119">
        <v>16.140999999999998</v>
      </c>
      <c r="AI50" s="120">
        <f t="shared" si="10"/>
        <v>2.7813626187911424</v>
      </c>
      <c r="AJ50" s="121">
        <v>297</v>
      </c>
      <c r="AK50" s="120">
        <f t="shared" si="11"/>
        <v>5.6937321388026998</v>
      </c>
      <c r="AL50" s="108">
        <v>25.4</v>
      </c>
      <c r="AM50" s="119">
        <v>10178.4</v>
      </c>
      <c r="AN50" s="120">
        <f t="shared" si="12"/>
        <v>9.2280231068284913</v>
      </c>
      <c r="AO50" s="96">
        <v>156.11199999999999</v>
      </c>
      <c r="AP50" s="94">
        <v>136.303</v>
      </c>
      <c r="AQ50" s="95">
        <v>4.9148800000000001</v>
      </c>
      <c r="AR50" s="94">
        <v>14.8</v>
      </c>
      <c r="AS50" s="95">
        <f t="shared" si="13"/>
        <v>2.6946271807700692</v>
      </c>
      <c r="AT50" s="96">
        <v>73.384</v>
      </c>
    </row>
    <row r="51" spans="1:46">
      <c r="A51" s="109">
        <v>5</v>
      </c>
      <c r="B51" s="110" t="s">
        <v>44</v>
      </c>
      <c r="C51" s="110" t="s">
        <v>43</v>
      </c>
      <c r="D51" s="111">
        <v>2015</v>
      </c>
      <c r="E51" s="109">
        <v>25</v>
      </c>
      <c r="F51" s="111">
        <f t="shared" si="0"/>
        <v>3.2188758248682006</v>
      </c>
      <c r="G51" s="93">
        <v>0.89891399999999999</v>
      </c>
      <c r="H51" s="93">
        <v>1700000000</v>
      </c>
      <c r="I51" s="94">
        <v>17931.599999999999</v>
      </c>
      <c r="J51" s="95">
        <v>9.7943200000000008</v>
      </c>
      <c r="K51" s="96">
        <v>0.48</v>
      </c>
      <c r="L51" s="109">
        <v>16.988001000000001</v>
      </c>
      <c r="M51" s="111">
        <f t="shared" si="1"/>
        <v>2.8325072713161044</v>
      </c>
      <c r="N51" s="112">
        <v>1.02</v>
      </c>
      <c r="O51" s="113">
        <f t="shared" si="2"/>
        <v>1.980262729617973E-2</v>
      </c>
      <c r="P51" s="109">
        <v>294</v>
      </c>
      <c r="Q51" s="111">
        <f t="shared" si="3"/>
        <v>5.6835797673386814</v>
      </c>
      <c r="R51" s="93">
        <v>29.700001</v>
      </c>
      <c r="S51" s="114">
        <v>82.5</v>
      </c>
      <c r="T51" s="113">
        <f t="shared" si="4"/>
        <v>4.4127982933406349</v>
      </c>
      <c r="U51" s="112">
        <v>6.9</v>
      </c>
      <c r="V51" s="113">
        <f t="shared" si="5"/>
        <v>1.9315214116032138</v>
      </c>
      <c r="W51" s="115">
        <v>11821.4</v>
      </c>
      <c r="X51" s="101">
        <f t="shared" si="6"/>
        <v>9.3776667272626462</v>
      </c>
      <c r="Y51" s="116">
        <v>2441</v>
      </c>
      <c r="Z51" s="102">
        <v>117124</v>
      </c>
      <c r="AA51" s="235">
        <v>0.25</v>
      </c>
      <c r="AB51" s="117">
        <f t="shared" si="7"/>
        <v>-1.3862943611198906</v>
      </c>
      <c r="AC51" s="115">
        <v>98</v>
      </c>
      <c r="AD51" s="117">
        <f t="shared" si="8"/>
        <v>4.5849674786705723</v>
      </c>
      <c r="AE51" s="109">
        <v>9968.3369000000002</v>
      </c>
      <c r="AF51" s="111">
        <f t="shared" si="9"/>
        <v>9.2071690386101821</v>
      </c>
      <c r="AG51" s="118">
        <v>33</v>
      </c>
      <c r="AH51" s="119">
        <v>16.988</v>
      </c>
      <c r="AI51" s="120">
        <f t="shared" si="10"/>
        <v>2.8325072124510249</v>
      </c>
      <c r="AJ51" s="121">
        <v>294</v>
      </c>
      <c r="AK51" s="120">
        <f t="shared" si="11"/>
        <v>5.6835797673386814</v>
      </c>
      <c r="AL51" s="108">
        <v>29.7</v>
      </c>
      <c r="AM51" s="119">
        <v>9968.34</v>
      </c>
      <c r="AN51" s="120">
        <f t="shared" si="12"/>
        <v>9.2071693495948086</v>
      </c>
      <c r="AO51" s="96">
        <v>158.239</v>
      </c>
      <c r="AP51" s="94">
        <v>136.589</v>
      </c>
      <c r="AQ51" s="95">
        <v>4.9169799999999997</v>
      </c>
      <c r="AR51" s="94">
        <v>14.8</v>
      </c>
      <c r="AS51" s="95">
        <f t="shared" si="13"/>
        <v>2.6946271807700692</v>
      </c>
      <c r="AT51" s="96">
        <v>73.477000000000004</v>
      </c>
    </row>
    <row r="52" spans="1:46">
      <c r="A52" s="109">
        <v>5</v>
      </c>
      <c r="B52" s="110" t="s">
        <v>44</v>
      </c>
      <c r="C52" s="110" t="s">
        <v>43</v>
      </c>
      <c r="D52" s="111">
        <v>2016</v>
      </c>
      <c r="E52" s="109">
        <v>23.9</v>
      </c>
      <c r="F52" s="111">
        <f t="shared" si="0"/>
        <v>3.1738784589374651</v>
      </c>
      <c r="G52" s="93">
        <v>5.4756600000000004</v>
      </c>
      <c r="H52" s="93">
        <v>11000000000</v>
      </c>
      <c r="I52" s="94">
        <v>18359.099999999999</v>
      </c>
      <c r="J52" s="95">
        <v>9.8178800000000006</v>
      </c>
      <c r="K52" s="96">
        <v>0.47</v>
      </c>
      <c r="L52" s="109">
        <v>16.687999999999999</v>
      </c>
      <c r="M52" s="111">
        <f t="shared" si="1"/>
        <v>2.8146898982584165</v>
      </c>
      <c r="N52" s="112">
        <v>1.0606</v>
      </c>
      <c r="O52" s="113">
        <f t="shared" si="2"/>
        <v>5.8834785720892555E-2</v>
      </c>
      <c r="P52" s="109">
        <v>306</v>
      </c>
      <c r="Q52" s="111">
        <f t="shared" si="3"/>
        <v>5.7235851019523807</v>
      </c>
      <c r="R52" s="93">
        <v>33.599997999999999</v>
      </c>
      <c r="S52" s="114">
        <v>90</v>
      </c>
      <c r="T52" s="113">
        <f t="shared" si="4"/>
        <v>4.499809670330265</v>
      </c>
      <c r="U52" s="112">
        <v>7.5</v>
      </c>
      <c r="V52" s="113">
        <f t="shared" si="5"/>
        <v>2.0149030205422647</v>
      </c>
      <c r="W52" s="115">
        <v>11743.5</v>
      </c>
      <c r="X52" s="101">
        <f t="shared" si="6"/>
        <v>9.3710551750160782</v>
      </c>
      <c r="Y52" s="116">
        <v>2554</v>
      </c>
      <c r="Z52" s="102">
        <v>120738</v>
      </c>
      <c r="AA52" s="235">
        <v>0.17</v>
      </c>
      <c r="AB52" s="117">
        <f t="shared" si="7"/>
        <v>-1.7719568419318752</v>
      </c>
      <c r="AC52" s="115">
        <v>102</v>
      </c>
      <c r="AD52" s="117">
        <f t="shared" si="8"/>
        <v>4.6249728132842707</v>
      </c>
      <c r="AE52" s="109">
        <v>10018.364</v>
      </c>
      <c r="AF52" s="111">
        <f t="shared" si="9"/>
        <v>9.2121750878552007</v>
      </c>
      <c r="AG52" s="118">
        <v>32.299999999999997</v>
      </c>
      <c r="AH52" s="119">
        <v>16.687999999999999</v>
      </c>
      <c r="AI52" s="120">
        <f t="shared" si="10"/>
        <v>2.8146898982584165</v>
      </c>
      <c r="AJ52" s="121">
        <v>306</v>
      </c>
      <c r="AK52" s="120">
        <f t="shared" si="11"/>
        <v>5.7235851019523807</v>
      </c>
      <c r="AL52" s="108">
        <v>33.6</v>
      </c>
      <c r="AM52" s="119">
        <v>10018.4</v>
      </c>
      <c r="AN52" s="120">
        <f t="shared" si="12"/>
        <v>9.2121786812498225</v>
      </c>
      <c r="AO52" s="96">
        <v>154.285</v>
      </c>
      <c r="AP52" s="94">
        <v>136.852</v>
      </c>
      <c r="AQ52" s="95">
        <v>4.9188999999999998</v>
      </c>
      <c r="AR52" s="94">
        <v>14.8</v>
      </c>
      <c r="AS52" s="95">
        <f t="shared" si="13"/>
        <v>2.6946271807700692</v>
      </c>
      <c r="AT52" s="96">
        <v>73.569999999999993</v>
      </c>
    </row>
    <row r="53" spans="1:46">
      <c r="A53" s="109">
        <v>5</v>
      </c>
      <c r="B53" s="110" t="s">
        <v>44</v>
      </c>
      <c r="C53" s="110" t="s">
        <v>43</v>
      </c>
      <c r="D53" s="111">
        <v>2017</v>
      </c>
      <c r="E53" s="109">
        <v>24.7</v>
      </c>
      <c r="F53" s="111">
        <f t="shared" si="0"/>
        <v>3.2068032436339315</v>
      </c>
      <c r="G53" s="93">
        <v>5.0706600000000002</v>
      </c>
      <c r="H53" s="93">
        <v>11000000000</v>
      </c>
      <c r="I53" s="94">
        <v>19257.7</v>
      </c>
      <c r="J53" s="95">
        <v>9.8656699999999997</v>
      </c>
      <c r="K53" s="96">
        <v>0.47</v>
      </c>
      <c r="L53" s="109">
        <v>17.850000000000001</v>
      </c>
      <c r="M53" s="111">
        <f t="shared" si="1"/>
        <v>2.8820035082256483</v>
      </c>
      <c r="N53" s="112">
        <v>1.0991</v>
      </c>
      <c r="O53" s="113">
        <f t="shared" si="2"/>
        <v>9.4491663092717601E-2</v>
      </c>
      <c r="P53" s="109">
        <v>317</v>
      </c>
      <c r="Q53" s="111">
        <f t="shared" si="3"/>
        <v>5.7589017738772803</v>
      </c>
      <c r="R53" s="93">
        <v>32.099997999999999</v>
      </c>
      <c r="S53" s="114">
        <v>86.9</v>
      </c>
      <c r="T53" s="113">
        <f t="shared" si="4"/>
        <v>4.4647580322713463</v>
      </c>
      <c r="U53" s="112">
        <v>9.1</v>
      </c>
      <c r="V53" s="113">
        <f t="shared" si="5"/>
        <v>2.2082744135228043</v>
      </c>
      <c r="W53" s="115">
        <v>11740.6</v>
      </c>
      <c r="X53" s="101">
        <f t="shared" si="6"/>
        <v>9.3708081994015355</v>
      </c>
      <c r="Y53" s="116">
        <v>2744</v>
      </c>
      <c r="Z53" s="102">
        <v>120430</v>
      </c>
      <c r="AA53" s="235">
        <v>0.6</v>
      </c>
      <c r="AB53" s="117">
        <f t="shared" si="7"/>
        <v>-0.51082562376599072</v>
      </c>
      <c r="AC53" s="115">
        <v>103</v>
      </c>
      <c r="AD53" s="117">
        <f t="shared" si="8"/>
        <v>4.6347289882296359</v>
      </c>
      <c r="AE53" s="109">
        <v>9457.3232000000007</v>
      </c>
      <c r="AF53" s="111">
        <f t="shared" si="9"/>
        <v>9.15454466217437</v>
      </c>
      <c r="AG53" s="118">
        <v>32.9</v>
      </c>
      <c r="AH53" s="119">
        <v>17.850000000000001</v>
      </c>
      <c r="AI53" s="120">
        <f t="shared" si="10"/>
        <v>2.8820035082256483</v>
      </c>
      <c r="AJ53" s="121">
        <v>317</v>
      </c>
      <c r="AK53" s="120">
        <f t="shared" si="11"/>
        <v>5.7589017738772803</v>
      </c>
      <c r="AL53" s="108">
        <v>32.1</v>
      </c>
      <c r="AM53" s="119">
        <v>9457.32</v>
      </c>
      <c r="AN53" s="120">
        <f t="shared" si="12"/>
        <v>9.1545443238121855</v>
      </c>
      <c r="AO53" s="96">
        <v>155.934</v>
      </c>
      <c r="AP53" s="94">
        <v>137.21600000000001</v>
      </c>
      <c r="AQ53" s="95">
        <v>4.9215600000000004</v>
      </c>
      <c r="AR53" s="94">
        <v>14.5</v>
      </c>
      <c r="AS53" s="95">
        <f t="shared" si="13"/>
        <v>2.6741486494265287</v>
      </c>
      <c r="AT53" s="96">
        <v>73.674999999999997</v>
      </c>
    </row>
    <row r="54" spans="1:46">
      <c r="A54" s="109">
        <v>5</v>
      </c>
      <c r="B54" s="110" t="s">
        <v>44</v>
      </c>
      <c r="C54" s="110" t="s">
        <v>43</v>
      </c>
      <c r="D54" s="111">
        <v>2018</v>
      </c>
      <c r="E54" s="109">
        <v>24.7</v>
      </c>
      <c r="F54" s="111">
        <f t="shared" si="0"/>
        <v>3.2068032436339315</v>
      </c>
      <c r="G54" s="93">
        <v>3.3035399999999999</v>
      </c>
      <c r="H54" s="93">
        <v>8300000000</v>
      </c>
      <c r="I54" s="94">
        <v>19736.599999999999</v>
      </c>
      <c r="J54" s="95">
        <v>9.8902300000000007</v>
      </c>
      <c r="K54" s="96">
        <v>0.47</v>
      </c>
      <c r="L54" s="109">
        <v>17.829999999999998</v>
      </c>
      <c r="M54" s="111">
        <f t="shared" si="1"/>
        <v>2.8808824318750488</v>
      </c>
      <c r="N54" s="112">
        <v>1.1122000000000001</v>
      </c>
      <c r="O54" s="113">
        <f t="shared" si="2"/>
        <v>0.10634003577132663</v>
      </c>
      <c r="P54" s="109">
        <v>318</v>
      </c>
      <c r="Q54" s="111">
        <f t="shared" si="3"/>
        <v>5.7620513827801769</v>
      </c>
      <c r="R54" s="93">
        <v>32.200001</v>
      </c>
      <c r="S54" s="114">
        <v>84.7</v>
      </c>
      <c r="T54" s="113">
        <f t="shared" si="4"/>
        <v>4.4391156016580089</v>
      </c>
      <c r="U54" s="112">
        <v>10.5</v>
      </c>
      <c r="V54" s="113">
        <f t="shared" si="5"/>
        <v>2.3513752571634776</v>
      </c>
      <c r="W54" s="115">
        <v>12059.6</v>
      </c>
      <c r="X54" s="101">
        <f t="shared" si="6"/>
        <v>9.397616302235269</v>
      </c>
      <c r="Y54" s="116">
        <v>2974</v>
      </c>
      <c r="Z54" s="102">
        <v>120905</v>
      </c>
      <c r="AA54" s="235">
        <v>0.44</v>
      </c>
      <c r="AB54" s="117">
        <f t="shared" si="7"/>
        <v>-0.82098055206983023</v>
      </c>
      <c r="AC54" s="115">
        <v>104</v>
      </c>
      <c r="AD54" s="117">
        <f t="shared" si="8"/>
        <v>4.6443908991413725</v>
      </c>
      <c r="AE54" s="109">
        <v>8455.7724999999991</v>
      </c>
      <c r="AF54" s="111">
        <f t="shared" si="9"/>
        <v>9.0426046232146451</v>
      </c>
      <c r="AG54" s="118">
        <v>32.799999999999997</v>
      </c>
      <c r="AH54" s="119">
        <v>17.829999999999998</v>
      </c>
      <c r="AI54" s="120">
        <f t="shared" si="10"/>
        <v>2.8808824318750488</v>
      </c>
      <c r="AJ54" s="121">
        <v>318</v>
      </c>
      <c r="AK54" s="120">
        <f t="shared" si="11"/>
        <v>5.7620513827801769</v>
      </c>
      <c r="AL54" s="108">
        <v>32.200000000000003</v>
      </c>
      <c r="AM54" s="119">
        <v>8455.77</v>
      </c>
      <c r="AN54" s="120">
        <f t="shared" si="12"/>
        <v>9.0426043275585872</v>
      </c>
      <c r="AO54" s="96">
        <v>153.535</v>
      </c>
      <c r="AP54" s="94">
        <v>137.67599999999999</v>
      </c>
      <c r="AQ54" s="95">
        <v>4.9249000000000001</v>
      </c>
      <c r="AR54" s="94">
        <v>14.7</v>
      </c>
      <c r="AS54" s="95">
        <f t="shared" si="13"/>
        <v>2.6878474937846906</v>
      </c>
      <c r="AT54" s="96">
        <v>73.792000000000002</v>
      </c>
    </row>
    <row r="55" spans="1:46">
      <c r="A55" s="109">
        <v>5</v>
      </c>
      <c r="B55" s="110" t="s">
        <v>44</v>
      </c>
      <c r="C55" s="110" t="s">
        <v>43</v>
      </c>
      <c r="D55" s="111">
        <v>2019</v>
      </c>
      <c r="E55" s="109">
        <v>25.3</v>
      </c>
      <c r="F55" s="111">
        <f t="shared" si="0"/>
        <v>3.2308043957334744</v>
      </c>
      <c r="G55" s="93">
        <v>4.1870599999999998</v>
      </c>
      <c r="H55" s="93">
        <v>11000000000</v>
      </c>
      <c r="I55" s="94">
        <v>20360.099999999999</v>
      </c>
      <c r="J55" s="95">
        <v>9.9213299999999993</v>
      </c>
      <c r="K55" s="96">
        <v>0.33</v>
      </c>
      <c r="L55" s="109">
        <v>17.335999999999999</v>
      </c>
      <c r="M55" s="111">
        <f t="shared" si="1"/>
        <v>2.8527852642340576</v>
      </c>
      <c r="N55" s="112">
        <v>1.1414</v>
      </c>
      <c r="O55" s="113">
        <f t="shared" si="2"/>
        <v>0.13225557912047065</v>
      </c>
      <c r="P55" s="109">
        <v>320</v>
      </c>
      <c r="Q55" s="111">
        <f t="shared" si="3"/>
        <v>5.768320995793772</v>
      </c>
      <c r="R55" s="93">
        <v>33.299999</v>
      </c>
      <c r="S55" s="114">
        <v>92.6</v>
      </c>
      <c r="T55" s="113">
        <f t="shared" si="4"/>
        <v>4.5282891416521336</v>
      </c>
      <c r="U55" s="112">
        <v>10.6</v>
      </c>
      <c r="V55" s="113">
        <f t="shared" si="5"/>
        <v>2.3608540011180215</v>
      </c>
      <c r="W55" s="115">
        <v>13898.1</v>
      </c>
      <c r="X55" s="101">
        <f t="shared" si="6"/>
        <v>9.5395074191282827</v>
      </c>
      <c r="Y55" s="116">
        <v>3225</v>
      </c>
      <c r="Z55" s="102">
        <v>125173</v>
      </c>
      <c r="AA55" s="235">
        <v>0.89</v>
      </c>
      <c r="AB55" s="117">
        <f t="shared" si="7"/>
        <v>-0.11653381625595151</v>
      </c>
      <c r="AC55" s="115">
        <v>106</v>
      </c>
      <c r="AD55" s="117">
        <f t="shared" si="8"/>
        <v>4.6634390941120669</v>
      </c>
      <c r="AE55" s="109">
        <v>7454.2217000000001</v>
      </c>
      <c r="AF55" s="111">
        <f t="shared" si="9"/>
        <v>8.9165358220170834</v>
      </c>
      <c r="AG55" s="118">
        <v>32.700000000000003</v>
      </c>
      <c r="AH55" s="119">
        <v>17.335999999999999</v>
      </c>
      <c r="AI55" s="120">
        <f t="shared" si="10"/>
        <v>2.8527852642340576</v>
      </c>
      <c r="AJ55" s="121">
        <v>320</v>
      </c>
      <c r="AK55" s="120">
        <f t="shared" si="11"/>
        <v>5.768320995793772</v>
      </c>
      <c r="AL55" s="108">
        <v>33.299999999999997</v>
      </c>
      <c r="AM55" s="119">
        <v>0</v>
      </c>
      <c r="AN55" s="120">
        <v>0</v>
      </c>
      <c r="AO55" s="96">
        <v>147.26499999999999</v>
      </c>
      <c r="AP55" s="94">
        <v>138.227</v>
      </c>
      <c r="AQ55" s="95">
        <v>4.9288999999999996</v>
      </c>
      <c r="AR55" s="94">
        <v>15.9</v>
      </c>
      <c r="AS55" s="95">
        <f t="shared" si="13"/>
        <v>2.7663191092261861</v>
      </c>
      <c r="AT55" s="96">
        <v>73.921000000000006</v>
      </c>
    </row>
    <row r="56" spans="1:46">
      <c r="A56" s="109">
        <v>5</v>
      </c>
      <c r="B56" s="110" t="s">
        <v>44</v>
      </c>
      <c r="C56" s="110" t="s">
        <v>43</v>
      </c>
      <c r="D56" s="111">
        <v>2020</v>
      </c>
      <c r="E56" s="109">
        <v>25.7</v>
      </c>
      <c r="F56" s="111">
        <f t="shared" si="0"/>
        <v>3.2464909919011742</v>
      </c>
      <c r="G56" s="93">
        <v>3.39114</v>
      </c>
      <c r="H56" s="93">
        <v>8500000000</v>
      </c>
      <c r="I56" s="94">
        <v>19233.099999999999</v>
      </c>
      <c r="J56" s="95">
        <v>9.8643900000000002</v>
      </c>
      <c r="K56" s="96">
        <v>0.32</v>
      </c>
      <c r="L56" s="109">
        <v>16.042000000000002</v>
      </c>
      <c r="M56" s="111">
        <f t="shared" si="1"/>
        <v>2.7752102829447329</v>
      </c>
      <c r="N56" s="112">
        <v>1.1672</v>
      </c>
      <c r="O56" s="113">
        <f t="shared" si="2"/>
        <v>0.15460771822643884</v>
      </c>
      <c r="P56" s="109">
        <v>308</v>
      </c>
      <c r="Q56" s="111">
        <f t="shared" si="3"/>
        <v>5.730099782973574</v>
      </c>
      <c r="R56" s="93">
        <v>40.5</v>
      </c>
      <c r="S56" s="114">
        <v>88.8</v>
      </c>
      <c r="T56" s="113">
        <f t="shared" si="4"/>
        <v>4.4863866499981242</v>
      </c>
      <c r="U56" s="112">
        <v>11.5</v>
      </c>
      <c r="V56" s="113">
        <f t="shared" si="5"/>
        <v>2.4423470353692043</v>
      </c>
      <c r="W56" s="115">
        <v>13085</v>
      </c>
      <c r="X56" s="101">
        <f t="shared" si="6"/>
        <v>9.4792218149642462</v>
      </c>
      <c r="Y56" s="116">
        <v>3144</v>
      </c>
      <c r="Z56" s="102">
        <v>123938</v>
      </c>
      <c r="AA56" s="235">
        <v>0.67</v>
      </c>
      <c r="AB56" s="117">
        <f t="shared" si="7"/>
        <v>-0.40047756659712525</v>
      </c>
      <c r="AC56" s="115">
        <v>103</v>
      </c>
      <c r="AD56" s="117">
        <f t="shared" si="8"/>
        <v>4.6347289882296359</v>
      </c>
      <c r="AE56" s="109">
        <v>6452.6709000000001</v>
      </c>
      <c r="AF56" s="111">
        <f t="shared" si="9"/>
        <v>8.7722494171002197</v>
      </c>
      <c r="AG56" s="118">
        <v>31.1</v>
      </c>
      <c r="AH56" s="119">
        <v>16.042000000000002</v>
      </c>
      <c r="AI56" s="120">
        <f t="shared" si="10"/>
        <v>2.7752102829447329</v>
      </c>
      <c r="AJ56" s="121">
        <v>308</v>
      </c>
      <c r="AK56" s="120">
        <f t="shared" si="11"/>
        <v>5.730099782973574</v>
      </c>
      <c r="AL56" s="108">
        <v>40.5</v>
      </c>
      <c r="AM56" s="119">
        <v>0</v>
      </c>
      <c r="AN56" s="120">
        <v>0</v>
      </c>
      <c r="AO56" s="96">
        <v>144.56299999999999</v>
      </c>
      <c r="AP56" s="94">
        <v>138.57599999999999</v>
      </c>
      <c r="AQ56" s="95">
        <v>4.9314200000000001</v>
      </c>
      <c r="AR56" s="94">
        <v>17</v>
      </c>
      <c r="AS56" s="95">
        <f t="shared" si="13"/>
        <v>2.8332133440562162</v>
      </c>
      <c r="AT56" s="96">
        <v>74.061000000000007</v>
      </c>
    </row>
    <row r="57" spans="1:46">
      <c r="A57" s="109">
        <v>6</v>
      </c>
      <c r="B57" s="110" t="s">
        <v>42</v>
      </c>
      <c r="C57" s="110" t="s">
        <v>41</v>
      </c>
      <c r="D57" s="111">
        <v>2010</v>
      </c>
      <c r="E57" s="109">
        <v>29</v>
      </c>
      <c r="F57" s="111">
        <f t="shared" si="0"/>
        <v>3.3672958299864741</v>
      </c>
      <c r="G57" s="93">
        <v>2.4807899999999998</v>
      </c>
      <c r="H57" s="93">
        <v>86000000000</v>
      </c>
      <c r="I57" s="94">
        <v>38517.4</v>
      </c>
      <c r="J57" s="95">
        <v>10.5589</v>
      </c>
      <c r="K57" s="96">
        <v>0.74</v>
      </c>
      <c r="L57" s="109">
        <v>15.398999999999999</v>
      </c>
      <c r="M57" s="111">
        <f t="shared" si="1"/>
        <v>2.7343025722462757</v>
      </c>
      <c r="N57" s="112">
        <v>2.2462</v>
      </c>
      <c r="O57" s="113">
        <f t="shared" si="2"/>
        <v>0.80923989954679865</v>
      </c>
      <c r="P57" s="109">
        <v>642</v>
      </c>
      <c r="Q57" s="111">
        <f t="shared" si="3"/>
        <v>6.4645883036899612</v>
      </c>
      <c r="R57" s="93">
        <v>62.5</v>
      </c>
      <c r="S57" s="114">
        <v>82.8</v>
      </c>
      <c r="T57" s="113">
        <f t="shared" si="4"/>
        <v>4.4164280613912137</v>
      </c>
      <c r="U57" s="112">
        <v>11.2</v>
      </c>
      <c r="V57" s="113">
        <f t="shared" si="5"/>
        <v>2.4159137783010487</v>
      </c>
      <c r="W57" s="115">
        <v>7078.4</v>
      </c>
      <c r="X57" s="101">
        <f t="shared" si="6"/>
        <v>8.8648031724479068</v>
      </c>
      <c r="Y57" s="116">
        <v>46909</v>
      </c>
      <c r="Z57" s="102">
        <v>583392</v>
      </c>
      <c r="AA57" s="235">
        <v>1.1299999999999999</v>
      </c>
      <c r="AB57" s="117">
        <f t="shared" si="7"/>
        <v>0.12221763272424911</v>
      </c>
      <c r="AC57" s="115">
        <v>100</v>
      </c>
      <c r="AD57" s="117">
        <f t="shared" si="8"/>
        <v>4.6051701859880918</v>
      </c>
      <c r="AE57" s="109">
        <v>9782.7178000000004</v>
      </c>
      <c r="AF57" s="111">
        <f t="shared" si="9"/>
        <v>9.1883726180841041</v>
      </c>
      <c r="AG57" s="118">
        <v>38</v>
      </c>
      <c r="AH57" s="119">
        <v>15.398999999999999</v>
      </c>
      <c r="AI57" s="120">
        <f t="shared" si="10"/>
        <v>2.7343025722462757</v>
      </c>
      <c r="AJ57" s="121">
        <v>642</v>
      </c>
      <c r="AK57" s="120">
        <f t="shared" si="11"/>
        <v>6.4645883036899612</v>
      </c>
      <c r="AL57" s="108">
        <v>62.5</v>
      </c>
      <c r="AM57" s="119">
        <v>9782.7199999999993</v>
      </c>
      <c r="AN57" s="120">
        <f t="shared" si="12"/>
        <v>9.188372842970459</v>
      </c>
      <c r="AO57" s="96">
        <v>66.713800000000006</v>
      </c>
      <c r="AP57" s="94">
        <v>234.607</v>
      </c>
      <c r="AQ57" s="95">
        <v>5.45791</v>
      </c>
      <c r="AR57" s="94">
        <v>11.6</v>
      </c>
      <c r="AS57" s="95">
        <f t="shared" si="13"/>
        <v>2.451005098112319</v>
      </c>
      <c r="AT57" s="96">
        <v>76.965999999999994</v>
      </c>
    </row>
    <row r="58" spans="1:46">
      <c r="A58" s="109">
        <v>6</v>
      </c>
      <c r="B58" s="110" t="s">
        <v>42</v>
      </c>
      <c r="C58" s="110" t="s">
        <v>41</v>
      </c>
      <c r="D58" s="111">
        <v>2011</v>
      </c>
      <c r="E58" s="109">
        <v>30</v>
      </c>
      <c r="F58" s="111">
        <f t="shared" si="0"/>
        <v>3.4011973816621555</v>
      </c>
      <c r="G58" s="93">
        <v>2.5500600000000002</v>
      </c>
      <c r="H58" s="93">
        <v>98000000000</v>
      </c>
      <c r="I58" s="94">
        <v>40712.699999999997</v>
      </c>
      <c r="J58" s="95">
        <v>10.6143</v>
      </c>
      <c r="K58" s="96">
        <v>0.72</v>
      </c>
      <c r="L58" s="109">
        <v>0</v>
      </c>
      <c r="M58" s="111">
        <v>0</v>
      </c>
      <c r="N58" s="112">
        <v>2.1867999999999999</v>
      </c>
      <c r="O58" s="113">
        <f t="shared" si="2"/>
        <v>0.7824392880387071</v>
      </c>
      <c r="P58" s="109">
        <v>632</v>
      </c>
      <c r="Q58" s="111">
        <f t="shared" si="3"/>
        <v>6.4488893941468577</v>
      </c>
      <c r="R58" s="93">
        <v>63</v>
      </c>
      <c r="S58" s="114">
        <v>83.9</v>
      </c>
      <c r="T58" s="113">
        <f t="shared" si="4"/>
        <v>4.4296256134731609</v>
      </c>
      <c r="U58" s="112">
        <v>10.6</v>
      </c>
      <c r="V58" s="113">
        <f t="shared" si="5"/>
        <v>2.3608540011180215</v>
      </c>
      <c r="W58" s="115">
        <v>8983.4</v>
      </c>
      <c r="X58" s="101">
        <f t="shared" si="6"/>
        <v>9.1031337087917752</v>
      </c>
      <c r="Y58" s="116">
        <v>47950</v>
      </c>
      <c r="Z58" s="102">
        <v>596629</v>
      </c>
      <c r="AA58" s="235">
        <v>1.37</v>
      </c>
      <c r="AB58" s="117">
        <f t="shared" si="7"/>
        <v>0.3148107398400336</v>
      </c>
      <c r="AC58" s="115">
        <v>102</v>
      </c>
      <c r="AD58" s="117">
        <f t="shared" si="8"/>
        <v>4.6249728132842707</v>
      </c>
      <c r="AE58" s="109">
        <v>9873.4853999999996</v>
      </c>
      <c r="AF58" s="111">
        <f t="shared" si="9"/>
        <v>9.1976082007906452</v>
      </c>
      <c r="AG58" s="118">
        <v>37.1</v>
      </c>
      <c r="AH58" s="119">
        <v>0</v>
      </c>
      <c r="AI58" s="120">
        <v>0</v>
      </c>
      <c r="AJ58" s="121">
        <v>632</v>
      </c>
      <c r="AK58" s="120">
        <f t="shared" si="11"/>
        <v>6.4488893941468577</v>
      </c>
      <c r="AL58" s="108">
        <v>63</v>
      </c>
      <c r="AM58" s="119">
        <v>9873.49</v>
      </c>
      <c r="AN58" s="120">
        <f t="shared" si="12"/>
        <v>9.1976086666847792</v>
      </c>
      <c r="AO58" s="96">
        <v>71.345799999999997</v>
      </c>
      <c r="AP58" s="94">
        <v>230.30500000000001</v>
      </c>
      <c r="AQ58" s="95">
        <v>5.4394</v>
      </c>
      <c r="AR58" s="94">
        <v>12.5</v>
      </c>
      <c r="AS58" s="95">
        <f t="shared" si="13"/>
        <v>2.5257286443082556</v>
      </c>
      <c r="AT58" s="96">
        <v>77.16</v>
      </c>
    </row>
    <row r="59" spans="1:46">
      <c r="A59" s="109">
        <v>6</v>
      </c>
      <c r="B59" s="110" t="s">
        <v>42</v>
      </c>
      <c r="C59" s="110" t="s">
        <v>41</v>
      </c>
      <c r="D59" s="111">
        <v>2012</v>
      </c>
      <c r="E59" s="109">
        <v>31.5</v>
      </c>
      <c r="F59" s="111">
        <f t="shared" si="0"/>
        <v>3.4499875458315872</v>
      </c>
      <c r="G59" s="93">
        <v>1.8189299999999999</v>
      </c>
      <c r="H59" s="93">
        <v>65000000000</v>
      </c>
      <c r="I59" s="94">
        <v>40829</v>
      </c>
      <c r="J59" s="95">
        <v>10.617100000000001</v>
      </c>
      <c r="K59" s="96">
        <v>0.74</v>
      </c>
      <c r="L59" s="109">
        <v>16.007000000000001</v>
      </c>
      <c r="M59" s="111">
        <f t="shared" si="1"/>
        <v>2.7730261265645604</v>
      </c>
      <c r="N59" s="112">
        <v>2.2747999999999999</v>
      </c>
      <c r="O59" s="113">
        <f t="shared" si="2"/>
        <v>0.82189213645050752</v>
      </c>
      <c r="P59" s="109">
        <v>640</v>
      </c>
      <c r="Q59" s="111">
        <f t="shared" si="3"/>
        <v>6.4614681763537174</v>
      </c>
      <c r="R59" s="93">
        <v>65.199996999999996</v>
      </c>
      <c r="S59" s="114">
        <v>83.5</v>
      </c>
      <c r="T59" s="113">
        <f t="shared" si="4"/>
        <v>4.42484663185681</v>
      </c>
      <c r="U59" s="112">
        <v>11</v>
      </c>
      <c r="V59" s="113">
        <f t="shared" si="5"/>
        <v>2.3978952727983707</v>
      </c>
      <c r="W59" s="115">
        <v>10636.4</v>
      </c>
      <c r="X59" s="101">
        <f t="shared" si="6"/>
        <v>9.2720373597790982</v>
      </c>
      <c r="Y59" s="116">
        <v>46894</v>
      </c>
      <c r="Z59" s="102">
        <v>617452</v>
      </c>
      <c r="AA59" s="235">
        <v>1.1399999999999999</v>
      </c>
      <c r="AB59" s="117">
        <f t="shared" si="7"/>
        <v>0.131028262406404</v>
      </c>
      <c r="AC59" s="115">
        <v>103</v>
      </c>
      <c r="AD59" s="117">
        <f t="shared" si="8"/>
        <v>4.6347289882296359</v>
      </c>
      <c r="AE59" s="109">
        <v>9321.4696999999996</v>
      </c>
      <c r="AF59" s="111">
        <f t="shared" si="9"/>
        <v>9.1400755883804283</v>
      </c>
      <c r="AG59" s="118">
        <v>36.799999999999997</v>
      </c>
      <c r="AH59" s="119">
        <v>16.007000000000001</v>
      </c>
      <c r="AI59" s="120">
        <f t="shared" si="10"/>
        <v>2.7730261265645604</v>
      </c>
      <c r="AJ59" s="121">
        <v>640</v>
      </c>
      <c r="AK59" s="120">
        <f t="shared" si="11"/>
        <v>6.4614681763537174</v>
      </c>
      <c r="AL59" s="108">
        <v>65.2</v>
      </c>
      <c r="AM59" s="119">
        <v>9321.4699999999993</v>
      </c>
      <c r="AN59" s="120">
        <f t="shared" si="12"/>
        <v>9.1400756205641951</v>
      </c>
      <c r="AO59" s="96">
        <v>71.040499999999994</v>
      </c>
      <c r="AP59" s="94">
        <v>230.751</v>
      </c>
      <c r="AQ59" s="95">
        <v>5.4413400000000003</v>
      </c>
      <c r="AR59" s="94">
        <v>13.6</v>
      </c>
      <c r="AS59" s="95">
        <f t="shared" si="13"/>
        <v>2.6100697927420065</v>
      </c>
      <c r="AT59" s="96">
        <v>77.17</v>
      </c>
    </row>
    <row r="60" spans="1:46">
      <c r="A60" s="109">
        <v>6</v>
      </c>
      <c r="B60" s="110" t="s">
        <v>42</v>
      </c>
      <c r="C60" s="110" t="s">
        <v>41</v>
      </c>
      <c r="D60" s="111">
        <v>2013</v>
      </c>
      <c r="E60" s="109">
        <v>31.5</v>
      </c>
      <c r="F60" s="111">
        <f t="shared" si="0"/>
        <v>3.4499875458315872</v>
      </c>
      <c r="G60" s="93">
        <v>1.7646599999999999</v>
      </c>
      <c r="H60" s="93">
        <v>67000000000</v>
      </c>
      <c r="I60" s="94">
        <v>40875</v>
      </c>
      <c r="J60" s="95">
        <v>10.6183</v>
      </c>
      <c r="K60" s="96">
        <v>0.72</v>
      </c>
      <c r="L60" s="109">
        <v>15.949</v>
      </c>
      <c r="M60" s="111">
        <f t="shared" si="1"/>
        <v>2.769396131340617</v>
      </c>
      <c r="N60" s="112">
        <v>2.2837000000000001</v>
      </c>
      <c r="O60" s="113">
        <f t="shared" si="2"/>
        <v>0.82579693465540915</v>
      </c>
      <c r="P60" s="109">
        <v>601</v>
      </c>
      <c r="Q60" s="111">
        <f t="shared" si="3"/>
        <v>6.3985949345352076</v>
      </c>
      <c r="R60" s="93">
        <v>63.799999</v>
      </c>
      <c r="S60" s="114">
        <v>82.8</v>
      </c>
      <c r="T60" s="113">
        <f t="shared" si="4"/>
        <v>4.4164280613912137</v>
      </c>
      <c r="U60" s="112">
        <v>11.1</v>
      </c>
      <c r="V60" s="113">
        <f t="shared" si="5"/>
        <v>2.4069451083182885</v>
      </c>
      <c r="W60" s="115">
        <v>12487.7</v>
      </c>
      <c r="X60" s="101">
        <f t="shared" si="6"/>
        <v>9.4324994388445695</v>
      </c>
      <c r="Y60" s="116">
        <v>48203</v>
      </c>
      <c r="Z60" s="102">
        <v>611082</v>
      </c>
      <c r="AA60" s="235">
        <v>1.07</v>
      </c>
      <c r="AB60" s="117">
        <f t="shared" si="7"/>
        <v>6.7658648473814864E-2</v>
      </c>
      <c r="AC60" s="115">
        <v>104</v>
      </c>
      <c r="AD60" s="117">
        <f t="shared" si="8"/>
        <v>4.6443908991413725</v>
      </c>
      <c r="AE60" s="109">
        <v>9288.0547000000006</v>
      </c>
      <c r="AF60" s="111">
        <f t="shared" si="9"/>
        <v>9.1364844126799376</v>
      </c>
      <c r="AG60" s="118">
        <v>37.9</v>
      </c>
      <c r="AH60" s="119">
        <v>15.949</v>
      </c>
      <c r="AI60" s="120">
        <f t="shared" si="10"/>
        <v>2.769396131340617</v>
      </c>
      <c r="AJ60" s="121">
        <v>601</v>
      </c>
      <c r="AK60" s="120">
        <f t="shared" si="11"/>
        <v>6.3985949345352076</v>
      </c>
      <c r="AL60" s="108">
        <v>63.8</v>
      </c>
      <c r="AM60" s="119">
        <v>9288.0499999999993</v>
      </c>
      <c r="AN60" s="120">
        <f t="shared" si="12"/>
        <v>9.1364839066535044</v>
      </c>
      <c r="AO60" s="96">
        <v>68.966399999999993</v>
      </c>
      <c r="AP60" s="94">
        <v>231.15600000000001</v>
      </c>
      <c r="AQ60" s="95">
        <v>5.4430899999999998</v>
      </c>
      <c r="AR60" s="94">
        <v>13.6</v>
      </c>
      <c r="AS60" s="95">
        <f t="shared" si="13"/>
        <v>2.6100697927420065</v>
      </c>
      <c r="AT60" s="96">
        <v>77.180000000000007</v>
      </c>
    </row>
    <row r="61" spans="1:46">
      <c r="A61" s="109">
        <v>6</v>
      </c>
      <c r="B61" s="110" t="s">
        <v>42</v>
      </c>
      <c r="C61" s="110" t="s">
        <v>41</v>
      </c>
      <c r="D61" s="111">
        <v>2014</v>
      </c>
      <c r="E61" s="109">
        <v>30.5</v>
      </c>
      <c r="F61" s="111">
        <f t="shared" si="0"/>
        <v>3.417726683613366</v>
      </c>
      <c r="G61" s="93">
        <v>0.43765999999999999</v>
      </c>
      <c r="H61" s="93">
        <v>17000000000</v>
      </c>
      <c r="I61" s="94">
        <v>41588.1</v>
      </c>
      <c r="J61" s="95">
        <v>10.6356</v>
      </c>
      <c r="K61" s="96">
        <v>0.72</v>
      </c>
      <c r="L61" s="109">
        <v>16.059000000000001</v>
      </c>
      <c r="M61" s="111">
        <f t="shared" si="1"/>
        <v>2.7762694400793539</v>
      </c>
      <c r="N61" s="112">
        <v>2.3123999999999998</v>
      </c>
      <c r="O61" s="113">
        <f t="shared" si="2"/>
        <v>0.83828594622618391</v>
      </c>
      <c r="P61" s="109">
        <v>587</v>
      </c>
      <c r="Q61" s="111">
        <f t="shared" si="3"/>
        <v>6.3750248198280968</v>
      </c>
      <c r="R61" s="93">
        <v>65.599997999999999</v>
      </c>
      <c r="S61" s="114">
        <v>84.2</v>
      </c>
      <c r="T61" s="113">
        <f t="shared" si="4"/>
        <v>4.4331949212482815</v>
      </c>
      <c r="U61" s="112">
        <v>11.2</v>
      </c>
      <c r="V61" s="113">
        <f t="shared" si="5"/>
        <v>2.4159137783010487</v>
      </c>
      <c r="W61" s="115">
        <v>13520.5</v>
      </c>
      <c r="X61" s="101">
        <f t="shared" si="6"/>
        <v>9.5119623311616497</v>
      </c>
      <c r="Y61" s="116">
        <v>51337</v>
      </c>
      <c r="Z61" s="102">
        <v>657563</v>
      </c>
      <c r="AA61" s="235">
        <v>1.1100000000000001</v>
      </c>
      <c r="AB61" s="117">
        <f t="shared" si="7"/>
        <v>0.10436001532424286</v>
      </c>
      <c r="AC61" s="115">
        <v>107</v>
      </c>
      <c r="AD61" s="117">
        <f t="shared" si="8"/>
        <v>4.6728288344619058</v>
      </c>
      <c r="AE61" s="109">
        <v>9087.3153999999995</v>
      </c>
      <c r="AF61" s="111">
        <f t="shared" si="9"/>
        <v>9.1146348080178434</v>
      </c>
      <c r="AG61" s="118">
        <v>38</v>
      </c>
      <c r="AH61" s="119">
        <v>16.059000000000001</v>
      </c>
      <c r="AI61" s="120">
        <f t="shared" si="10"/>
        <v>2.7762694400793539</v>
      </c>
      <c r="AJ61" s="121">
        <v>587</v>
      </c>
      <c r="AK61" s="120">
        <f t="shared" si="11"/>
        <v>6.3750248198280968</v>
      </c>
      <c r="AL61" s="108">
        <v>65.599999999999994</v>
      </c>
      <c r="AM61" s="119">
        <v>9087.32</v>
      </c>
      <c r="AN61" s="120">
        <f t="shared" si="12"/>
        <v>9.1146353142178196</v>
      </c>
      <c r="AO61" s="96">
        <v>68.117599999999996</v>
      </c>
      <c r="AP61" s="94">
        <v>232.108</v>
      </c>
      <c r="AQ61" s="95">
        <v>5.4471999999999996</v>
      </c>
      <c r="AR61" s="94">
        <v>14</v>
      </c>
      <c r="AS61" s="95">
        <f t="shared" si="13"/>
        <v>2.6390573296152584</v>
      </c>
      <c r="AT61" s="96">
        <v>77.19</v>
      </c>
    </row>
    <row r="62" spans="1:46">
      <c r="A62" s="109">
        <v>6</v>
      </c>
      <c r="B62" s="110" t="s">
        <v>42</v>
      </c>
      <c r="C62" s="110" t="s">
        <v>41</v>
      </c>
      <c r="D62" s="111">
        <v>2015</v>
      </c>
      <c r="E62" s="109">
        <v>31.7</v>
      </c>
      <c r="F62" s="111">
        <f t="shared" si="0"/>
        <v>3.4563166808832348</v>
      </c>
      <c r="G62" s="93">
        <v>1.82321</v>
      </c>
      <c r="H62" s="93">
        <v>62000000000</v>
      </c>
      <c r="I62" s="94">
        <v>41911</v>
      </c>
      <c r="J62" s="95">
        <v>10.6433</v>
      </c>
      <c r="K62" s="96">
        <v>0.74</v>
      </c>
      <c r="L62" s="109">
        <v>15.316000000000001</v>
      </c>
      <c r="M62" s="111">
        <f t="shared" si="1"/>
        <v>2.7288980336150481</v>
      </c>
      <c r="N62" s="112">
        <v>2.4224999999999999</v>
      </c>
      <c r="O62" s="113">
        <f t="shared" si="2"/>
        <v>0.88480006478278417</v>
      </c>
      <c r="P62" s="109">
        <v>565</v>
      </c>
      <c r="Q62" s="111">
        <f t="shared" si="3"/>
        <v>6.3368257311464413</v>
      </c>
      <c r="R62" s="93">
        <v>66.699996999999996</v>
      </c>
      <c r="S62" s="114">
        <v>79.3</v>
      </c>
      <c r="T62" s="113">
        <f t="shared" si="4"/>
        <v>4.3732381286408026</v>
      </c>
      <c r="U62" s="112">
        <v>11.6</v>
      </c>
      <c r="V62" s="113">
        <f t="shared" si="5"/>
        <v>2.451005098112319</v>
      </c>
      <c r="W62" s="115">
        <v>16300.1</v>
      </c>
      <c r="X62" s="101">
        <f t="shared" si="6"/>
        <v>9.69892652174536</v>
      </c>
      <c r="Y62" s="116">
        <v>56939</v>
      </c>
      <c r="Z62" s="102">
        <v>651777</v>
      </c>
      <c r="AA62" s="235">
        <v>1.1000000000000001</v>
      </c>
      <c r="AB62" s="117">
        <f t="shared" si="7"/>
        <v>9.5310179804324935E-2</v>
      </c>
      <c r="AC62" s="115">
        <v>107</v>
      </c>
      <c r="AD62" s="117">
        <f t="shared" si="8"/>
        <v>4.6728288344619058</v>
      </c>
      <c r="AE62" s="109">
        <v>8939.5781000000006</v>
      </c>
      <c r="AF62" s="111">
        <f t="shared" si="9"/>
        <v>9.0982436746602282</v>
      </c>
      <c r="AG62" s="118">
        <v>40</v>
      </c>
      <c r="AH62" s="119">
        <v>15.316000000000001</v>
      </c>
      <c r="AI62" s="120">
        <f t="shared" si="10"/>
        <v>2.7288980336150481</v>
      </c>
      <c r="AJ62" s="121">
        <v>565</v>
      </c>
      <c r="AK62" s="120">
        <f t="shared" si="11"/>
        <v>6.3368257311464413</v>
      </c>
      <c r="AL62" s="108">
        <v>66.7</v>
      </c>
      <c r="AM62" s="119">
        <v>8939.58</v>
      </c>
      <c r="AN62" s="120">
        <f t="shared" si="12"/>
        <v>9.0982438871981994</v>
      </c>
      <c r="AO62" s="96">
        <v>69.440399999999997</v>
      </c>
      <c r="AP62" s="94">
        <v>234.15299999999999</v>
      </c>
      <c r="AQ62" s="95">
        <v>5.4559699999999998</v>
      </c>
      <c r="AR62" s="94">
        <v>14.6</v>
      </c>
      <c r="AS62" s="95">
        <f t="shared" si="13"/>
        <v>2.6810215287142909</v>
      </c>
      <c r="AT62" s="96">
        <v>77.2</v>
      </c>
    </row>
    <row r="63" spans="1:46">
      <c r="A63" s="109">
        <v>6</v>
      </c>
      <c r="B63" s="110" t="s">
        <v>42</v>
      </c>
      <c r="C63" s="110" t="s">
        <v>41</v>
      </c>
      <c r="D63" s="111">
        <v>2016</v>
      </c>
      <c r="E63" s="109">
        <v>30.7</v>
      </c>
      <c r="F63" s="111">
        <f t="shared" si="0"/>
        <v>3.4242626545931514</v>
      </c>
      <c r="G63" s="93">
        <v>1.6432</v>
      </c>
      <c r="H63" s="93">
        <v>58000000000</v>
      </c>
      <c r="I63" s="94">
        <v>42528.1</v>
      </c>
      <c r="J63" s="95">
        <v>10.6579</v>
      </c>
      <c r="K63" s="96">
        <v>0.69</v>
      </c>
      <c r="L63" s="109">
        <v>15.664999999999999</v>
      </c>
      <c r="M63" s="111">
        <f t="shared" si="1"/>
        <v>2.7514289244041552</v>
      </c>
      <c r="N63" s="112">
        <v>2.4466000000000001</v>
      </c>
      <c r="O63" s="113">
        <f t="shared" si="2"/>
        <v>0.89469930563067901</v>
      </c>
      <c r="P63" s="109">
        <v>564</v>
      </c>
      <c r="Q63" s="111">
        <f t="shared" si="3"/>
        <v>6.3350542514980592</v>
      </c>
      <c r="R63" s="93">
        <v>67.099997999999999</v>
      </c>
      <c r="S63" s="114">
        <v>86.7</v>
      </c>
      <c r="T63" s="113">
        <f t="shared" si="4"/>
        <v>4.4624538837864964</v>
      </c>
      <c r="U63" s="112">
        <v>11.8</v>
      </c>
      <c r="V63" s="113">
        <f t="shared" si="5"/>
        <v>2.4680995314716192</v>
      </c>
      <c r="W63" s="115">
        <v>18016.7</v>
      </c>
      <c r="X63" s="101">
        <f t="shared" si="6"/>
        <v>9.7990543845362943</v>
      </c>
      <c r="Y63" s="116">
        <v>61079</v>
      </c>
      <c r="Z63" s="102">
        <v>677723</v>
      </c>
      <c r="AA63" s="235">
        <v>1</v>
      </c>
      <c r="AB63" s="117">
        <f t="shared" si="7"/>
        <v>0</v>
      </c>
      <c r="AC63" s="115">
        <v>110</v>
      </c>
      <c r="AD63" s="117">
        <f t="shared" si="8"/>
        <v>4.7004803657924166</v>
      </c>
      <c r="AE63" s="109">
        <v>8613.6347999999998</v>
      </c>
      <c r="AF63" s="111">
        <f t="shared" si="9"/>
        <v>9.061101668615942</v>
      </c>
      <c r="AG63" s="118">
        <v>40</v>
      </c>
      <c r="AH63" s="119">
        <v>15.664999999999999</v>
      </c>
      <c r="AI63" s="120">
        <f t="shared" si="10"/>
        <v>2.7514289244041552</v>
      </c>
      <c r="AJ63" s="121">
        <v>564</v>
      </c>
      <c r="AK63" s="120">
        <f t="shared" si="11"/>
        <v>6.3350542514980592</v>
      </c>
      <c r="AL63" s="108">
        <v>67.099999999999994</v>
      </c>
      <c r="AM63" s="119">
        <v>8613.6299999999992</v>
      </c>
      <c r="AN63" s="120">
        <f t="shared" si="12"/>
        <v>9.0611011113597488</v>
      </c>
      <c r="AO63" s="96">
        <v>67.547399999999996</v>
      </c>
      <c r="AP63" s="94">
        <v>235.71299999999999</v>
      </c>
      <c r="AQ63" s="95">
        <v>5.4626099999999997</v>
      </c>
      <c r="AR63" s="94">
        <v>14.2</v>
      </c>
      <c r="AS63" s="95">
        <f t="shared" si="13"/>
        <v>2.653241964607215</v>
      </c>
      <c r="AT63" s="96">
        <v>77.224000000000004</v>
      </c>
    </row>
    <row r="64" spans="1:46">
      <c r="A64" s="109">
        <v>6</v>
      </c>
      <c r="B64" s="110" t="s">
        <v>42</v>
      </c>
      <c r="C64" s="110" t="s">
        <v>41</v>
      </c>
      <c r="D64" s="111">
        <v>2017</v>
      </c>
      <c r="E64" s="109">
        <v>31.3</v>
      </c>
      <c r="F64" s="111">
        <f t="shared" si="0"/>
        <v>3.4436180975461075</v>
      </c>
      <c r="G64" s="93">
        <v>2.8908800000000001</v>
      </c>
      <c r="H64" s="93">
        <v>110000000000</v>
      </c>
      <c r="I64" s="94">
        <v>43520.2</v>
      </c>
      <c r="J64" s="95">
        <v>10.680999999999999</v>
      </c>
      <c r="K64" s="96">
        <v>0.68</v>
      </c>
      <c r="L64" s="109">
        <v>16.089001</v>
      </c>
      <c r="M64" s="111">
        <f t="shared" si="1"/>
        <v>2.7781358708231627</v>
      </c>
      <c r="N64" s="112">
        <v>2.4775999999999998</v>
      </c>
      <c r="O64" s="113">
        <f t="shared" si="2"/>
        <v>0.90729034967685596</v>
      </c>
      <c r="P64" s="109">
        <v>582</v>
      </c>
      <c r="Q64" s="111">
        <f t="shared" si="3"/>
        <v>6.3664704477314382</v>
      </c>
      <c r="R64" s="93">
        <v>67.199996999999996</v>
      </c>
      <c r="S64" s="114">
        <v>85.8</v>
      </c>
      <c r="T64" s="113">
        <f t="shared" si="4"/>
        <v>4.4520190064939165</v>
      </c>
      <c r="U64" s="112">
        <v>11.6</v>
      </c>
      <c r="V64" s="113">
        <f t="shared" si="5"/>
        <v>2.451005098112319</v>
      </c>
      <c r="W64" s="115">
        <v>15734.1</v>
      </c>
      <c r="X64" s="101">
        <f t="shared" si="6"/>
        <v>9.6635856105318858</v>
      </c>
      <c r="Y64" s="116">
        <v>67752</v>
      </c>
      <c r="Z64" s="102">
        <v>700179</v>
      </c>
      <c r="AA64" s="235">
        <v>0.86</v>
      </c>
      <c r="AB64" s="117">
        <f t="shared" si="7"/>
        <v>-0.15082288973458366</v>
      </c>
      <c r="AC64" s="115">
        <v>110</v>
      </c>
      <c r="AD64" s="117">
        <f t="shared" si="8"/>
        <v>4.7004803657924166</v>
      </c>
      <c r="AE64" s="109">
        <v>7787.9727000000003</v>
      </c>
      <c r="AF64" s="111">
        <f t="shared" si="9"/>
        <v>8.9603358610930339</v>
      </c>
      <c r="AG64" s="118">
        <v>39.1</v>
      </c>
      <c r="AH64" s="119">
        <v>16.088999999999999</v>
      </c>
      <c r="AI64" s="120">
        <f t="shared" si="10"/>
        <v>2.7781358086688979</v>
      </c>
      <c r="AJ64" s="121">
        <v>582</v>
      </c>
      <c r="AK64" s="120">
        <f t="shared" si="11"/>
        <v>6.3664704477314382</v>
      </c>
      <c r="AL64" s="108">
        <v>67.2</v>
      </c>
      <c r="AM64" s="119">
        <v>7787.97</v>
      </c>
      <c r="AN64" s="120">
        <f t="shared" si="12"/>
        <v>8.960335514404548</v>
      </c>
      <c r="AO64" s="96">
        <v>69.387</v>
      </c>
      <c r="AP64" s="94">
        <v>236.589</v>
      </c>
      <c r="AQ64" s="95">
        <v>5.4663199999999996</v>
      </c>
      <c r="AR64" s="94">
        <v>15.2</v>
      </c>
      <c r="AS64" s="95">
        <f t="shared" si="13"/>
        <v>2.7212954278522306</v>
      </c>
      <c r="AT64" s="96">
        <v>77.260999999999996</v>
      </c>
    </row>
    <row r="65" spans="1:46">
      <c r="A65" s="109">
        <v>6</v>
      </c>
      <c r="B65" s="110" t="s">
        <v>42</v>
      </c>
      <c r="C65" s="110" t="s">
        <v>41</v>
      </c>
      <c r="D65" s="111">
        <v>2018</v>
      </c>
      <c r="E65" s="109">
        <v>31.5</v>
      </c>
      <c r="F65" s="111">
        <f t="shared" si="0"/>
        <v>3.4499875458315872</v>
      </c>
      <c r="G65" s="93">
        <v>4.0042099999999996</v>
      </c>
      <c r="H65" s="93">
        <v>160000000000</v>
      </c>
      <c r="I65" s="94">
        <v>43874</v>
      </c>
      <c r="J65" s="95">
        <v>10.6891</v>
      </c>
      <c r="K65" s="96">
        <v>0.7</v>
      </c>
      <c r="L65" s="109">
        <v>16.209999</v>
      </c>
      <c r="M65" s="111">
        <f t="shared" si="1"/>
        <v>2.785628274057268</v>
      </c>
      <c r="N65" s="112">
        <v>2.5867</v>
      </c>
      <c r="O65" s="113">
        <f t="shared" si="2"/>
        <v>0.95038293204192437</v>
      </c>
      <c r="P65" s="109">
        <v>589</v>
      </c>
      <c r="Q65" s="111">
        <f t="shared" si="3"/>
        <v>6.3784261836515865</v>
      </c>
      <c r="R65" s="93">
        <v>67.099997999999999</v>
      </c>
      <c r="S65" s="114">
        <v>85.6</v>
      </c>
      <c r="T65" s="113">
        <f t="shared" si="4"/>
        <v>4.4496852831476961</v>
      </c>
      <c r="U65" s="112">
        <v>12</v>
      </c>
      <c r="V65" s="113">
        <f t="shared" si="5"/>
        <v>2.4849066497880004</v>
      </c>
      <c r="W65" s="115">
        <v>18920.8</v>
      </c>
      <c r="X65" s="101">
        <f t="shared" si="6"/>
        <v>9.8480171250100526</v>
      </c>
      <c r="Y65" s="116">
        <v>75559</v>
      </c>
      <c r="Z65" s="102">
        <v>744774</v>
      </c>
      <c r="AA65" s="235">
        <v>1.02</v>
      </c>
      <c r="AB65" s="117">
        <f t="shared" si="7"/>
        <v>1.980262729617973E-2</v>
      </c>
      <c r="AC65" s="115">
        <v>112</v>
      </c>
      <c r="AD65" s="117">
        <f t="shared" si="8"/>
        <v>4.7184988712950942</v>
      </c>
      <c r="AE65" s="109">
        <v>6885.7271000000001</v>
      </c>
      <c r="AF65" s="111">
        <f t="shared" si="9"/>
        <v>8.8372060119774982</v>
      </c>
      <c r="AG65" s="118">
        <v>40</v>
      </c>
      <c r="AH65" s="119">
        <v>16.21</v>
      </c>
      <c r="AI65" s="120">
        <f t="shared" si="10"/>
        <v>2.7856283357475848</v>
      </c>
      <c r="AJ65" s="121">
        <v>589</v>
      </c>
      <c r="AK65" s="120">
        <f t="shared" si="11"/>
        <v>6.3784261836515865</v>
      </c>
      <c r="AL65" s="108">
        <v>67.099999999999994</v>
      </c>
      <c r="AM65" s="119">
        <v>6885.73</v>
      </c>
      <c r="AN65" s="120">
        <f t="shared" si="12"/>
        <v>8.8372064331384497</v>
      </c>
      <c r="AO65" s="96">
        <v>70.209400000000002</v>
      </c>
      <c r="AP65" s="94">
        <v>237.29400000000001</v>
      </c>
      <c r="AQ65" s="95">
        <v>5.4692999999999996</v>
      </c>
      <c r="AR65" s="94">
        <v>16</v>
      </c>
      <c r="AS65" s="95">
        <f t="shared" si="13"/>
        <v>2.7725887222397811</v>
      </c>
      <c r="AT65" s="96">
        <v>77.311999999999998</v>
      </c>
    </row>
    <row r="66" spans="1:46">
      <c r="A66" s="109">
        <v>6</v>
      </c>
      <c r="B66" s="110" t="s">
        <v>42</v>
      </c>
      <c r="C66" s="110" t="s">
        <v>41</v>
      </c>
      <c r="D66" s="111">
        <v>2019</v>
      </c>
      <c r="E66" s="109">
        <v>32.200000000000003</v>
      </c>
      <c r="F66" s="111">
        <f t="shared" ref="F66:F129" si="14">LN(E66)</f>
        <v>3.4719664525503626</v>
      </c>
      <c r="G66" s="93">
        <v>1.90699</v>
      </c>
      <c r="H66" s="93">
        <v>75000000000</v>
      </c>
      <c r="I66" s="94">
        <v>44207.6</v>
      </c>
      <c r="J66" s="95">
        <v>10.6967</v>
      </c>
      <c r="K66" s="96">
        <v>0.67</v>
      </c>
      <c r="L66" s="109">
        <v>15.981999999999999</v>
      </c>
      <c r="M66" s="111">
        <f t="shared" ref="M66:M129" si="15">LN(L66)</f>
        <v>2.7714630889522711</v>
      </c>
      <c r="N66" s="112">
        <v>2.7054999999999998</v>
      </c>
      <c r="O66" s="113">
        <f t="shared" ref="O66:O129" si="16">LN(N66)</f>
        <v>0.99528673810065282</v>
      </c>
      <c r="P66" s="109">
        <v>592</v>
      </c>
      <c r="Q66" s="111">
        <f t="shared" ref="Q66:Q129" si="17">LN(P66)</f>
        <v>6.3835066348840055</v>
      </c>
      <c r="R66" s="93">
        <v>66.699996999999996</v>
      </c>
      <c r="S66" s="114">
        <v>85.4</v>
      </c>
      <c r="T66" s="113">
        <f t="shared" ref="T66:T129" si="18">LN(S66)</f>
        <v>4.4473461007945243</v>
      </c>
      <c r="U66" s="112">
        <v>12.4</v>
      </c>
      <c r="V66" s="113">
        <f t="shared" ref="V66:V129" si="19">LN(U66)</f>
        <v>2.5176964726109912</v>
      </c>
      <c r="W66" s="115">
        <v>17948.900000000001</v>
      </c>
      <c r="X66" s="101">
        <f t="shared" ref="X66:X129" si="20">LN(W66)</f>
        <v>9.7952841107015995</v>
      </c>
      <c r="Y66" s="116">
        <v>79177</v>
      </c>
      <c r="Z66" s="102">
        <v>739622</v>
      </c>
      <c r="AA66" s="235">
        <v>1.25</v>
      </c>
      <c r="AB66" s="117">
        <f t="shared" ref="AB66:AB129" si="21">LN(AA66)</f>
        <v>0.22314355131420976</v>
      </c>
      <c r="AC66" s="115">
        <v>113</v>
      </c>
      <c r="AD66" s="117">
        <f t="shared" ref="AD66:AD129" si="22">LN(AC66)</f>
        <v>4.7273878187123408</v>
      </c>
      <c r="AE66" s="109">
        <v>15576.141</v>
      </c>
      <c r="AF66" s="111">
        <f t="shared" ref="AF66:AF129" si="23">LN(AE66)</f>
        <v>9.6534955993993528</v>
      </c>
      <c r="AG66" s="118">
        <v>41.4</v>
      </c>
      <c r="AH66" s="119">
        <v>15.981999999999999</v>
      </c>
      <c r="AI66" s="120">
        <f t="shared" ref="AI66:AI129" si="24">LN(AH66)</f>
        <v>2.7714630889522711</v>
      </c>
      <c r="AJ66" s="121">
        <v>592</v>
      </c>
      <c r="AK66" s="120">
        <f t="shared" ref="AK66:AK129" si="25">LN(AJ66)</f>
        <v>6.3835066348840055</v>
      </c>
      <c r="AL66" s="108">
        <v>66.7</v>
      </c>
      <c r="AM66" s="119">
        <v>15576.1</v>
      </c>
      <c r="AN66" s="120">
        <f t="shared" ref="AN66:AN129" si="26">LN(AM66)</f>
        <v>9.653492967164965</v>
      </c>
      <c r="AO66" s="96">
        <v>68.820999999999998</v>
      </c>
      <c r="AP66" s="94">
        <v>237.82300000000001</v>
      </c>
      <c r="AQ66" s="95">
        <v>5.4715299999999996</v>
      </c>
      <c r="AR66" s="94">
        <v>17.100000000000001</v>
      </c>
      <c r="AS66" s="95">
        <f t="shared" ref="AS66:AS129" si="27">LN(AR66)</f>
        <v>2.8390784635086144</v>
      </c>
      <c r="AT66" s="96">
        <v>77.376000000000005</v>
      </c>
    </row>
    <row r="67" spans="1:46">
      <c r="A67" s="109">
        <v>6</v>
      </c>
      <c r="B67" s="110" t="s">
        <v>42</v>
      </c>
      <c r="C67" s="110" t="s">
        <v>41</v>
      </c>
      <c r="D67" s="111">
        <v>2020</v>
      </c>
      <c r="E67" s="109">
        <v>32.799999999999997</v>
      </c>
      <c r="F67" s="111">
        <f t="shared" si="14"/>
        <v>3.4904285153900978</v>
      </c>
      <c r="G67" s="93">
        <v>4.4866700000000002</v>
      </c>
      <c r="H67" s="93">
        <v>180000000000</v>
      </c>
      <c r="I67" s="94">
        <v>42362.6</v>
      </c>
      <c r="J67" s="95">
        <v>10.654</v>
      </c>
      <c r="K67" s="96">
        <v>0.71</v>
      </c>
      <c r="L67" s="109">
        <v>15.271000000000001</v>
      </c>
      <c r="M67" s="111">
        <f t="shared" si="15"/>
        <v>2.7259556049710447</v>
      </c>
      <c r="N67" s="112">
        <v>2.6840000000000002</v>
      </c>
      <c r="O67" s="113">
        <f t="shared" si="16"/>
        <v>0.98730821910943545</v>
      </c>
      <c r="P67" s="109">
        <v>602</v>
      </c>
      <c r="Q67" s="111">
        <f t="shared" si="17"/>
        <v>6.4002574453088208</v>
      </c>
      <c r="R67" s="93">
        <v>70.300003000000004</v>
      </c>
      <c r="S67" s="114">
        <v>86.7</v>
      </c>
      <c r="T67" s="113">
        <f t="shared" si="18"/>
        <v>4.4624538837864964</v>
      </c>
      <c r="U67" s="112">
        <v>12.8</v>
      </c>
      <c r="V67" s="113">
        <f t="shared" si="19"/>
        <v>2.5494451709255714</v>
      </c>
      <c r="W67" s="115">
        <v>20307.7</v>
      </c>
      <c r="X67" s="101">
        <f t="shared" si="20"/>
        <v>9.918755403454723</v>
      </c>
      <c r="Y67" s="116">
        <v>76089</v>
      </c>
      <c r="Z67" s="102">
        <v>764770</v>
      </c>
      <c r="AA67" s="235">
        <v>0.55000000000000004</v>
      </c>
      <c r="AB67" s="117">
        <f t="shared" si="21"/>
        <v>-0.59783700075562041</v>
      </c>
      <c r="AC67" s="115">
        <v>111</v>
      </c>
      <c r="AD67" s="117">
        <f t="shared" si="22"/>
        <v>4.7095302013123339</v>
      </c>
      <c r="AE67" s="109">
        <v>15617.64</v>
      </c>
      <c r="AF67" s="111">
        <f t="shared" si="23"/>
        <v>9.6561563236304107</v>
      </c>
      <c r="AG67" s="118">
        <v>39.700000000000003</v>
      </c>
      <c r="AH67" s="119">
        <v>15.271000000000001</v>
      </c>
      <c r="AI67" s="120">
        <f t="shared" si="24"/>
        <v>2.7259556049710447</v>
      </c>
      <c r="AJ67" s="121">
        <v>602</v>
      </c>
      <c r="AK67" s="120">
        <f t="shared" si="25"/>
        <v>6.4002574453088208</v>
      </c>
      <c r="AL67" s="108">
        <v>70.3</v>
      </c>
      <c r="AM67" s="119">
        <v>15617.6</v>
      </c>
      <c r="AN67" s="120">
        <f t="shared" si="26"/>
        <v>9.6561537624207006</v>
      </c>
      <c r="AO67" s="96">
        <v>64.828000000000003</v>
      </c>
      <c r="AP67" s="94">
        <v>238.017</v>
      </c>
      <c r="AQ67" s="95">
        <v>5.47234</v>
      </c>
      <c r="AR67" s="94">
        <v>18.5</v>
      </c>
      <c r="AS67" s="95">
        <f t="shared" si="27"/>
        <v>2.917770732084279</v>
      </c>
      <c r="AT67" s="96">
        <v>77.453000000000003</v>
      </c>
    </row>
    <row r="68" spans="1:46">
      <c r="A68" s="109">
        <v>7</v>
      </c>
      <c r="B68" s="110" t="s">
        <v>40</v>
      </c>
      <c r="C68" s="110" t="s">
        <v>39</v>
      </c>
      <c r="D68" s="111">
        <v>2010</v>
      </c>
      <c r="E68" s="109">
        <v>29.5</v>
      </c>
      <c r="F68" s="111">
        <f t="shared" si="14"/>
        <v>3.3843902633457743</v>
      </c>
      <c r="G68" s="93">
        <v>-3.6507000000000001</v>
      </c>
      <c r="H68" s="93">
        <v>-12000000000</v>
      </c>
      <c r="I68" s="94">
        <v>51209.4</v>
      </c>
      <c r="J68" s="95">
        <v>10.8437</v>
      </c>
      <c r="K68" s="96">
        <v>0.74</v>
      </c>
      <c r="L68" s="109">
        <v>18.150998999999999</v>
      </c>
      <c r="M68" s="111">
        <f t="shared" si="15"/>
        <v>2.8987256005184556</v>
      </c>
      <c r="N68" s="112">
        <v>2.1768999999999998</v>
      </c>
      <c r="O68" s="113">
        <f t="shared" si="16"/>
        <v>0.77790184642475346</v>
      </c>
      <c r="P68" s="109">
        <v>651</v>
      </c>
      <c r="Q68" s="111">
        <f t="shared" si="17"/>
        <v>6.4785096422085688</v>
      </c>
      <c r="R68" s="93">
        <v>42.300002999999997</v>
      </c>
      <c r="S68" s="114">
        <v>83.5</v>
      </c>
      <c r="T68" s="113">
        <f t="shared" si="18"/>
        <v>4.42484663185681</v>
      </c>
      <c r="U68" s="112">
        <v>8</v>
      </c>
      <c r="V68" s="113">
        <f t="shared" si="19"/>
        <v>2.0794415416798357</v>
      </c>
      <c r="W68" s="115">
        <v>2061.6</v>
      </c>
      <c r="X68" s="101">
        <f t="shared" si="20"/>
        <v>7.6312376593381552</v>
      </c>
      <c r="Y68" s="116">
        <v>3926</v>
      </c>
      <c r="Z68" s="102">
        <v>33681</v>
      </c>
      <c r="AA68" s="235">
        <v>0.06</v>
      </c>
      <c r="AB68" s="117">
        <f t="shared" si="21"/>
        <v>-2.8134107167600364</v>
      </c>
      <c r="AC68" s="115">
        <v>100</v>
      </c>
      <c r="AD68" s="117">
        <f t="shared" si="22"/>
        <v>4.6051701859880918</v>
      </c>
      <c r="AE68" s="109">
        <v>15406.038</v>
      </c>
      <c r="AF68" s="111">
        <f t="shared" si="23"/>
        <v>9.6425147894813357</v>
      </c>
      <c r="AG68" s="118">
        <v>35.200000000000003</v>
      </c>
      <c r="AH68" s="119">
        <v>18.151</v>
      </c>
      <c r="AI68" s="120">
        <f t="shared" si="24"/>
        <v>2.8987256556118406</v>
      </c>
      <c r="AJ68" s="121">
        <v>651</v>
      </c>
      <c r="AK68" s="120">
        <f t="shared" si="25"/>
        <v>6.4785096422085688</v>
      </c>
      <c r="AL68" s="108"/>
      <c r="AM68" s="119">
        <v>15406</v>
      </c>
      <c r="AN68" s="120">
        <f t="shared" si="26"/>
        <v>9.6425123229129106</v>
      </c>
      <c r="AO68" s="96">
        <v>55.683100000000003</v>
      </c>
      <c r="AP68" s="94">
        <v>138.69200000000001</v>
      </c>
      <c r="AQ68" s="95">
        <v>4.9322600000000003</v>
      </c>
      <c r="AR68" s="94">
        <v>21.2</v>
      </c>
      <c r="AS68" s="95">
        <f t="shared" si="27"/>
        <v>3.0540011816779669</v>
      </c>
      <c r="AT68" s="96">
        <v>86.795000000000002</v>
      </c>
    </row>
    <row r="69" spans="1:46">
      <c r="A69" s="109">
        <v>7</v>
      </c>
      <c r="B69" s="110" t="s">
        <v>40</v>
      </c>
      <c r="C69" s="110" t="s">
        <v>39</v>
      </c>
      <c r="D69" s="111">
        <v>2011</v>
      </c>
      <c r="E69" s="109">
        <v>30.5</v>
      </c>
      <c r="F69" s="111">
        <f t="shared" si="14"/>
        <v>3.417726683613366</v>
      </c>
      <c r="G69" s="93">
        <v>3.9379300000000002</v>
      </c>
      <c r="H69" s="93">
        <v>14000000000</v>
      </c>
      <c r="I69" s="94">
        <v>51667.5</v>
      </c>
      <c r="J69" s="95">
        <v>10.852600000000001</v>
      </c>
      <c r="K69" s="96">
        <v>0.69</v>
      </c>
      <c r="L69" s="109">
        <v>21.297001000000002</v>
      </c>
      <c r="M69" s="111">
        <f t="shared" si="15"/>
        <v>3.0585662646803278</v>
      </c>
      <c r="N69" s="112">
        <v>1.9789000000000001</v>
      </c>
      <c r="O69" s="113">
        <f t="shared" si="16"/>
        <v>0.68254113477272094</v>
      </c>
      <c r="P69" s="109">
        <v>606</v>
      </c>
      <c r="Q69" s="111">
        <f t="shared" si="17"/>
        <v>6.4068799860693142</v>
      </c>
      <c r="R69" s="93">
        <v>42.400002000000001</v>
      </c>
      <c r="S69" s="114">
        <v>92</v>
      </c>
      <c r="T69" s="113">
        <f t="shared" si="18"/>
        <v>4.5217885770490405</v>
      </c>
      <c r="U69" s="112">
        <v>7</v>
      </c>
      <c r="V69" s="113">
        <f t="shared" si="19"/>
        <v>1.9459101490553132</v>
      </c>
      <c r="W69" s="115">
        <v>2654.5</v>
      </c>
      <c r="X69" s="101">
        <f t="shared" si="20"/>
        <v>7.8840115920237261</v>
      </c>
      <c r="Y69" s="116">
        <v>4266</v>
      </c>
      <c r="Z69" s="102">
        <v>34410</v>
      </c>
      <c r="AA69" s="235">
        <v>0.9</v>
      </c>
      <c r="AB69" s="117">
        <f t="shared" si="21"/>
        <v>-0.10536051565782628</v>
      </c>
      <c r="AC69" s="115">
        <v>102</v>
      </c>
      <c r="AD69" s="117">
        <f t="shared" si="22"/>
        <v>4.6249728132842707</v>
      </c>
      <c r="AE69" s="109">
        <v>15012.806</v>
      </c>
      <c r="AF69" s="111">
        <f t="shared" si="23"/>
        <v>9.6166588491946623</v>
      </c>
      <c r="AG69" s="118">
        <v>36</v>
      </c>
      <c r="AH69" s="119">
        <v>21.297000000000001</v>
      </c>
      <c r="AI69" s="120">
        <f t="shared" si="24"/>
        <v>3.0585662177253585</v>
      </c>
      <c r="AJ69" s="121">
        <v>606</v>
      </c>
      <c r="AK69" s="120">
        <f t="shared" si="25"/>
        <v>6.4068799860693142</v>
      </c>
      <c r="AL69" s="108">
        <v>42.4</v>
      </c>
      <c r="AM69" s="119">
        <v>15012.8</v>
      </c>
      <c r="AN69" s="120">
        <f t="shared" si="26"/>
        <v>9.6166584495357856</v>
      </c>
      <c r="AO69" s="96">
        <v>60.272300000000001</v>
      </c>
      <c r="AP69" s="94">
        <v>139.26400000000001</v>
      </c>
      <c r="AQ69" s="95">
        <v>4.9363700000000001</v>
      </c>
      <c r="AR69" s="94">
        <v>23.8</v>
      </c>
      <c r="AS69" s="95">
        <f t="shared" si="27"/>
        <v>3.1696855806774291</v>
      </c>
      <c r="AT69" s="96">
        <v>86.956999999999994</v>
      </c>
    </row>
    <row r="70" spans="1:46">
      <c r="A70" s="109">
        <v>7</v>
      </c>
      <c r="B70" s="110" t="s">
        <v>40</v>
      </c>
      <c r="C70" s="110" t="s">
        <v>39</v>
      </c>
      <c r="D70" s="111">
        <v>2012</v>
      </c>
      <c r="E70" s="109">
        <v>32</v>
      </c>
      <c r="F70" s="111">
        <f t="shared" si="14"/>
        <v>3.4657359027997265</v>
      </c>
      <c r="G70" s="93">
        <v>-5.00312</v>
      </c>
      <c r="H70" s="93">
        <v>-16000000000</v>
      </c>
      <c r="I70" s="94">
        <v>51470.7</v>
      </c>
      <c r="J70" s="95">
        <v>10.848800000000001</v>
      </c>
      <c r="K70" s="96">
        <v>0.72</v>
      </c>
      <c r="L70" s="109">
        <v>22.580998999999998</v>
      </c>
      <c r="M70" s="111">
        <f t="shared" si="15"/>
        <v>3.117108800435485</v>
      </c>
      <c r="N70" s="112">
        <v>1.9710000000000001</v>
      </c>
      <c r="O70" s="113">
        <f t="shared" si="16"/>
        <v>0.67854102817058315</v>
      </c>
      <c r="P70" s="109">
        <v>664</v>
      </c>
      <c r="Q70" s="111">
        <f t="shared" si="17"/>
        <v>6.4982821494764336</v>
      </c>
      <c r="R70" s="93">
        <v>42.5</v>
      </c>
      <c r="S70" s="114">
        <v>84.4</v>
      </c>
      <c r="T70" s="113">
        <f t="shared" si="18"/>
        <v>4.4355674016019115</v>
      </c>
      <c r="U70" s="112">
        <v>6.4</v>
      </c>
      <c r="V70" s="113">
        <f t="shared" si="19"/>
        <v>1.8562979903656263</v>
      </c>
      <c r="W70" s="115">
        <v>2399.6999999999998</v>
      </c>
      <c r="X70" s="101">
        <f t="shared" si="20"/>
        <v>7.7830990085228855</v>
      </c>
      <c r="Y70" s="116">
        <v>4315</v>
      </c>
      <c r="Z70" s="102">
        <v>33009</v>
      </c>
      <c r="AA70" s="235">
        <v>0.77</v>
      </c>
      <c r="AB70" s="117">
        <f t="shared" si="21"/>
        <v>-0.26136476413440751</v>
      </c>
      <c r="AC70" s="115">
        <v>106</v>
      </c>
      <c r="AD70" s="117">
        <f t="shared" si="22"/>
        <v>4.6634390941120669</v>
      </c>
      <c r="AE70" s="109">
        <v>14013.514999999999</v>
      </c>
      <c r="AF70" s="111">
        <f t="shared" si="23"/>
        <v>9.5477775000827059</v>
      </c>
      <c r="AG70" s="118">
        <v>34.799999999999997</v>
      </c>
      <c r="AH70" s="119">
        <v>22.581</v>
      </c>
      <c r="AI70" s="120">
        <f t="shared" si="24"/>
        <v>3.1171088447205046</v>
      </c>
      <c r="AJ70" s="121">
        <v>664</v>
      </c>
      <c r="AK70" s="120">
        <f t="shared" si="25"/>
        <v>6.4982821494764336</v>
      </c>
      <c r="AL70" s="108">
        <v>42.5</v>
      </c>
      <c r="AM70" s="119">
        <v>14013.5</v>
      </c>
      <c r="AN70" s="120">
        <f t="shared" si="26"/>
        <v>9.5477764296868752</v>
      </c>
      <c r="AO70" s="96">
        <v>60.403500000000001</v>
      </c>
      <c r="AP70" s="94">
        <v>139.78899999999999</v>
      </c>
      <c r="AQ70" s="95">
        <v>4.9401400000000004</v>
      </c>
      <c r="AR70" s="94">
        <v>26.9</v>
      </c>
      <c r="AS70" s="95">
        <f t="shared" si="27"/>
        <v>3.2921262866077932</v>
      </c>
      <c r="AT70" s="96">
        <v>87.141999999999996</v>
      </c>
    </row>
    <row r="71" spans="1:46">
      <c r="A71" s="109">
        <v>7</v>
      </c>
      <c r="B71" s="110" t="s">
        <v>40</v>
      </c>
      <c r="C71" s="110" t="s">
        <v>39</v>
      </c>
      <c r="D71" s="111">
        <v>2013</v>
      </c>
      <c r="E71" s="109">
        <v>32</v>
      </c>
      <c r="F71" s="111">
        <f t="shared" si="14"/>
        <v>3.4657359027997265</v>
      </c>
      <c r="G71" s="93">
        <v>0.197411</v>
      </c>
      <c r="H71" s="93">
        <v>680000000</v>
      </c>
      <c r="I71" s="94">
        <v>51970.400000000001</v>
      </c>
      <c r="J71" s="95">
        <v>10.8584</v>
      </c>
      <c r="K71" s="96">
        <v>0.72</v>
      </c>
      <c r="L71" s="109">
        <v>21.364999999999998</v>
      </c>
      <c r="M71" s="111">
        <f t="shared" si="15"/>
        <v>3.0617540690959881</v>
      </c>
      <c r="N71" s="112">
        <v>2.1162000000000001</v>
      </c>
      <c r="O71" s="113">
        <f t="shared" si="16"/>
        <v>0.74962202748792428</v>
      </c>
      <c r="P71" s="109">
        <v>657</v>
      </c>
      <c r="Q71" s="111">
        <f t="shared" si="17"/>
        <v>6.4876840184846101</v>
      </c>
      <c r="R71" s="93">
        <v>43.299999</v>
      </c>
      <c r="S71" s="114">
        <v>82.6</v>
      </c>
      <c r="T71" s="113">
        <f t="shared" si="18"/>
        <v>4.4140096805269327</v>
      </c>
      <c r="U71" s="112">
        <v>7.7</v>
      </c>
      <c r="V71" s="113">
        <f t="shared" si="19"/>
        <v>2.0412203288596382</v>
      </c>
      <c r="W71" s="115">
        <v>1812.9</v>
      </c>
      <c r="X71" s="101">
        <f t="shared" si="20"/>
        <v>7.5026830520356222</v>
      </c>
      <c r="Y71" s="116">
        <v>4414</v>
      </c>
      <c r="Z71" s="102">
        <v>32705</v>
      </c>
      <c r="AA71" s="235">
        <v>1.24</v>
      </c>
      <c r="AB71" s="117">
        <f t="shared" si="21"/>
        <v>0.21511137961694549</v>
      </c>
      <c r="AC71" s="115">
        <v>104</v>
      </c>
      <c r="AD71" s="117">
        <f t="shared" si="22"/>
        <v>4.6443908991413725</v>
      </c>
      <c r="AE71" s="109">
        <v>14513.152</v>
      </c>
      <c r="AF71" s="111">
        <f t="shared" si="23"/>
        <v>9.5828105517842221</v>
      </c>
      <c r="AG71" s="118">
        <v>38.799999999999997</v>
      </c>
      <c r="AH71" s="119">
        <v>21.364999999999998</v>
      </c>
      <c r="AI71" s="120">
        <f t="shared" si="24"/>
        <v>3.0617540690959881</v>
      </c>
      <c r="AJ71" s="121">
        <v>657</v>
      </c>
      <c r="AK71" s="120">
        <f t="shared" si="25"/>
        <v>6.4876840184846101</v>
      </c>
      <c r="AL71" s="108">
        <v>43.3</v>
      </c>
      <c r="AM71" s="119">
        <v>14513.2</v>
      </c>
      <c r="AN71" s="120">
        <f t="shared" si="26"/>
        <v>9.5828138591237035</v>
      </c>
      <c r="AO71" s="96">
        <v>60.440600000000003</v>
      </c>
      <c r="AP71" s="94">
        <v>140.37299999999999</v>
      </c>
      <c r="AQ71" s="95">
        <v>4.9443099999999998</v>
      </c>
      <c r="AR71" s="94">
        <v>27</v>
      </c>
      <c r="AS71" s="95">
        <f t="shared" si="27"/>
        <v>3.2958368660043291</v>
      </c>
      <c r="AT71" s="96">
        <v>87.292000000000002</v>
      </c>
    </row>
    <row r="72" spans="1:46">
      <c r="A72" s="109">
        <v>7</v>
      </c>
      <c r="B72" s="110" t="s">
        <v>40</v>
      </c>
      <c r="C72" s="110" t="s">
        <v>39</v>
      </c>
      <c r="D72" s="111">
        <v>2014</v>
      </c>
      <c r="E72" s="109">
        <v>31.3</v>
      </c>
      <c r="F72" s="111">
        <f t="shared" si="14"/>
        <v>3.4436180975461075</v>
      </c>
      <c r="G72" s="93">
        <v>1.86416</v>
      </c>
      <c r="H72" s="93">
        <v>6600000000</v>
      </c>
      <c r="I72" s="94">
        <v>52368.4</v>
      </c>
      <c r="J72" s="95">
        <v>10.866099999999999</v>
      </c>
      <c r="K72" s="96">
        <v>0.7</v>
      </c>
      <c r="L72" s="109">
        <v>21.128</v>
      </c>
      <c r="M72" s="111">
        <f t="shared" si="15"/>
        <v>3.0505991749948311</v>
      </c>
      <c r="N72" s="112">
        <v>2.1328999999999998</v>
      </c>
      <c r="O72" s="113">
        <f t="shared" si="16"/>
        <v>0.7574825560648395</v>
      </c>
      <c r="P72" s="109">
        <v>664</v>
      </c>
      <c r="Q72" s="111">
        <f t="shared" si="17"/>
        <v>6.4982821494764336</v>
      </c>
      <c r="R72" s="93">
        <v>45.400002000000001</v>
      </c>
      <c r="S72" s="114">
        <v>83</v>
      </c>
      <c r="T72" s="113">
        <f t="shared" si="18"/>
        <v>4.4188406077965983</v>
      </c>
      <c r="U72" s="112">
        <v>9</v>
      </c>
      <c r="V72" s="113">
        <f t="shared" si="19"/>
        <v>2.1972245773362196</v>
      </c>
      <c r="W72" s="115">
        <v>2575.6999999999998</v>
      </c>
      <c r="X72" s="101">
        <f t="shared" si="20"/>
        <v>7.8538766208149662</v>
      </c>
      <c r="Y72" s="116">
        <v>4648</v>
      </c>
      <c r="Z72" s="102">
        <v>33351</v>
      </c>
      <c r="AA72" s="235">
        <v>1.78</v>
      </c>
      <c r="AB72" s="117">
        <f t="shared" si="21"/>
        <v>0.57661336430399379</v>
      </c>
      <c r="AC72" s="115">
        <v>111</v>
      </c>
      <c r="AD72" s="117">
        <f t="shared" si="22"/>
        <v>4.7095302013123339</v>
      </c>
      <c r="AE72" s="109">
        <v>15344.65</v>
      </c>
      <c r="AF72" s="111">
        <f t="shared" si="23"/>
        <v>9.6385221580612281</v>
      </c>
      <c r="AG72" s="118">
        <v>37.1</v>
      </c>
      <c r="AH72" s="119">
        <v>21.128</v>
      </c>
      <c r="AI72" s="120">
        <f t="shared" si="24"/>
        <v>3.0505991749948311</v>
      </c>
      <c r="AJ72" s="121">
        <v>664</v>
      </c>
      <c r="AK72" s="120">
        <f t="shared" si="25"/>
        <v>6.4982821494764336</v>
      </c>
      <c r="AL72" s="108">
        <v>45.4</v>
      </c>
      <c r="AM72" s="119">
        <v>15344.7</v>
      </c>
      <c r="AN72" s="120">
        <f t="shared" si="26"/>
        <v>9.6385254165205954</v>
      </c>
      <c r="AO72" s="96">
        <v>59.8202</v>
      </c>
      <c r="AP72" s="94">
        <v>141.08699999999999</v>
      </c>
      <c r="AQ72" s="95">
        <v>4.9493799999999997</v>
      </c>
      <c r="AR72" s="94">
        <v>30.2</v>
      </c>
      <c r="AS72" s="95">
        <f t="shared" si="27"/>
        <v>3.4078419243808238</v>
      </c>
      <c r="AT72" s="96">
        <v>87.41</v>
      </c>
    </row>
    <row r="73" spans="1:46">
      <c r="A73" s="109">
        <v>7</v>
      </c>
      <c r="B73" s="110" t="s">
        <v>40</v>
      </c>
      <c r="C73" s="110" t="s">
        <v>39</v>
      </c>
      <c r="D73" s="111">
        <v>2015</v>
      </c>
      <c r="E73" s="109">
        <v>32.1</v>
      </c>
      <c r="F73" s="111">
        <f t="shared" si="14"/>
        <v>3.4688560301359703</v>
      </c>
      <c r="G73" s="93">
        <v>0.61075100000000004</v>
      </c>
      <c r="H73" s="93">
        <v>1800000000</v>
      </c>
      <c r="I73" s="94">
        <v>53094</v>
      </c>
      <c r="J73" s="95">
        <v>10.879799999999999</v>
      </c>
      <c r="K73" s="96">
        <v>0.7</v>
      </c>
      <c r="L73" s="109">
        <v>23.101998999999999</v>
      </c>
      <c r="M73" s="111">
        <f t="shared" si="15"/>
        <v>3.1399191505801922</v>
      </c>
      <c r="N73" s="112">
        <v>2.0924</v>
      </c>
      <c r="O73" s="113">
        <f t="shared" si="16"/>
        <v>0.73831173251431892</v>
      </c>
      <c r="P73" s="109">
        <v>671</v>
      </c>
      <c r="Q73" s="111">
        <f t="shared" si="17"/>
        <v>6.508769136971682</v>
      </c>
      <c r="R73" s="93">
        <v>47.400002000000001</v>
      </c>
      <c r="S73" s="114">
        <v>84.2</v>
      </c>
      <c r="T73" s="113">
        <f t="shared" si="18"/>
        <v>4.4331949212482815</v>
      </c>
      <c r="U73" s="112">
        <v>8.3000000000000007</v>
      </c>
      <c r="V73" s="113">
        <f t="shared" si="19"/>
        <v>2.1162555148025524</v>
      </c>
      <c r="W73" s="115">
        <v>2832.1</v>
      </c>
      <c r="X73" s="101">
        <f t="shared" si="20"/>
        <v>7.9487737649246641</v>
      </c>
      <c r="Y73" s="116">
        <v>4809</v>
      </c>
      <c r="Z73" s="102">
        <v>32930</v>
      </c>
      <c r="AA73" s="235">
        <v>1.01</v>
      </c>
      <c r="AB73" s="117">
        <f t="shared" si="21"/>
        <v>9.950330853168092E-3</v>
      </c>
      <c r="AC73" s="115">
        <v>115</v>
      </c>
      <c r="AD73" s="117">
        <f t="shared" si="22"/>
        <v>4.7449321283632502</v>
      </c>
      <c r="AE73" s="109">
        <v>15101.9</v>
      </c>
      <c r="AF73" s="111">
        <f t="shared" si="23"/>
        <v>9.622575842701929</v>
      </c>
      <c r="AG73" s="118">
        <v>35.9</v>
      </c>
      <c r="AH73" s="119">
        <v>23.102</v>
      </c>
      <c r="AI73" s="120">
        <f t="shared" si="24"/>
        <v>3.1399191938664885</v>
      </c>
      <c r="AJ73" s="121">
        <v>671</v>
      </c>
      <c r="AK73" s="120">
        <f t="shared" si="25"/>
        <v>6.508769136971682</v>
      </c>
      <c r="AL73" s="108">
        <v>47.4</v>
      </c>
      <c r="AM73" s="119">
        <v>15101.9</v>
      </c>
      <c r="AN73" s="120">
        <f t="shared" si="26"/>
        <v>9.622575842701929</v>
      </c>
      <c r="AO73" s="96">
        <v>60.008200000000002</v>
      </c>
      <c r="AP73" s="94">
        <v>142.08699999999999</v>
      </c>
      <c r="AQ73" s="95">
        <v>4.9564399999999997</v>
      </c>
      <c r="AR73" s="94">
        <v>32.5</v>
      </c>
      <c r="AS73" s="95">
        <f t="shared" si="27"/>
        <v>3.4812400893356918</v>
      </c>
      <c r="AT73" s="96">
        <v>87.525999999999996</v>
      </c>
    </row>
    <row r="74" spans="1:46">
      <c r="A74" s="109">
        <v>7</v>
      </c>
      <c r="B74" s="110" t="s">
        <v>40</v>
      </c>
      <c r="C74" s="110" t="s">
        <v>39</v>
      </c>
      <c r="D74" s="111">
        <v>2016</v>
      </c>
      <c r="E74" s="109">
        <v>31</v>
      </c>
      <c r="F74" s="111">
        <f t="shared" si="14"/>
        <v>3.4339872044851463</v>
      </c>
      <c r="G74" s="93">
        <v>2.4998300000000002</v>
      </c>
      <c r="H74" s="93">
        <v>7800000000</v>
      </c>
      <c r="I74" s="94">
        <v>54300.2</v>
      </c>
      <c r="J74" s="95">
        <v>10.9023</v>
      </c>
      <c r="K74" s="96">
        <v>0.67</v>
      </c>
      <c r="L74" s="109">
        <v>23.334999</v>
      </c>
      <c r="M74" s="111">
        <f t="shared" si="15"/>
        <v>3.1499543365476961</v>
      </c>
      <c r="N74" s="112">
        <v>2.0947</v>
      </c>
      <c r="O74" s="113">
        <f t="shared" si="16"/>
        <v>0.73941034502958347</v>
      </c>
      <c r="P74" s="109">
        <v>695</v>
      </c>
      <c r="Q74" s="111">
        <f t="shared" si="17"/>
        <v>6.543911845564792</v>
      </c>
      <c r="R74" s="93">
        <v>48.299999</v>
      </c>
      <c r="S74" s="114">
        <v>86.4</v>
      </c>
      <c r="T74" s="113">
        <f t="shared" si="18"/>
        <v>4.4589876758100102</v>
      </c>
      <c r="U74" s="112">
        <v>8</v>
      </c>
      <c r="V74" s="113">
        <f t="shared" si="19"/>
        <v>2.0794415416798357</v>
      </c>
      <c r="W74" s="115">
        <v>3009</v>
      </c>
      <c r="X74" s="101">
        <f t="shared" si="20"/>
        <v>8.009363076630045</v>
      </c>
      <c r="Y74" s="116">
        <v>5056</v>
      </c>
      <c r="Z74" s="102">
        <v>33435</v>
      </c>
      <c r="AA74" s="235">
        <v>1.25</v>
      </c>
      <c r="AB74" s="117">
        <f t="shared" si="21"/>
        <v>0.22314355131420976</v>
      </c>
      <c r="AC74" s="115">
        <v>118</v>
      </c>
      <c r="AD74" s="117">
        <f t="shared" si="22"/>
        <v>4.7706846244656651</v>
      </c>
      <c r="AE74" s="109">
        <v>15143.965</v>
      </c>
      <c r="AF74" s="111">
        <f t="shared" si="23"/>
        <v>9.6253573817401588</v>
      </c>
      <c r="AG74" s="118">
        <v>35.4</v>
      </c>
      <c r="AH74" s="119">
        <v>23.335000000000001</v>
      </c>
      <c r="AI74" s="120">
        <f t="shared" si="24"/>
        <v>3.149954379401779</v>
      </c>
      <c r="AJ74" s="121">
        <v>695</v>
      </c>
      <c r="AK74" s="120">
        <f t="shared" si="25"/>
        <v>6.543911845564792</v>
      </c>
      <c r="AL74" s="108">
        <v>48.3</v>
      </c>
      <c r="AM74" s="119">
        <v>15144</v>
      </c>
      <c r="AN74" s="120">
        <f t="shared" si="26"/>
        <v>9.6253596928891589</v>
      </c>
      <c r="AO74" s="96">
        <v>57.927500000000002</v>
      </c>
      <c r="AP74" s="94">
        <v>143.19999999999999</v>
      </c>
      <c r="AQ74" s="95">
        <v>4.9642400000000002</v>
      </c>
      <c r="AR74" s="94">
        <v>32</v>
      </c>
      <c r="AS74" s="95">
        <f t="shared" si="27"/>
        <v>3.4657359027997265</v>
      </c>
      <c r="AT74" s="96">
        <v>87.641999999999996</v>
      </c>
    </row>
    <row r="75" spans="1:46">
      <c r="A75" s="109">
        <v>7</v>
      </c>
      <c r="B75" s="110" t="s">
        <v>40</v>
      </c>
      <c r="C75" s="110" t="s">
        <v>39</v>
      </c>
      <c r="D75" s="111">
        <v>2017</v>
      </c>
      <c r="E75" s="109">
        <v>31.7</v>
      </c>
      <c r="F75" s="111">
        <f t="shared" si="14"/>
        <v>3.4563166808832348</v>
      </c>
      <c r="G75" s="93">
        <v>1.0878000000000001</v>
      </c>
      <c r="H75" s="93">
        <v>3600000000</v>
      </c>
      <c r="I75" s="94">
        <v>55601</v>
      </c>
      <c r="J75" s="95">
        <v>10.926</v>
      </c>
      <c r="K75" s="96">
        <v>0.69</v>
      </c>
      <c r="L75" s="109">
        <v>22.867000999999998</v>
      </c>
      <c r="M75" s="111">
        <f t="shared" si="15"/>
        <v>3.129694866948098</v>
      </c>
      <c r="N75" s="112">
        <v>2.0831</v>
      </c>
      <c r="O75" s="113">
        <f t="shared" si="16"/>
        <v>0.73385716880773211</v>
      </c>
      <c r="P75" s="109">
        <v>736</v>
      </c>
      <c r="Q75" s="111">
        <f t="shared" si="17"/>
        <v>6.6012301187288767</v>
      </c>
      <c r="R75" s="93">
        <v>47.599997999999999</v>
      </c>
      <c r="S75" s="114">
        <v>85.8</v>
      </c>
      <c r="T75" s="113">
        <f t="shared" si="18"/>
        <v>4.4520190064939165</v>
      </c>
      <c r="U75" s="112">
        <v>7.9</v>
      </c>
      <c r="V75" s="113">
        <f t="shared" si="19"/>
        <v>2.066862759472976</v>
      </c>
      <c r="W75" s="115">
        <v>2274.4</v>
      </c>
      <c r="X75" s="101">
        <f t="shared" si="20"/>
        <v>7.7294715603367905</v>
      </c>
      <c r="Y75" s="116">
        <v>4924</v>
      </c>
      <c r="Z75" s="102">
        <v>34814</v>
      </c>
      <c r="AA75" s="235">
        <v>1.1000000000000001</v>
      </c>
      <c r="AB75" s="117">
        <f t="shared" si="21"/>
        <v>9.5310179804324935E-2</v>
      </c>
      <c r="AC75" s="115">
        <v>118</v>
      </c>
      <c r="AD75" s="117">
        <f t="shared" si="22"/>
        <v>4.7706846244656651</v>
      </c>
      <c r="AE75" s="109">
        <v>14518.353999999999</v>
      </c>
      <c r="AF75" s="111">
        <f t="shared" si="23"/>
        <v>9.5831689210714135</v>
      </c>
      <c r="AG75" s="118">
        <v>36</v>
      </c>
      <c r="AH75" s="119">
        <v>22.867000000000001</v>
      </c>
      <c r="AI75" s="120">
        <f t="shared" si="24"/>
        <v>3.1296948232169579</v>
      </c>
      <c r="AJ75" s="121">
        <v>736</v>
      </c>
      <c r="AK75" s="120">
        <f t="shared" si="25"/>
        <v>6.6012301187288767</v>
      </c>
      <c r="AL75" s="108">
        <v>47.6</v>
      </c>
      <c r="AM75" s="119">
        <v>14518.4</v>
      </c>
      <c r="AN75" s="120">
        <f t="shared" si="26"/>
        <v>9.5831720894696453</v>
      </c>
      <c r="AO75" s="96">
        <v>58.9435</v>
      </c>
      <c r="AP75" s="94">
        <v>144.124</v>
      </c>
      <c r="AQ75" s="95">
        <v>4.9706799999999998</v>
      </c>
      <c r="AR75" s="94">
        <v>35</v>
      </c>
      <c r="AS75" s="95">
        <f t="shared" si="27"/>
        <v>3.5553480614894135</v>
      </c>
      <c r="AT75" s="96">
        <v>87.757000000000005</v>
      </c>
    </row>
    <row r="76" spans="1:46">
      <c r="A76" s="109">
        <v>7</v>
      </c>
      <c r="B76" s="110" t="s">
        <v>40</v>
      </c>
      <c r="C76" s="110" t="s">
        <v>39</v>
      </c>
      <c r="D76" s="111">
        <v>2018</v>
      </c>
      <c r="E76" s="109">
        <v>31.4</v>
      </c>
      <c r="F76" s="111">
        <f t="shared" si="14"/>
        <v>3.4468078929142076</v>
      </c>
      <c r="G76" s="93">
        <v>2.4666999999999999</v>
      </c>
      <c r="H76" s="93">
        <v>8800000000</v>
      </c>
      <c r="I76" s="94">
        <v>56355.1</v>
      </c>
      <c r="J76" s="95">
        <v>10.939399999999999</v>
      </c>
      <c r="K76" s="96">
        <v>0.67</v>
      </c>
      <c r="L76" s="109">
        <v>23.184000000000001</v>
      </c>
      <c r="M76" s="111">
        <f t="shared" si="15"/>
        <v>3.1434623855783266</v>
      </c>
      <c r="N76" s="112">
        <v>2.1135999999999999</v>
      </c>
      <c r="O76" s="113">
        <f t="shared" si="16"/>
        <v>0.74839265478592376</v>
      </c>
      <c r="P76" s="109">
        <v>740</v>
      </c>
      <c r="Q76" s="111">
        <f t="shared" si="17"/>
        <v>6.6066501861982152</v>
      </c>
      <c r="R76" s="93">
        <v>49.900002000000001</v>
      </c>
      <c r="S76" s="114">
        <v>80.7</v>
      </c>
      <c r="T76" s="113">
        <f t="shared" si="18"/>
        <v>4.3907385752759032</v>
      </c>
      <c r="U76" s="112">
        <v>8.1</v>
      </c>
      <c r="V76" s="113">
        <f t="shared" si="19"/>
        <v>2.0918640616783932</v>
      </c>
      <c r="W76" s="115">
        <v>2672</v>
      </c>
      <c r="X76" s="101">
        <f t="shared" si="20"/>
        <v>7.8905825346565361</v>
      </c>
      <c r="Y76" s="116">
        <v>5564</v>
      </c>
      <c r="Z76" s="102">
        <v>36639</v>
      </c>
      <c r="AA76" s="235">
        <v>0.97</v>
      </c>
      <c r="AB76" s="117">
        <f t="shared" si="21"/>
        <v>-3.0459207484708574E-2</v>
      </c>
      <c r="AC76" s="115">
        <v>119</v>
      </c>
      <c r="AD76" s="117">
        <f t="shared" si="22"/>
        <v>4.7791234931115296</v>
      </c>
      <c r="AE76" s="109">
        <v>12752.816999999999</v>
      </c>
      <c r="AF76" s="111">
        <f t="shared" si="23"/>
        <v>9.4535074673591346</v>
      </c>
      <c r="AG76" s="118">
        <v>38.1</v>
      </c>
      <c r="AH76" s="119">
        <v>23.184000000000001</v>
      </c>
      <c r="AI76" s="120">
        <f t="shared" si="24"/>
        <v>3.1434623855783266</v>
      </c>
      <c r="AJ76" s="121">
        <v>740</v>
      </c>
      <c r="AK76" s="120">
        <f t="shared" si="25"/>
        <v>6.6066501861982152</v>
      </c>
      <c r="AL76" s="108">
        <v>49.9</v>
      </c>
      <c r="AM76" s="119">
        <v>12752.8</v>
      </c>
      <c r="AN76" s="120">
        <f t="shared" si="26"/>
        <v>9.4535061343194364</v>
      </c>
      <c r="AO76" s="96">
        <v>59.795699999999997</v>
      </c>
      <c r="AP76" s="94">
        <v>144.84100000000001</v>
      </c>
      <c r="AQ76" s="95">
        <v>4.9756400000000003</v>
      </c>
      <c r="AR76" s="94">
        <v>34.6</v>
      </c>
      <c r="AS76" s="95">
        <f t="shared" si="27"/>
        <v>3.5438536820636788</v>
      </c>
      <c r="AT76" s="96">
        <v>87.873999999999995</v>
      </c>
    </row>
    <row r="77" spans="1:46">
      <c r="A77" s="109">
        <v>7</v>
      </c>
      <c r="B77" s="110" t="s">
        <v>40</v>
      </c>
      <c r="C77" s="110" t="s">
        <v>39</v>
      </c>
      <c r="D77" s="111">
        <v>2019</v>
      </c>
      <c r="E77" s="109">
        <v>32.4</v>
      </c>
      <c r="F77" s="111">
        <f t="shared" si="14"/>
        <v>3.4781584227982836</v>
      </c>
      <c r="G77" s="93">
        <v>-1.10067</v>
      </c>
      <c r="H77" s="93">
        <v>-3800000000</v>
      </c>
      <c r="I77" s="94">
        <v>57114.6</v>
      </c>
      <c r="J77" s="95">
        <v>10.9528</v>
      </c>
      <c r="K77" s="96">
        <v>0.69</v>
      </c>
      <c r="L77" s="109">
        <v>24.236999999999998</v>
      </c>
      <c r="M77" s="111">
        <f t="shared" si="15"/>
        <v>3.187880391165681</v>
      </c>
      <c r="N77" s="112">
        <v>2.1276000000000002</v>
      </c>
      <c r="O77" s="113">
        <f t="shared" si="16"/>
        <v>0.75499458388602558</v>
      </c>
      <c r="P77" s="109">
        <v>790</v>
      </c>
      <c r="Q77" s="111">
        <f t="shared" si="17"/>
        <v>6.6720329454610674</v>
      </c>
      <c r="R77" s="93">
        <v>51.5</v>
      </c>
      <c r="S77" s="114">
        <v>83.7</v>
      </c>
      <c r="T77" s="113">
        <f t="shared" si="18"/>
        <v>4.4272389774954295</v>
      </c>
      <c r="U77" s="112">
        <v>7.6</v>
      </c>
      <c r="V77" s="113">
        <f t="shared" si="19"/>
        <v>2.0281482472922852</v>
      </c>
      <c r="W77" s="115">
        <v>2876</v>
      </c>
      <c r="X77" s="101">
        <f t="shared" si="20"/>
        <v>7.9641557188409369</v>
      </c>
      <c r="Y77" s="116">
        <v>5289</v>
      </c>
      <c r="Z77" s="102">
        <v>36394</v>
      </c>
      <c r="AA77" s="235">
        <v>1.44</v>
      </c>
      <c r="AB77" s="117">
        <f t="shared" si="21"/>
        <v>0.36464311358790924</v>
      </c>
      <c r="AC77" s="115">
        <v>119</v>
      </c>
      <c r="AD77" s="117">
        <f t="shared" si="22"/>
        <v>4.7791234931115296</v>
      </c>
      <c r="AE77" s="109">
        <v>10987.281000000001</v>
      </c>
      <c r="AF77" s="111">
        <f t="shared" si="23"/>
        <v>9.3044936100541786</v>
      </c>
      <c r="AG77" s="118">
        <v>37.1</v>
      </c>
      <c r="AH77" s="119">
        <v>24.236999999999998</v>
      </c>
      <c r="AI77" s="120">
        <f t="shared" si="24"/>
        <v>3.187880391165681</v>
      </c>
      <c r="AJ77" s="121">
        <v>790</v>
      </c>
      <c r="AK77" s="120">
        <f t="shared" si="25"/>
        <v>6.6720329454610674</v>
      </c>
      <c r="AL77" s="108">
        <v>51.5</v>
      </c>
      <c r="AM77" s="119">
        <v>0</v>
      </c>
      <c r="AN77" s="120">
        <v>0</v>
      </c>
      <c r="AO77" s="96">
        <v>60.584600000000002</v>
      </c>
      <c r="AP77" s="94">
        <v>145.36099999999999</v>
      </c>
      <c r="AQ77" s="95">
        <v>4.9792199999999998</v>
      </c>
      <c r="AR77" s="94">
        <v>37.200000000000003</v>
      </c>
      <c r="AS77" s="95">
        <f t="shared" si="27"/>
        <v>3.6163087612791012</v>
      </c>
      <c r="AT77" s="96">
        <v>87.994</v>
      </c>
    </row>
    <row r="78" spans="1:46">
      <c r="A78" s="109">
        <v>7</v>
      </c>
      <c r="B78" s="110" t="s">
        <v>40</v>
      </c>
      <c r="C78" s="110" t="s">
        <v>39</v>
      </c>
      <c r="D78" s="111">
        <v>2020</v>
      </c>
      <c r="E78" s="109">
        <v>33</v>
      </c>
      <c r="F78" s="111">
        <f t="shared" si="14"/>
        <v>3.4965075614664802</v>
      </c>
      <c r="G78" s="93">
        <v>0.363875</v>
      </c>
      <c r="H78" s="93">
        <v>1300000000</v>
      </c>
      <c r="I78" s="94">
        <v>55934.6</v>
      </c>
      <c r="J78" s="95">
        <v>10.931900000000001</v>
      </c>
      <c r="K78" s="96">
        <v>0.68</v>
      </c>
      <c r="L78" s="109">
        <v>22.957001000000002</v>
      </c>
      <c r="M78" s="111">
        <f t="shared" si="15"/>
        <v>3.1336229444531321</v>
      </c>
      <c r="N78" s="112">
        <v>2.1474000000000002</v>
      </c>
      <c r="O78" s="113">
        <f t="shared" si="16"/>
        <v>0.76425780801789811</v>
      </c>
      <c r="P78" s="109">
        <v>830</v>
      </c>
      <c r="Q78" s="111">
        <f t="shared" si="17"/>
        <v>6.7214257007906433</v>
      </c>
      <c r="R78" s="93">
        <v>45</v>
      </c>
      <c r="S78" s="114">
        <v>84.1</v>
      </c>
      <c r="T78" s="113">
        <f t="shared" si="18"/>
        <v>4.4320065669789024</v>
      </c>
      <c r="U78" s="112">
        <v>7.6</v>
      </c>
      <c r="V78" s="113">
        <f t="shared" si="19"/>
        <v>2.0281482472922852</v>
      </c>
      <c r="W78" s="115">
        <v>2435.6999999999998</v>
      </c>
      <c r="X78" s="101">
        <f t="shared" si="20"/>
        <v>7.7979894685365103</v>
      </c>
      <c r="Y78" s="116">
        <v>5885</v>
      </c>
      <c r="Z78" s="102">
        <v>35758</v>
      </c>
      <c r="AA78" s="235">
        <v>0.49</v>
      </c>
      <c r="AB78" s="117">
        <f t="shared" si="21"/>
        <v>-0.71334988787746478</v>
      </c>
      <c r="AC78" s="115">
        <v>116</v>
      </c>
      <c r="AD78" s="117">
        <f t="shared" si="22"/>
        <v>4.7535901911063645</v>
      </c>
      <c r="AE78" s="109">
        <v>9221.7451000000001</v>
      </c>
      <c r="AF78" s="111">
        <f t="shared" si="23"/>
        <v>9.1293195719595772</v>
      </c>
      <c r="AG78" s="118">
        <v>37</v>
      </c>
      <c r="AH78" s="119">
        <v>22.957000000000001</v>
      </c>
      <c r="AI78" s="120">
        <f t="shared" si="24"/>
        <v>3.1336229008934344</v>
      </c>
      <c r="AJ78" s="121">
        <v>830</v>
      </c>
      <c r="AK78" s="120">
        <f t="shared" si="25"/>
        <v>6.7214257007906433</v>
      </c>
      <c r="AL78" s="108">
        <v>45</v>
      </c>
      <c r="AM78" s="119">
        <v>0</v>
      </c>
      <c r="AN78" s="120">
        <v>0</v>
      </c>
      <c r="AO78" s="96">
        <v>58.136699999999998</v>
      </c>
      <c r="AP78" s="94">
        <v>145.785</v>
      </c>
      <c r="AQ78" s="95">
        <v>4.9821299999999997</v>
      </c>
      <c r="AR78" s="94">
        <v>39.5</v>
      </c>
      <c r="AS78" s="95">
        <f t="shared" si="27"/>
        <v>3.6763006719070761</v>
      </c>
      <c r="AT78" s="96">
        <v>88.116</v>
      </c>
    </row>
    <row r="79" spans="1:46">
      <c r="A79" s="109">
        <v>8</v>
      </c>
      <c r="B79" s="110" t="s">
        <v>38</v>
      </c>
      <c r="C79" s="110" t="s">
        <v>37</v>
      </c>
      <c r="D79" s="111">
        <v>2010</v>
      </c>
      <c r="E79" s="109">
        <v>32.5</v>
      </c>
      <c r="F79" s="111">
        <f t="shared" si="14"/>
        <v>3.4812400893356918</v>
      </c>
      <c r="G79" s="93">
        <v>13.276999999999999</v>
      </c>
      <c r="H79" s="93">
        <v>2600000000</v>
      </c>
      <c r="I79" s="94">
        <v>14657.9</v>
      </c>
      <c r="J79" s="95">
        <v>9.5927399999999992</v>
      </c>
      <c r="K79" s="96">
        <v>0.31</v>
      </c>
      <c r="L79" s="109">
        <v>23.652999999999999</v>
      </c>
      <c r="M79" s="111">
        <f t="shared" si="15"/>
        <v>3.1634899567874664</v>
      </c>
      <c r="N79" s="112">
        <v>0.54020000000000001</v>
      </c>
      <c r="O79" s="113">
        <f t="shared" si="16"/>
        <v>-0.6158158376236218</v>
      </c>
      <c r="P79" s="109">
        <v>844</v>
      </c>
      <c r="Q79" s="111">
        <f t="shared" si="17"/>
        <v>6.7381524945959574</v>
      </c>
      <c r="R79" s="93">
        <v>18</v>
      </c>
      <c r="S79" s="114">
        <v>82.7</v>
      </c>
      <c r="T79" s="113">
        <f t="shared" si="18"/>
        <v>4.4152196020296453</v>
      </c>
      <c r="U79" s="112">
        <v>9</v>
      </c>
      <c r="V79" s="113">
        <f t="shared" si="19"/>
        <v>2.1972245773362196</v>
      </c>
      <c r="W79" s="115">
        <v>18.2</v>
      </c>
      <c r="X79" s="101">
        <f t="shared" si="20"/>
        <v>2.9014215940827497</v>
      </c>
      <c r="Y79" s="116">
        <v>278</v>
      </c>
      <c r="Z79" s="102">
        <v>9288</v>
      </c>
      <c r="AA79" s="235">
        <v>0.19</v>
      </c>
      <c r="AB79" s="117">
        <f t="shared" si="21"/>
        <v>-1.6607312068216509</v>
      </c>
      <c r="AC79" s="115">
        <v>100</v>
      </c>
      <c r="AD79" s="117">
        <f t="shared" si="22"/>
        <v>4.6051701859880918</v>
      </c>
      <c r="AE79" s="109">
        <v>14918.12</v>
      </c>
      <c r="AF79" s="111">
        <f t="shared" si="23"/>
        <v>9.6103318604564798</v>
      </c>
      <c r="AG79" s="118">
        <v>21.5</v>
      </c>
      <c r="AH79" s="119">
        <v>23.652999999999999</v>
      </c>
      <c r="AI79" s="120">
        <f t="shared" si="24"/>
        <v>3.1634899567874664</v>
      </c>
      <c r="AJ79" s="121">
        <v>844</v>
      </c>
      <c r="AK79" s="120">
        <f t="shared" si="25"/>
        <v>6.7381524945959574</v>
      </c>
      <c r="AL79" s="108">
        <v>18</v>
      </c>
      <c r="AM79" s="119">
        <v>14918.1</v>
      </c>
      <c r="AN79" s="120">
        <f t="shared" si="26"/>
        <v>9.6103305198040765</v>
      </c>
      <c r="AO79" s="96">
        <v>122.29900000000001</v>
      </c>
      <c r="AP79" s="94">
        <v>31.4101</v>
      </c>
      <c r="AQ79" s="95">
        <v>3.44713</v>
      </c>
      <c r="AR79" s="94">
        <v>25.3</v>
      </c>
      <c r="AS79" s="95">
        <f t="shared" si="27"/>
        <v>3.2308043957334744</v>
      </c>
      <c r="AT79" s="96">
        <v>68.093999999999994</v>
      </c>
    </row>
    <row r="80" spans="1:46">
      <c r="A80" s="109">
        <v>8</v>
      </c>
      <c r="B80" s="110" t="s">
        <v>38</v>
      </c>
      <c r="C80" s="110" t="s">
        <v>37</v>
      </c>
      <c r="D80" s="111">
        <v>2011</v>
      </c>
      <c r="E80" s="109">
        <v>34</v>
      </c>
      <c r="F80" s="111">
        <f t="shared" si="14"/>
        <v>3.5263605246161616</v>
      </c>
      <c r="G80" s="93">
        <v>4.8023999999999996</v>
      </c>
      <c r="H80" s="93">
        <v>1100000000</v>
      </c>
      <c r="I80" s="94">
        <v>15820.9</v>
      </c>
      <c r="J80" s="95">
        <v>9.6690900000000006</v>
      </c>
      <c r="K80" s="96">
        <v>0.31</v>
      </c>
      <c r="L80" s="109">
        <v>26.240998999999999</v>
      </c>
      <c r="M80" s="111">
        <f t="shared" si="15"/>
        <v>3.2673230349975229</v>
      </c>
      <c r="N80" s="112">
        <v>0.53749999999999998</v>
      </c>
      <c r="O80" s="113">
        <f t="shared" si="16"/>
        <v>-0.62082651898031926</v>
      </c>
      <c r="P80" s="109">
        <v>814</v>
      </c>
      <c r="Q80" s="111">
        <f t="shared" si="17"/>
        <v>6.70196036600254</v>
      </c>
      <c r="R80" s="93">
        <v>23.299999</v>
      </c>
      <c r="S80" s="114">
        <v>69.5</v>
      </c>
      <c r="T80" s="113">
        <f t="shared" si="18"/>
        <v>4.2413267525707461</v>
      </c>
      <c r="U80" s="112">
        <v>14.5</v>
      </c>
      <c r="V80" s="113">
        <f t="shared" si="19"/>
        <v>2.6741486494265287</v>
      </c>
      <c r="W80" s="115">
        <v>24.1</v>
      </c>
      <c r="X80" s="101">
        <f t="shared" si="20"/>
        <v>3.1822118404966093</v>
      </c>
      <c r="Y80" s="116">
        <v>322</v>
      </c>
      <c r="Z80" s="102">
        <v>9860</v>
      </c>
      <c r="AA80" s="235">
        <v>0</v>
      </c>
      <c r="AB80" s="117">
        <v>0</v>
      </c>
      <c r="AC80" s="115">
        <v>98</v>
      </c>
      <c r="AD80" s="117">
        <f t="shared" si="22"/>
        <v>4.5849674786705723</v>
      </c>
      <c r="AE80" s="109">
        <v>16336.708000000001</v>
      </c>
      <c r="AF80" s="111">
        <f t="shared" si="23"/>
        <v>9.701169879328182</v>
      </c>
      <c r="AG80" s="118">
        <v>21.8</v>
      </c>
      <c r="AH80" s="119">
        <v>26.241</v>
      </c>
      <c r="AI80" s="120">
        <f t="shared" si="24"/>
        <v>3.2673230731058274</v>
      </c>
      <c r="AJ80" s="121">
        <v>814</v>
      </c>
      <c r="AK80" s="120">
        <f t="shared" si="25"/>
        <v>6.70196036600254</v>
      </c>
      <c r="AL80" s="108">
        <v>23.3</v>
      </c>
      <c r="AM80" s="119">
        <v>16336.7</v>
      </c>
      <c r="AN80" s="120">
        <f t="shared" si="26"/>
        <v>9.7011693896333195</v>
      </c>
      <c r="AO80" s="96">
        <v>146.619</v>
      </c>
      <c r="AP80" s="94">
        <v>31.314900000000002</v>
      </c>
      <c r="AQ80" s="95">
        <v>3.4440900000000001</v>
      </c>
      <c r="AR80" s="94">
        <v>25.2</v>
      </c>
      <c r="AS80" s="95">
        <f t="shared" si="27"/>
        <v>3.2268439945173775</v>
      </c>
      <c r="AT80" s="96">
        <v>67.965000000000003</v>
      </c>
    </row>
    <row r="81" spans="1:46">
      <c r="A81" s="109">
        <v>8</v>
      </c>
      <c r="B81" s="110" t="s">
        <v>38</v>
      </c>
      <c r="C81" s="110" t="s">
        <v>37</v>
      </c>
      <c r="D81" s="111">
        <v>2012</v>
      </c>
      <c r="E81" s="109">
        <v>35.5</v>
      </c>
      <c r="F81" s="111">
        <f t="shared" si="14"/>
        <v>3.5695326964813701</v>
      </c>
      <c r="G81" s="93">
        <v>7.6916599999999997</v>
      </c>
      <c r="H81" s="93">
        <v>1800000000</v>
      </c>
      <c r="I81" s="94">
        <v>16460.7</v>
      </c>
      <c r="J81" s="95">
        <v>9.7087299999999992</v>
      </c>
      <c r="K81" s="96">
        <v>0.3</v>
      </c>
      <c r="L81" s="109">
        <v>27.187999999999999</v>
      </c>
      <c r="M81" s="111">
        <f t="shared" si="15"/>
        <v>3.3027756994843918</v>
      </c>
      <c r="N81" s="112">
        <v>0.5464</v>
      </c>
      <c r="O81" s="113">
        <f t="shared" si="16"/>
        <v>-0.60440397072555674</v>
      </c>
      <c r="P81" s="109">
        <v>769</v>
      </c>
      <c r="Q81" s="111">
        <f t="shared" si="17"/>
        <v>6.6450909695056444</v>
      </c>
      <c r="R81" s="93">
        <v>19.100000000000001</v>
      </c>
      <c r="S81" s="114">
        <v>80.400000000000006</v>
      </c>
      <c r="T81" s="113">
        <f t="shared" si="18"/>
        <v>4.3870141761849206</v>
      </c>
      <c r="U81" s="112">
        <v>19.2</v>
      </c>
      <c r="V81" s="113">
        <f t="shared" si="19"/>
        <v>2.954910279033736</v>
      </c>
      <c r="W81" s="115">
        <v>93.6</v>
      </c>
      <c r="X81" s="101">
        <f t="shared" si="20"/>
        <v>4.5390303834835466</v>
      </c>
      <c r="Y81" s="116">
        <v>367</v>
      </c>
      <c r="Z81" s="102">
        <v>10687</v>
      </c>
      <c r="AA81" s="235">
        <v>0.19</v>
      </c>
      <c r="AB81" s="117">
        <f t="shared" si="21"/>
        <v>-1.6607312068216509</v>
      </c>
      <c r="AC81" s="115">
        <v>94</v>
      </c>
      <c r="AD81" s="117">
        <f t="shared" si="22"/>
        <v>4.5432947822700038</v>
      </c>
      <c r="AE81" s="109">
        <v>15694.669</v>
      </c>
      <c r="AF81" s="111">
        <f t="shared" si="23"/>
        <v>9.6610763795347125</v>
      </c>
      <c r="AG81" s="118">
        <v>20.7</v>
      </c>
      <c r="AH81" s="119">
        <v>27.187999999999999</v>
      </c>
      <c r="AI81" s="120">
        <f t="shared" si="24"/>
        <v>3.3027756994843918</v>
      </c>
      <c r="AJ81" s="121">
        <v>769</v>
      </c>
      <c r="AK81" s="120">
        <f t="shared" si="25"/>
        <v>6.6450909695056444</v>
      </c>
      <c r="AL81" s="108">
        <v>19.100000000000001</v>
      </c>
      <c r="AM81" s="119">
        <v>15694.7</v>
      </c>
      <c r="AN81" s="120">
        <f t="shared" si="26"/>
        <v>9.6610783547257384</v>
      </c>
      <c r="AO81" s="96">
        <v>147.05600000000001</v>
      </c>
      <c r="AP81" s="94">
        <v>31.202999999999999</v>
      </c>
      <c r="AQ81" s="95">
        <v>3.4405100000000002</v>
      </c>
      <c r="AR81" s="94">
        <v>25</v>
      </c>
      <c r="AS81" s="95">
        <f t="shared" si="27"/>
        <v>3.2188758248682006</v>
      </c>
      <c r="AT81" s="96">
        <v>67.974000000000004</v>
      </c>
    </row>
    <row r="82" spans="1:46">
      <c r="A82" s="109">
        <v>8</v>
      </c>
      <c r="B82" s="110" t="s">
        <v>38</v>
      </c>
      <c r="C82" s="110" t="s">
        <v>37</v>
      </c>
      <c r="D82" s="111">
        <v>2013</v>
      </c>
      <c r="E82" s="109">
        <v>35</v>
      </c>
      <c r="F82" s="111">
        <f t="shared" si="14"/>
        <v>3.5553480614894135</v>
      </c>
      <c r="G82" s="93">
        <v>4.3139399999999997</v>
      </c>
      <c r="H82" s="93">
        <v>1100000000</v>
      </c>
      <c r="I82" s="94">
        <v>16809.5</v>
      </c>
      <c r="J82" s="95">
        <v>9.7296999999999993</v>
      </c>
      <c r="K82" s="96">
        <v>0.28999999999999998</v>
      </c>
      <c r="L82" s="109">
        <v>26.624001</v>
      </c>
      <c r="M82" s="111">
        <f t="shared" si="15"/>
        <v>3.2818131021988934</v>
      </c>
      <c r="N82" s="112">
        <v>0.52439999999999998</v>
      </c>
      <c r="O82" s="113">
        <f t="shared" si="16"/>
        <v>-0.64550052709259231</v>
      </c>
      <c r="P82" s="109">
        <v>802</v>
      </c>
      <c r="Q82" s="111">
        <f t="shared" si="17"/>
        <v>6.6871086078665147</v>
      </c>
      <c r="R82" s="93">
        <v>17.600000000000001</v>
      </c>
      <c r="S82" s="114">
        <v>66</v>
      </c>
      <c r="T82" s="113">
        <f t="shared" si="18"/>
        <v>4.1896547420264252</v>
      </c>
      <c r="U82" s="112">
        <v>14.7</v>
      </c>
      <c r="V82" s="113">
        <f t="shared" si="19"/>
        <v>2.6878474937846906</v>
      </c>
      <c r="W82" s="115">
        <v>444.3</v>
      </c>
      <c r="X82" s="101">
        <f t="shared" si="20"/>
        <v>6.0965000099418631</v>
      </c>
      <c r="Y82" s="116">
        <v>375</v>
      </c>
      <c r="Z82" s="102">
        <v>11229</v>
      </c>
      <c r="AA82" s="235">
        <v>0</v>
      </c>
      <c r="AB82" s="117">
        <v>0</v>
      </c>
      <c r="AC82" s="115">
        <v>93</v>
      </c>
      <c r="AD82" s="117">
        <f t="shared" si="22"/>
        <v>4.5325994931532563</v>
      </c>
      <c r="AE82" s="109">
        <v>13195.241</v>
      </c>
      <c r="AF82" s="111">
        <f t="shared" si="23"/>
        <v>9.487611513264758</v>
      </c>
      <c r="AG82" s="118">
        <v>19.3</v>
      </c>
      <c r="AH82" s="119">
        <v>26.623999999999999</v>
      </c>
      <c r="AI82" s="120">
        <f t="shared" si="24"/>
        <v>3.281813064638798</v>
      </c>
      <c r="AJ82" s="121">
        <v>802</v>
      </c>
      <c r="AK82" s="120">
        <f t="shared" si="25"/>
        <v>6.6871086078665147</v>
      </c>
      <c r="AL82" s="108">
        <v>17.600000000000001</v>
      </c>
      <c r="AM82" s="119">
        <v>13195.2</v>
      </c>
      <c r="AN82" s="120">
        <f t="shared" si="26"/>
        <v>9.4876084060790902</v>
      </c>
      <c r="AO82" s="96">
        <v>136.66999999999999</v>
      </c>
      <c r="AP82" s="94">
        <v>30.319700000000001</v>
      </c>
      <c r="AQ82" s="95">
        <v>3.4117999999999999</v>
      </c>
      <c r="AR82" s="94">
        <v>24.5</v>
      </c>
      <c r="AS82" s="95">
        <f t="shared" si="27"/>
        <v>3.1986731175506815</v>
      </c>
      <c r="AT82" s="96">
        <v>68.122</v>
      </c>
    </row>
    <row r="83" spans="1:46">
      <c r="A83" s="109">
        <v>8</v>
      </c>
      <c r="B83" s="110" t="s">
        <v>38</v>
      </c>
      <c r="C83" s="110" t="s">
        <v>37</v>
      </c>
      <c r="D83" s="111">
        <v>2014</v>
      </c>
      <c r="E83" s="109">
        <v>35.299999999999997</v>
      </c>
      <c r="F83" s="111">
        <f t="shared" si="14"/>
        <v>3.5638829639392511</v>
      </c>
      <c r="G83" s="93">
        <v>6.5851199999999999</v>
      </c>
      <c r="H83" s="93">
        <v>1800000000</v>
      </c>
      <c r="I83" s="94">
        <v>17413.7</v>
      </c>
      <c r="J83" s="95">
        <v>9.7650100000000002</v>
      </c>
      <c r="K83" s="96">
        <v>0.28000000000000003</v>
      </c>
      <c r="L83" s="109">
        <v>24.298999999999999</v>
      </c>
      <c r="M83" s="111">
        <f t="shared" si="15"/>
        <v>3.1904351972363507</v>
      </c>
      <c r="N83" s="112">
        <v>0.56769999999999998</v>
      </c>
      <c r="O83" s="113">
        <f t="shared" si="16"/>
        <v>-0.56616216880545656</v>
      </c>
      <c r="P83" s="109">
        <v>453</v>
      </c>
      <c r="Q83" s="111">
        <f t="shared" si="17"/>
        <v>6.1158921254830343</v>
      </c>
      <c r="R83" s="93">
        <v>31.1</v>
      </c>
      <c r="S83" s="114">
        <v>85.1</v>
      </c>
      <c r="T83" s="113">
        <f t="shared" si="18"/>
        <v>4.4438270355793286</v>
      </c>
      <c r="U83" s="112">
        <v>11.3</v>
      </c>
      <c r="V83" s="113">
        <f t="shared" si="19"/>
        <v>2.4248027257182949</v>
      </c>
      <c r="W83" s="115">
        <v>452.9</v>
      </c>
      <c r="X83" s="101">
        <f t="shared" si="20"/>
        <v>6.1156713505621685</v>
      </c>
      <c r="Y83" s="116">
        <v>395</v>
      </c>
      <c r="Z83" s="102">
        <v>11944</v>
      </c>
      <c r="AA83" s="235">
        <v>2.2799999999999998</v>
      </c>
      <c r="AB83" s="117">
        <f t="shared" si="21"/>
        <v>0.82417544296634937</v>
      </c>
      <c r="AC83" s="115">
        <v>95</v>
      </c>
      <c r="AD83" s="117">
        <f t="shared" si="22"/>
        <v>4.5538768916005408</v>
      </c>
      <c r="AE83" s="109">
        <v>14436.199000000001</v>
      </c>
      <c r="AF83" s="111">
        <f t="shared" si="23"/>
        <v>9.577494150649656</v>
      </c>
      <c r="AG83" s="118">
        <v>20.2</v>
      </c>
      <c r="AH83" s="119">
        <v>24.298999999999999</v>
      </c>
      <c r="AI83" s="120">
        <f t="shared" si="24"/>
        <v>3.1904351972363507</v>
      </c>
      <c r="AJ83" s="121">
        <v>453</v>
      </c>
      <c r="AK83" s="120">
        <f t="shared" si="25"/>
        <v>6.1158921254830343</v>
      </c>
      <c r="AL83" s="108">
        <v>31.1</v>
      </c>
      <c r="AM83" s="119">
        <v>14436.2</v>
      </c>
      <c r="AN83" s="120">
        <f t="shared" si="26"/>
        <v>9.5774942199199664</v>
      </c>
      <c r="AO83" s="96">
        <v>126.916</v>
      </c>
      <c r="AP83" s="94">
        <v>30.240300000000001</v>
      </c>
      <c r="AQ83" s="95">
        <v>3.40917</v>
      </c>
      <c r="AR83" s="94">
        <v>25.3</v>
      </c>
      <c r="AS83" s="95">
        <f t="shared" si="27"/>
        <v>3.2308043957334744</v>
      </c>
      <c r="AT83" s="96">
        <v>68.269000000000005</v>
      </c>
    </row>
    <row r="84" spans="1:46">
      <c r="A84" s="109">
        <v>8</v>
      </c>
      <c r="B84" s="110" t="s">
        <v>38</v>
      </c>
      <c r="C84" s="110" t="s">
        <v>37</v>
      </c>
      <c r="D84" s="111">
        <v>2015</v>
      </c>
      <c r="E84" s="109">
        <v>36.200000000000003</v>
      </c>
      <c r="F84" s="111">
        <f t="shared" si="14"/>
        <v>3.5890591188317256</v>
      </c>
      <c r="G84" s="93">
        <v>-3.0691099999999998</v>
      </c>
      <c r="H84" s="93">
        <v>-720000000</v>
      </c>
      <c r="I84" s="94">
        <v>17722.2</v>
      </c>
      <c r="J84" s="95">
        <v>9.7825699999999998</v>
      </c>
      <c r="K84" s="96">
        <v>0.28999999999999998</v>
      </c>
      <c r="L84" s="109">
        <v>25.447001</v>
      </c>
      <c r="M84" s="111">
        <f t="shared" si="15"/>
        <v>3.2365978971531795</v>
      </c>
      <c r="N84" s="112">
        <v>0.58350000000000002</v>
      </c>
      <c r="O84" s="113">
        <f t="shared" si="16"/>
        <v>-0.53871082725552633</v>
      </c>
      <c r="P84" s="109">
        <v>366</v>
      </c>
      <c r="Q84" s="111">
        <f t="shared" si="17"/>
        <v>5.9026333334013659</v>
      </c>
      <c r="R84" s="93">
        <v>28.299999</v>
      </c>
      <c r="S84" s="114">
        <v>86.7</v>
      </c>
      <c r="T84" s="113">
        <f t="shared" si="18"/>
        <v>4.4624538837864964</v>
      </c>
      <c r="U84" s="112">
        <v>11.4</v>
      </c>
      <c r="V84" s="113">
        <f t="shared" si="19"/>
        <v>2.4336133554004498</v>
      </c>
      <c r="W84" s="115">
        <v>374.7</v>
      </c>
      <c r="X84" s="101">
        <f t="shared" si="20"/>
        <v>5.9261257057996417</v>
      </c>
      <c r="Y84" s="116">
        <v>395</v>
      </c>
      <c r="Z84" s="102">
        <v>12174</v>
      </c>
      <c r="AA84" s="235">
        <v>0</v>
      </c>
      <c r="AB84" s="117">
        <v>0</v>
      </c>
      <c r="AC84" s="115">
        <v>100</v>
      </c>
      <c r="AD84" s="117">
        <f t="shared" si="22"/>
        <v>4.6051701859880918</v>
      </c>
      <c r="AE84" s="109">
        <v>15279.905000000001</v>
      </c>
      <c r="AF84" s="111">
        <f t="shared" si="23"/>
        <v>9.6342938454236968</v>
      </c>
      <c r="AG84" s="118">
        <v>19.7</v>
      </c>
      <c r="AH84" s="119">
        <v>25.446999999999999</v>
      </c>
      <c r="AI84" s="120">
        <f t="shared" si="24"/>
        <v>3.2365978578558172</v>
      </c>
      <c r="AJ84" s="121">
        <v>366</v>
      </c>
      <c r="AK84" s="120">
        <f t="shared" si="25"/>
        <v>5.9026333334013659</v>
      </c>
      <c r="AL84" s="108">
        <v>28.3</v>
      </c>
      <c r="AM84" s="119">
        <v>15279.9</v>
      </c>
      <c r="AN84" s="120">
        <f t="shared" si="26"/>
        <v>9.6342935181964791</v>
      </c>
      <c r="AO84" s="96">
        <v>117.352</v>
      </c>
      <c r="AP84" s="94">
        <v>30.260100000000001</v>
      </c>
      <c r="AQ84" s="95">
        <v>3.4098299999999999</v>
      </c>
      <c r="AR84" s="94">
        <v>28.2</v>
      </c>
      <c r="AS84" s="95">
        <f t="shared" si="27"/>
        <v>3.3393219779440679</v>
      </c>
      <c r="AT84" s="96">
        <v>68.415999999999997</v>
      </c>
    </row>
    <row r="85" spans="1:46">
      <c r="A85" s="109">
        <v>8</v>
      </c>
      <c r="B85" s="110" t="s">
        <v>38</v>
      </c>
      <c r="C85" s="110" t="s">
        <v>37</v>
      </c>
      <c r="D85" s="111">
        <v>2016</v>
      </c>
      <c r="E85" s="109">
        <v>35.200000000000003</v>
      </c>
      <c r="F85" s="111">
        <f t="shared" si="14"/>
        <v>3.5610460826040513</v>
      </c>
      <c r="G85" s="93">
        <v>3.7692299999999999</v>
      </c>
      <c r="H85" s="93">
        <v>930000000</v>
      </c>
      <c r="I85" s="94">
        <v>18265</v>
      </c>
      <c r="J85" s="95">
        <v>9.8127399999999998</v>
      </c>
      <c r="K85" s="96">
        <v>0.28000000000000003</v>
      </c>
      <c r="L85" s="109">
        <v>24.549999</v>
      </c>
      <c r="M85" s="111">
        <f t="shared" si="15"/>
        <v>3.2007118135073314</v>
      </c>
      <c r="N85" s="112">
        <v>0.62239999999999995</v>
      </c>
      <c r="O85" s="113">
        <f t="shared" si="16"/>
        <v>-0.4741723061179553</v>
      </c>
      <c r="P85" s="109">
        <v>401</v>
      </c>
      <c r="Q85" s="111">
        <f t="shared" si="17"/>
        <v>5.9939614273065693</v>
      </c>
      <c r="R85" s="93">
        <v>27.9</v>
      </c>
      <c r="S85" s="114">
        <v>86.7</v>
      </c>
      <c r="T85" s="113">
        <f t="shared" si="18"/>
        <v>4.4624538837864964</v>
      </c>
      <c r="U85" s="112">
        <v>11.9</v>
      </c>
      <c r="V85" s="113">
        <f t="shared" si="19"/>
        <v>2.4765384001174837</v>
      </c>
      <c r="W85" s="115">
        <v>1027.3</v>
      </c>
      <c r="X85" s="101">
        <f t="shared" si="20"/>
        <v>6.9346892802222175</v>
      </c>
      <c r="Y85" s="116">
        <v>409</v>
      </c>
      <c r="Z85" s="102">
        <v>11644</v>
      </c>
      <c r="AA85" s="235">
        <v>0.76</v>
      </c>
      <c r="AB85" s="117">
        <f t="shared" si="21"/>
        <v>-0.2744368457017603</v>
      </c>
      <c r="AC85" s="115">
        <v>108</v>
      </c>
      <c r="AD85" s="117">
        <f t="shared" si="22"/>
        <v>4.6821312271242199</v>
      </c>
      <c r="AE85" s="109">
        <v>14529.228999999999</v>
      </c>
      <c r="AF85" s="111">
        <f t="shared" si="23"/>
        <v>9.5839176925274145</v>
      </c>
      <c r="AG85" s="118">
        <v>22.3</v>
      </c>
      <c r="AH85" s="119">
        <v>24.55</v>
      </c>
      <c r="AI85" s="120">
        <f t="shared" si="24"/>
        <v>3.2007118542405295</v>
      </c>
      <c r="AJ85" s="121">
        <v>401</v>
      </c>
      <c r="AK85" s="120">
        <f t="shared" si="25"/>
        <v>5.9939614273065693</v>
      </c>
      <c r="AL85" s="108">
        <v>27.9</v>
      </c>
      <c r="AM85" s="119">
        <v>14529.2</v>
      </c>
      <c r="AN85" s="120">
        <f t="shared" si="26"/>
        <v>9.5839156965488979</v>
      </c>
      <c r="AO85" s="96">
        <v>114.53100000000001</v>
      </c>
      <c r="AP85" s="94">
        <v>30.268899999999999</v>
      </c>
      <c r="AQ85" s="95">
        <v>3.41012</v>
      </c>
      <c r="AR85" s="94">
        <v>27.2</v>
      </c>
      <c r="AS85" s="95">
        <f t="shared" si="27"/>
        <v>3.3032169733019514</v>
      </c>
      <c r="AT85" s="96">
        <v>68.563000000000002</v>
      </c>
    </row>
    <row r="86" spans="1:46">
      <c r="A86" s="109">
        <v>8</v>
      </c>
      <c r="B86" s="110" t="s">
        <v>38</v>
      </c>
      <c r="C86" s="110" t="s">
        <v>37</v>
      </c>
      <c r="D86" s="111">
        <v>2017</v>
      </c>
      <c r="E86" s="109">
        <v>36</v>
      </c>
      <c r="F86" s="111">
        <f t="shared" si="14"/>
        <v>3.5835189384561099</v>
      </c>
      <c r="G86" s="93">
        <v>6.3189299999999999</v>
      </c>
      <c r="H86" s="93">
        <v>1700000000</v>
      </c>
      <c r="I86" s="94">
        <v>19270.8</v>
      </c>
      <c r="J86" s="95">
        <v>9.8663500000000006</v>
      </c>
      <c r="K86" s="96">
        <v>0.27</v>
      </c>
      <c r="L86" s="109">
        <v>28.867000999999998</v>
      </c>
      <c r="M86" s="111">
        <f t="shared" si="15"/>
        <v>3.3626991088193523</v>
      </c>
      <c r="N86" s="112">
        <v>0.55489999999999995</v>
      </c>
      <c r="O86" s="113">
        <f t="shared" si="16"/>
        <v>-0.58896736165028163</v>
      </c>
      <c r="P86" s="109">
        <v>414</v>
      </c>
      <c r="Q86" s="111">
        <f t="shared" si="17"/>
        <v>6.0258659738253142</v>
      </c>
      <c r="R86" s="93">
        <v>28.200001</v>
      </c>
      <c r="S86" s="114">
        <v>85.7</v>
      </c>
      <c r="T86" s="113">
        <f t="shared" si="18"/>
        <v>4.4508528256037341</v>
      </c>
      <c r="U86" s="112">
        <v>12.5</v>
      </c>
      <c r="V86" s="113">
        <f t="shared" si="19"/>
        <v>2.5257286443082556</v>
      </c>
      <c r="W86" s="115">
        <v>947.8</v>
      </c>
      <c r="X86" s="101">
        <f t="shared" si="20"/>
        <v>6.8541435095334879</v>
      </c>
      <c r="Y86" s="116">
        <v>471</v>
      </c>
      <c r="Z86" s="102">
        <v>12372</v>
      </c>
      <c r="AA86" s="235">
        <v>0</v>
      </c>
      <c r="AB86" s="117">
        <v>0</v>
      </c>
      <c r="AC86" s="115">
        <v>107</v>
      </c>
      <c r="AD86" s="117">
        <f t="shared" si="22"/>
        <v>4.6728288344619058</v>
      </c>
      <c r="AE86" s="109">
        <v>10611.668</v>
      </c>
      <c r="AF86" s="111">
        <f t="shared" si="23"/>
        <v>9.2697094294308791</v>
      </c>
      <c r="AG86" s="118">
        <v>20.9</v>
      </c>
      <c r="AH86" s="119">
        <v>28.867000000000001</v>
      </c>
      <c r="AI86" s="120">
        <f t="shared" si="24"/>
        <v>3.3626990741777205</v>
      </c>
      <c r="AJ86" s="121">
        <v>414</v>
      </c>
      <c r="AK86" s="120">
        <f t="shared" si="25"/>
        <v>6.0258659738253142</v>
      </c>
      <c r="AL86" s="108">
        <v>28.2</v>
      </c>
      <c r="AM86" s="119">
        <v>10611.7</v>
      </c>
      <c r="AN86" s="120">
        <f t="shared" si="26"/>
        <v>9.2697124449748785</v>
      </c>
      <c r="AO86" s="96">
        <v>113.70099999999999</v>
      </c>
      <c r="AP86" s="94">
        <v>30.815999999999999</v>
      </c>
      <c r="AQ86" s="95">
        <v>3.4280300000000001</v>
      </c>
      <c r="AR86" s="94">
        <v>27.5</v>
      </c>
      <c r="AS86" s="95">
        <f t="shared" si="27"/>
        <v>3.3141860046725258</v>
      </c>
      <c r="AT86" s="96">
        <v>68.716999999999999</v>
      </c>
    </row>
    <row r="87" spans="1:46">
      <c r="A87" s="109">
        <v>8</v>
      </c>
      <c r="B87" s="110" t="s">
        <v>38</v>
      </c>
      <c r="C87" s="110" t="s">
        <v>37</v>
      </c>
      <c r="D87" s="111">
        <v>2018</v>
      </c>
      <c r="E87" s="109">
        <v>36.1</v>
      </c>
      <c r="F87" s="111">
        <f t="shared" si="14"/>
        <v>3.5862928653388351</v>
      </c>
      <c r="G87" s="93">
        <v>4.0801600000000002</v>
      </c>
      <c r="H87" s="93">
        <v>1300000000</v>
      </c>
      <c r="I87" s="94">
        <v>19914.3</v>
      </c>
      <c r="J87" s="95">
        <v>9.8992000000000004</v>
      </c>
      <c r="K87" s="96">
        <v>0.28000000000000003</v>
      </c>
      <c r="L87" s="109">
        <v>30.579000000000001</v>
      </c>
      <c r="M87" s="111">
        <f t="shared" si="15"/>
        <v>3.4203134988543855</v>
      </c>
      <c r="N87" s="112">
        <v>0.55489999999999995</v>
      </c>
      <c r="O87" s="113">
        <f t="shared" si="16"/>
        <v>-0.58896736165028163</v>
      </c>
      <c r="P87" s="109">
        <v>445</v>
      </c>
      <c r="Q87" s="111">
        <f t="shared" si="17"/>
        <v>6.0980742821662401</v>
      </c>
      <c r="R87" s="93">
        <v>28</v>
      </c>
      <c r="S87" s="114">
        <v>85.7</v>
      </c>
      <c r="T87" s="113">
        <f t="shared" si="18"/>
        <v>4.4508528256037341</v>
      </c>
      <c r="U87" s="112">
        <v>13.8</v>
      </c>
      <c r="V87" s="113">
        <f t="shared" si="19"/>
        <v>2.6246685921631592</v>
      </c>
      <c r="W87" s="115">
        <v>818.2</v>
      </c>
      <c r="X87" s="101">
        <f t="shared" si="20"/>
        <v>6.7071068054952985</v>
      </c>
      <c r="Y87" s="116">
        <v>554</v>
      </c>
      <c r="Z87" s="102">
        <v>13829</v>
      </c>
      <c r="AA87" s="235">
        <v>0</v>
      </c>
      <c r="AB87" s="117">
        <v>0</v>
      </c>
      <c r="AC87" s="115">
        <v>105</v>
      </c>
      <c r="AD87" s="117">
        <f t="shared" si="22"/>
        <v>4.6539603501575231</v>
      </c>
      <c r="AE87" s="109">
        <v>7940.9921999999997</v>
      </c>
      <c r="AF87" s="111">
        <f t="shared" si="23"/>
        <v>8.9797935086506779</v>
      </c>
      <c r="AG87" s="118">
        <v>23.4</v>
      </c>
      <c r="AH87" s="119">
        <v>30.579000000000001</v>
      </c>
      <c r="AI87" s="120">
        <f t="shared" si="24"/>
        <v>3.4203134988543855</v>
      </c>
      <c r="AJ87" s="121">
        <v>445</v>
      </c>
      <c r="AK87" s="120">
        <f t="shared" si="25"/>
        <v>6.0980742821662401</v>
      </c>
      <c r="AL87" s="108">
        <v>28</v>
      </c>
      <c r="AM87" s="119">
        <v>7940.99</v>
      </c>
      <c r="AN87" s="120">
        <f t="shared" si="26"/>
        <v>8.9797932316071751</v>
      </c>
      <c r="AO87" s="96">
        <v>115.804</v>
      </c>
      <c r="AP87" s="94">
        <v>30.923400000000001</v>
      </c>
      <c r="AQ87" s="95">
        <v>3.4315099999999998</v>
      </c>
      <c r="AR87" s="94">
        <v>28.6</v>
      </c>
      <c r="AS87" s="95">
        <f t="shared" si="27"/>
        <v>3.3534067178258069</v>
      </c>
      <c r="AT87" s="96">
        <v>68.88</v>
      </c>
    </row>
    <row r="88" spans="1:46">
      <c r="A88" s="109">
        <v>8</v>
      </c>
      <c r="B88" s="110" t="s">
        <v>38</v>
      </c>
      <c r="C88" s="110" t="s">
        <v>37</v>
      </c>
      <c r="D88" s="111">
        <v>2019</v>
      </c>
      <c r="E88" s="109">
        <v>37.1</v>
      </c>
      <c r="F88" s="111">
        <f t="shared" si="14"/>
        <v>3.6136169696133895</v>
      </c>
      <c r="G88" s="93">
        <v>9.7681900000000006</v>
      </c>
      <c r="H88" s="93">
        <v>3100000000</v>
      </c>
      <c r="I88" s="94">
        <v>20579.900000000001</v>
      </c>
      <c r="J88" s="95">
        <v>9.9320699999999995</v>
      </c>
      <c r="K88" s="96">
        <v>0.26</v>
      </c>
      <c r="L88" s="109">
        <v>28.676000999999999</v>
      </c>
      <c r="M88" s="111">
        <f t="shared" si="15"/>
        <v>3.3560605708629923</v>
      </c>
      <c r="N88" s="112">
        <v>0.64059999999999995</v>
      </c>
      <c r="O88" s="113">
        <f t="shared" si="16"/>
        <v>-0.44535004180707938</v>
      </c>
      <c r="P88" s="109">
        <v>433</v>
      </c>
      <c r="Q88" s="111">
        <f t="shared" si="17"/>
        <v>6.0707377280024897</v>
      </c>
      <c r="R88" s="93">
        <v>30.799999</v>
      </c>
      <c r="S88" s="114">
        <v>80.599999999999994</v>
      </c>
      <c r="T88" s="113">
        <f t="shared" si="18"/>
        <v>4.389498649512583</v>
      </c>
      <c r="U88" s="112">
        <v>15.3</v>
      </c>
      <c r="V88" s="113">
        <f t="shared" si="19"/>
        <v>2.7278528283983898</v>
      </c>
      <c r="W88" s="115">
        <v>462.9</v>
      </c>
      <c r="X88" s="101">
        <f t="shared" si="20"/>
        <v>6.1375110480372248</v>
      </c>
      <c r="Y88" s="116">
        <v>543</v>
      </c>
      <c r="Z88" s="102">
        <v>13343</v>
      </c>
      <c r="AA88" s="235">
        <v>0</v>
      </c>
      <c r="AB88" s="117">
        <v>0</v>
      </c>
      <c r="AC88" s="115">
        <v>108</v>
      </c>
      <c r="AD88" s="117">
        <f t="shared" si="22"/>
        <v>4.6821312271242199</v>
      </c>
      <c r="AE88" s="109">
        <v>5270.3163999999997</v>
      </c>
      <c r="AF88" s="111">
        <f t="shared" si="23"/>
        <v>8.5698456776838672</v>
      </c>
      <c r="AG88" s="118">
        <v>24.4</v>
      </c>
      <c r="AH88" s="119">
        <v>28.675999999999998</v>
      </c>
      <c r="AI88" s="120">
        <f t="shared" si="24"/>
        <v>3.3560605359906259</v>
      </c>
      <c r="AJ88" s="121">
        <v>433</v>
      </c>
      <c r="AK88" s="120">
        <f t="shared" si="25"/>
        <v>6.0707377280024897</v>
      </c>
      <c r="AL88" s="108">
        <v>30.8</v>
      </c>
      <c r="AM88" s="119">
        <v>0</v>
      </c>
      <c r="AN88" s="120">
        <v>0</v>
      </c>
      <c r="AO88" s="96">
        <v>107.066</v>
      </c>
      <c r="AP88" s="94">
        <v>31.038499999999999</v>
      </c>
      <c r="AQ88" s="95">
        <v>3.4352299999999998</v>
      </c>
      <c r="AR88" s="94">
        <v>31.3</v>
      </c>
      <c r="AS88" s="95">
        <f t="shared" si="27"/>
        <v>3.4436180975461075</v>
      </c>
      <c r="AT88" s="96">
        <v>69.051000000000002</v>
      </c>
    </row>
    <row r="89" spans="1:46">
      <c r="A89" s="109">
        <v>8</v>
      </c>
      <c r="B89" s="110" t="s">
        <v>38</v>
      </c>
      <c r="C89" s="110" t="s">
        <v>37</v>
      </c>
      <c r="D89" s="111">
        <v>2020</v>
      </c>
      <c r="E89" s="109">
        <v>37.6</v>
      </c>
      <c r="F89" s="111">
        <f t="shared" si="14"/>
        <v>3.6270040503958487</v>
      </c>
      <c r="G89" s="93">
        <v>12.014799999999999</v>
      </c>
      <c r="H89" s="93">
        <v>3800000000</v>
      </c>
      <c r="I89" s="94">
        <v>19946.900000000001</v>
      </c>
      <c r="J89" s="95">
        <v>9.9008299999999991</v>
      </c>
      <c r="K89" s="96">
        <v>0.28000000000000003</v>
      </c>
      <c r="L89" s="109">
        <v>28.365998999999999</v>
      </c>
      <c r="M89" s="111">
        <f t="shared" si="15"/>
        <v>3.3451912096189429</v>
      </c>
      <c r="N89" s="112">
        <v>0.66400000000000003</v>
      </c>
      <c r="O89" s="113">
        <f t="shared" si="16"/>
        <v>-0.40947312950570314</v>
      </c>
      <c r="P89" s="109">
        <v>398</v>
      </c>
      <c r="Q89" s="111">
        <f t="shared" si="17"/>
        <v>5.9864520052844377</v>
      </c>
      <c r="R89" s="93">
        <v>28.9</v>
      </c>
      <c r="S89" s="114">
        <v>81.599999999999994</v>
      </c>
      <c r="T89" s="113">
        <f t="shared" si="18"/>
        <v>4.401829261970061</v>
      </c>
      <c r="U89" s="112">
        <v>16.399999999999999</v>
      </c>
      <c r="V89" s="113">
        <f t="shared" si="19"/>
        <v>2.7972813348301528</v>
      </c>
      <c r="W89" s="115">
        <v>1789.7</v>
      </c>
      <c r="X89" s="101">
        <f t="shared" si="20"/>
        <v>7.4898032870233626</v>
      </c>
      <c r="Y89" s="116">
        <v>564</v>
      </c>
      <c r="Z89" s="102">
        <v>13810</v>
      </c>
      <c r="AA89" s="235">
        <v>0</v>
      </c>
      <c r="AB89" s="117">
        <v>0</v>
      </c>
      <c r="AC89" s="115">
        <v>105</v>
      </c>
      <c r="AD89" s="117">
        <f t="shared" si="22"/>
        <v>4.6539603501575231</v>
      </c>
      <c r="AE89" s="109">
        <v>2599.6406000000002</v>
      </c>
      <c r="AF89" s="111">
        <f t="shared" si="23"/>
        <v>7.863128483685589</v>
      </c>
      <c r="AG89" s="118">
        <v>26.7</v>
      </c>
      <c r="AH89" s="119">
        <v>28.366</v>
      </c>
      <c r="AI89" s="120">
        <f t="shared" si="24"/>
        <v>3.3451912448724159</v>
      </c>
      <c r="AJ89" s="121">
        <v>398</v>
      </c>
      <c r="AK89" s="120">
        <f t="shared" si="25"/>
        <v>5.9864520052844377</v>
      </c>
      <c r="AL89" s="108">
        <v>28.9</v>
      </c>
      <c r="AM89" s="119">
        <v>0</v>
      </c>
      <c r="AN89" s="120">
        <v>0</v>
      </c>
      <c r="AO89" s="96">
        <v>105.79300000000001</v>
      </c>
      <c r="AP89" s="94">
        <v>31.099900000000002</v>
      </c>
      <c r="AQ89" s="95">
        <v>3.4372099999999999</v>
      </c>
      <c r="AR89" s="94">
        <v>40.4</v>
      </c>
      <c r="AS89" s="95">
        <f t="shared" si="27"/>
        <v>3.6988297849671046</v>
      </c>
      <c r="AT89" s="96">
        <v>69.228999999999999</v>
      </c>
    </row>
    <row r="90" spans="1:46">
      <c r="A90" s="109">
        <v>9</v>
      </c>
      <c r="B90" s="110" t="s">
        <v>36</v>
      </c>
      <c r="C90" s="110" t="s">
        <v>35</v>
      </c>
      <c r="D90" s="111">
        <v>2010</v>
      </c>
      <c r="E90" s="109">
        <v>30</v>
      </c>
      <c r="F90" s="111">
        <f t="shared" si="14"/>
        <v>3.4011973816621555</v>
      </c>
      <c r="G90" s="93">
        <v>0.179789</v>
      </c>
      <c r="H90" s="93">
        <v>530000000</v>
      </c>
      <c r="I90" s="94">
        <v>21547.7</v>
      </c>
      <c r="J90" s="95">
        <v>9.9780300000000004</v>
      </c>
      <c r="K90" s="96">
        <v>0.63</v>
      </c>
      <c r="L90" s="109">
        <v>18.785</v>
      </c>
      <c r="M90" s="111">
        <f t="shared" si="15"/>
        <v>2.9330586790259323</v>
      </c>
      <c r="N90" s="112">
        <v>1.1411</v>
      </c>
      <c r="O90" s="113">
        <f t="shared" si="16"/>
        <v>0.13199270945849695</v>
      </c>
      <c r="P90" s="109">
        <v>390</v>
      </c>
      <c r="Q90" s="111">
        <f t="shared" si="17"/>
        <v>5.9661467391236922</v>
      </c>
      <c r="R90" s="93">
        <v>17.100000000000001</v>
      </c>
      <c r="S90" s="114">
        <v>98</v>
      </c>
      <c r="T90" s="113">
        <f t="shared" si="18"/>
        <v>4.5849674786705723</v>
      </c>
      <c r="U90" s="112">
        <v>2.5</v>
      </c>
      <c r="V90" s="113">
        <f t="shared" si="19"/>
        <v>0.91629073187415511</v>
      </c>
      <c r="W90" s="115">
        <v>19.3</v>
      </c>
      <c r="X90" s="101">
        <f t="shared" si="20"/>
        <v>2.9601050959108397</v>
      </c>
      <c r="Y90" s="116">
        <v>1717</v>
      </c>
      <c r="Z90" s="102">
        <v>75071</v>
      </c>
      <c r="AA90" s="235">
        <v>0.12</v>
      </c>
      <c r="AB90" s="117">
        <f t="shared" si="21"/>
        <v>-2.120263536200091</v>
      </c>
      <c r="AC90" s="115">
        <v>100</v>
      </c>
      <c r="AD90" s="117">
        <f t="shared" si="22"/>
        <v>4.6051701859880918</v>
      </c>
      <c r="AE90" s="109">
        <v>9565.6455000000005</v>
      </c>
      <c r="AF90" s="111">
        <f t="shared" si="23"/>
        <v>9.1659333652219743</v>
      </c>
      <c r="AG90" s="118">
        <v>23.2</v>
      </c>
      <c r="AH90" s="119">
        <v>18.785</v>
      </c>
      <c r="AI90" s="120">
        <f t="shared" si="24"/>
        <v>2.9330586790259323</v>
      </c>
      <c r="AJ90" s="121">
        <v>390</v>
      </c>
      <c r="AK90" s="120">
        <f t="shared" si="25"/>
        <v>5.9661467391236922</v>
      </c>
      <c r="AL90" s="108">
        <v>17.100000000000001</v>
      </c>
      <c r="AM90" s="119">
        <v>9565.65</v>
      </c>
      <c r="AN90" s="120">
        <f t="shared" si="26"/>
        <v>9.1659338356553537</v>
      </c>
      <c r="AO90" s="96">
        <v>31.686399999999999</v>
      </c>
      <c r="AP90" s="94">
        <v>86.278800000000004</v>
      </c>
      <c r="AQ90" s="95">
        <v>4.4575800000000001</v>
      </c>
      <c r="AR90" s="94">
        <v>11.4</v>
      </c>
      <c r="AS90" s="95">
        <f t="shared" si="27"/>
        <v>2.4336133554004498</v>
      </c>
      <c r="AT90" s="96">
        <v>76.292000000000002</v>
      </c>
    </row>
    <row r="91" spans="1:46">
      <c r="A91" s="109">
        <v>9</v>
      </c>
      <c r="B91" s="110" t="s">
        <v>36</v>
      </c>
      <c r="C91" s="110" t="s">
        <v>35</v>
      </c>
      <c r="D91" s="111">
        <v>2011</v>
      </c>
      <c r="E91" s="109">
        <v>31.5</v>
      </c>
      <c r="F91" s="111">
        <f t="shared" si="14"/>
        <v>3.4499875458315872</v>
      </c>
      <c r="G91" s="93">
        <v>0.38562299999999999</v>
      </c>
      <c r="H91" s="93">
        <v>1100000000</v>
      </c>
      <c r="I91" s="94">
        <v>19448.3</v>
      </c>
      <c r="J91" s="95">
        <v>9.8755100000000002</v>
      </c>
      <c r="K91" s="96">
        <v>0.63</v>
      </c>
      <c r="L91" s="109">
        <v>16.914000000000001</v>
      </c>
      <c r="M91" s="111">
        <f t="shared" si="15"/>
        <v>2.8281416813600306</v>
      </c>
      <c r="N91" s="112">
        <v>1.1249</v>
      </c>
      <c r="O91" s="113">
        <f t="shared" si="16"/>
        <v>0.11769414281664317</v>
      </c>
      <c r="P91" s="109">
        <v>405</v>
      </c>
      <c r="Q91" s="111">
        <f t="shared" si="17"/>
        <v>6.0038870671065387</v>
      </c>
      <c r="R91" s="93">
        <v>17.799999</v>
      </c>
      <c r="S91" s="114">
        <v>90.9</v>
      </c>
      <c r="T91" s="113">
        <f t="shared" si="18"/>
        <v>4.5097600011834329</v>
      </c>
      <c r="U91" s="112">
        <v>2</v>
      </c>
      <c r="V91" s="113">
        <f t="shared" si="19"/>
        <v>0.69314718055994529</v>
      </c>
      <c r="W91" s="115">
        <v>37.200000000000003</v>
      </c>
      <c r="X91" s="101">
        <f t="shared" si="20"/>
        <v>3.6163087612791012</v>
      </c>
      <c r="Y91" s="116">
        <v>1433</v>
      </c>
      <c r="Z91" s="102">
        <v>70588</v>
      </c>
      <c r="AA91" s="235">
        <v>0</v>
      </c>
      <c r="AB91" s="117">
        <v>0</v>
      </c>
      <c r="AC91" s="115">
        <v>97</v>
      </c>
      <c r="AD91" s="117">
        <f t="shared" si="22"/>
        <v>4.5747109785033828</v>
      </c>
      <c r="AE91" s="109">
        <v>8901.4570000000003</v>
      </c>
      <c r="AF91" s="111">
        <f t="shared" si="23"/>
        <v>9.0939702501867288</v>
      </c>
      <c r="AG91" s="118">
        <v>24.2</v>
      </c>
      <c r="AH91" s="119">
        <v>16.914000000000001</v>
      </c>
      <c r="AI91" s="120">
        <f t="shared" si="24"/>
        <v>2.8281416813600306</v>
      </c>
      <c r="AJ91" s="121">
        <v>405</v>
      </c>
      <c r="AK91" s="120">
        <f t="shared" si="25"/>
        <v>6.0038870671065387</v>
      </c>
      <c r="AL91" s="108">
        <v>17.8</v>
      </c>
      <c r="AM91" s="119">
        <v>8901.4599999999991</v>
      </c>
      <c r="AN91" s="120">
        <f t="shared" si="26"/>
        <v>9.0939705872101513</v>
      </c>
      <c r="AO91" s="96">
        <v>35.478099999999998</v>
      </c>
      <c r="AP91" s="94">
        <v>86.151300000000006</v>
      </c>
      <c r="AQ91" s="95">
        <v>4.4561000000000002</v>
      </c>
      <c r="AR91" s="94">
        <v>11.4</v>
      </c>
      <c r="AS91" s="95">
        <f t="shared" si="27"/>
        <v>2.4336133554004498</v>
      </c>
      <c r="AT91" s="96">
        <v>76.649000000000001</v>
      </c>
    </row>
    <row r="92" spans="1:46">
      <c r="A92" s="109">
        <v>9</v>
      </c>
      <c r="B92" s="110" t="s">
        <v>36</v>
      </c>
      <c r="C92" s="110" t="s">
        <v>35</v>
      </c>
      <c r="D92" s="111">
        <v>2012</v>
      </c>
      <c r="E92" s="109">
        <v>33</v>
      </c>
      <c r="F92" s="111">
        <f t="shared" si="14"/>
        <v>3.4965075614664802</v>
      </c>
      <c r="G92" s="93">
        <v>0.69589800000000002</v>
      </c>
      <c r="H92" s="93">
        <v>1700000000</v>
      </c>
      <c r="I92" s="94">
        <v>17924.7</v>
      </c>
      <c r="J92" s="95">
        <v>9.7939299999999996</v>
      </c>
      <c r="K92" s="96">
        <v>0.54</v>
      </c>
      <c r="L92" s="109">
        <v>15.516999999999999</v>
      </c>
      <c r="M92" s="111">
        <f t="shared" si="15"/>
        <v>2.7419361971013467</v>
      </c>
      <c r="N92" s="112">
        <v>1.1342000000000001</v>
      </c>
      <c r="O92" s="113">
        <f t="shared" si="16"/>
        <v>0.12592755659779067</v>
      </c>
      <c r="P92" s="109">
        <v>369</v>
      </c>
      <c r="Q92" s="111">
        <f t="shared" si="17"/>
        <v>5.9107966440405271</v>
      </c>
      <c r="R92" s="93">
        <v>17</v>
      </c>
      <c r="S92" s="114">
        <v>90.2</v>
      </c>
      <c r="T92" s="113">
        <f t="shared" si="18"/>
        <v>4.5020294270685781</v>
      </c>
      <c r="U92" s="112">
        <v>1.8</v>
      </c>
      <c r="V92" s="113">
        <f t="shared" si="19"/>
        <v>0.58778666490211906</v>
      </c>
      <c r="W92" s="115">
        <v>71.400000000000006</v>
      </c>
      <c r="X92" s="101">
        <f t="shared" si="20"/>
        <v>4.2682978693455391</v>
      </c>
      <c r="Y92" s="116">
        <v>1376</v>
      </c>
      <c r="Z92" s="102">
        <v>60948</v>
      </c>
      <c r="AA92" s="235">
        <v>0</v>
      </c>
      <c r="AB92" s="117">
        <v>0</v>
      </c>
      <c r="AC92" s="115">
        <v>91</v>
      </c>
      <c r="AD92" s="117">
        <f t="shared" si="22"/>
        <v>4.5108595065168497</v>
      </c>
      <c r="AE92" s="109">
        <v>8711.7528999999995</v>
      </c>
      <c r="AF92" s="111">
        <f t="shared" si="23"/>
        <v>9.0724283010333266</v>
      </c>
      <c r="AG92" s="118">
        <v>25</v>
      </c>
      <c r="AH92" s="119">
        <v>15.516999999999999</v>
      </c>
      <c r="AI92" s="120">
        <f t="shared" si="24"/>
        <v>2.7419361971013467</v>
      </c>
      <c r="AJ92" s="121">
        <v>369</v>
      </c>
      <c r="AK92" s="120">
        <f t="shared" si="25"/>
        <v>5.9107966440405271</v>
      </c>
      <c r="AL92" s="108">
        <v>17</v>
      </c>
      <c r="AM92" s="119">
        <v>8711.75</v>
      </c>
      <c r="AN92" s="120">
        <f t="shared" si="26"/>
        <v>9.0724279681496327</v>
      </c>
      <c r="AO92" s="96">
        <v>40.616999999999997</v>
      </c>
      <c r="AP92" s="94">
        <v>85.686700000000002</v>
      </c>
      <c r="AQ92" s="95">
        <v>4.4507000000000003</v>
      </c>
      <c r="AR92" s="94">
        <v>14.2</v>
      </c>
      <c r="AS92" s="95">
        <f t="shared" si="27"/>
        <v>2.653241964607215</v>
      </c>
      <c r="AT92" s="96">
        <v>77.004000000000005</v>
      </c>
    </row>
    <row r="93" spans="1:46">
      <c r="A93" s="109">
        <v>9</v>
      </c>
      <c r="B93" s="110" t="s">
        <v>36</v>
      </c>
      <c r="C93" s="110" t="s">
        <v>35</v>
      </c>
      <c r="D93" s="111">
        <v>2013</v>
      </c>
      <c r="E93" s="109">
        <v>33</v>
      </c>
      <c r="F93" s="111">
        <f t="shared" si="14"/>
        <v>3.4965075614664802</v>
      </c>
      <c r="G93" s="93">
        <v>1.2450600000000001</v>
      </c>
      <c r="H93" s="93">
        <v>2900000000</v>
      </c>
      <c r="I93" s="94">
        <v>17644.900000000001</v>
      </c>
      <c r="J93" s="95">
        <v>9.7782</v>
      </c>
      <c r="K93" s="96">
        <v>0.59</v>
      </c>
      <c r="L93" s="109">
        <v>14.483000000000001</v>
      </c>
      <c r="M93" s="111">
        <f t="shared" si="15"/>
        <v>2.6729755478187194</v>
      </c>
      <c r="N93" s="112">
        <v>1.1910000000000001</v>
      </c>
      <c r="O93" s="113">
        <f t="shared" si="16"/>
        <v>0.1747932903731631</v>
      </c>
      <c r="P93" s="109">
        <v>383</v>
      </c>
      <c r="Q93" s="111">
        <f t="shared" si="17"/>
        <v>5.9480349891806457</v>
      </c>
      <c r="R93" s="93">
        <v>15.8</v>
      </c>
      <c r="S93" s="114">
        <v>91</v>
      </c>
      <c r="T93" s="113">
        <f t="shared" si="18"/>
        <v>4.5108595065168497</v>
      </c>
      <c r="U93" s="112">
        <v>1.7</v>
      </c>
      <c r="V93" s="113">
        <f t="shared" si="19"/>
        <v>0.53062825106217038</v>
      </c>
      <c r="W93" s="115">
        <v>64.5</v>
      </c>
      <c r="X93" s="101">
        <f t="shared" si="20"/>
        <v>4.1666652238017265</v>
      </c>
      <c r="Y93" s="116">
        <v>981</v>
      </c>
      <c r="Z93" s="102">
        <v>56493</v>
      </c>
      <c r="AA93" s="235">
        <v>0</v>
      </c>
      <c r="AB93" s="117">
        <v>0</v>
      </c>
      <c r="AC93" s="115">
        <v>89</v>
      </c>
      <c r="AD93" s="117">
        <f t="shared" si="22"/>
        <v>4.4886363697321396</v>
      </c>
      <c r="AE93" s="109">
        <v>8431.8984</v>
      </c>
      <c r="AF93" s="111">
        <f t="shared" si="23"/>
        <v>9.0397772213726864</v>
      </c>
      <c r="AG93" s="118">
        <v>26.2</v>
      </c>
      <c r="AH93" s="119">
        <v>14.483000000000001</v>
      </c>
      <c r="AI93" s="120">
        <f t="shared" si="24"/>
        <v>2.6729755478187194</v>
      </c>
      <c r="AJ93" s="121">
        <v>383</v>
      </c>
      <c r="AK93" s="120">
        <f t="shared" si="25"/>
        <v>5.9480349891806457</v>
      </c>
      <c r="AL93" s="108">
        <v>15.8</v>
      </c>
      <c r="AM93" s="119">
        <v>8431.9</v>
      </c>
      <c r="AN93" s="120">
        <f t="shared" si="26"/>
        <v>9.0397774111282754</v>
      </c>
      <c r="AO93" s="96">
        <v>41.004600000000003</v>
      </c>
      <c r="AP93" s="94">
        <v>85.067599999999999</v>
      </c>
      <c r="AQ93" s="95">
        <v>4.4434500000000003</v>
      </c>
      <c r="AR93" s="94">
        <v>16.600000000000001</v>
      </c>
      <c r="AS93" s="95">
        <f t="shared" si="27"/>
        <v>2.8094026953624978</v>
      </c>
      <c r="AT93" s="96">
        <v>77.355000000000004</v>
      </c>
    </row>
    <row r="94" spans="1:46">
      <c r="A94" s="109">
        <v>9</v>
      </c>
      <c r="B94" s="110" t="s">
        <v>36</v>
      </c>
      <c r="C94" s="110" t="s">
        <v>35</v>
      </c>
      <c r="D94" s="111">
        <v>2014</v>
      </c>
      <c r="E94" s="109">
        <v>32.200000000000003</v>
      </c>
      <c r="F94" s="111">
        <f t="shared" si="14"/>
        <v>3.4719664525503626</v>
      </c>
      <c r="G94" s="93">
        <v>1.1531400000000001</v>
      </c>
      <c r="H94" s="93">
        <v>2700000000</v>
      </c>
      <c r="I94" s="94">
        <v>17903.5</v>
      </c>
      <c r="J94" s="95">
        <v>9.7927499999999998</v>
      </c>
      <c r="K94" s="96">
        <v>0.62</v>
      </c>
      <c r="L94" s="109">
        <v>15.148</v>
      </c>
      <c r="M94" s="111">
        <f t="shared" si="15"/>
        <v>2.7178685100395485</v>
      </c>
      <c r="N94" s="112">
        <v>1.163</v>
      </c>
      <c r="O94" s="113">
        <f t="shared" si="16"/>
        <v>0.15100287353652742</v>
      </c>
      <c r="P94" s="109">
        <v>395</v>
      </c>
      <c r="Q94" s="111">
        <f t="shared" si="17"/>
        <v>5.978885764901122</v>
      </c>
      <c r="R94" s="93">
        <v>15.4</v>
      </c>
      <c r="S94" s="114">
        <v>84</v>
      </c>
      <c r="T94" s="113">
        <f t="shared" si="18"/>
        <v>4.4308167988433134</v>
      </c>
      <c r="U94" s="112">
        <v>1.3</v>
      </c>
      <c r="V94" s="113">
        <f t="shared" si="19"/>
        <v>0.26236426446749106</v>
      </c>
      <c r="W94" s="115">
        <v>68</v>
      </c>
      <c r="X94" s="101">
        <f t="shared" si="20"/>
        <v>4.219507705176107</v>
      </c>
      <c r="Y94" s="116">
        <v>1104</v>
      </c>
      <c r="Z94" s="102">
        <v>64608</v>
      </c>
      <c r="AA94" s="235">
        <v>0.09</v>
      </c>
      <c r="AB94" s="117">
        <f t="shared" si="21"/>
        <v>-2.4079456086518722</v>
      </c>
      <c r="AC94" s="115">
        <v>86</v>
      </c>
      <c r="AD94" s="117">
        <f t="shared" si="22"/>
        <v>4.4543472962535073</v>
      </c>
      <c r="AE94" s="109">
        <v>8276.6327999999994</v>
      </c>
      <c r="AF94" s="111">
        <f t="shared" si="23"/>
        <v>9.0211914980013255</v>
      </c>
      <c r="AG94" s="118">
        <v>26.3</v>
      </c>
      <c r="AH94" s="119">
        <v>15.148</v>
      </c>
      <c r="AI94" s="120">
        <f t="shared" si="24"/>
        <v>2.7178685100395485</v>
      </c>
      <c r="AJ94" s="121">
        <v>395</v>
      </c>
      <c r="AK94" s="120">
        <f t="shared" si="25"/>
        <v>5.978885764901122</v>
      </c>
      <c r="AL94" s="108">
        <v>15.4</v>
      </c>
      <c r="AM94" s="119">
        <v>8276.6299999999992</v>
      </c>
      <c r="AN94" s="120">
        <f t="shared" si="26"/>
        <v>9.0211911596994412</v>
      </c>
      <c r="AO94" s="96">
        <v>41.8718</v>
      </c>
      <c r="AP94" s="94">
        <v>84.502799999999993</v>
      </c>
      <c r="AQ94" s="95">
        <v>4.4367799999999997</v>
      </c>
      <c r="AR94" s="94">
        <v>16.399999999999999</v>
      </c>
      <c r="AS94" s="95">
        <f t="shared" si="27"/>
        <v>2.7972813348301528</v>
      </c>
      <c r="AT94" s="96">
        <v>77.701999999999998</v>
      </c>
    </row>
    <row r="95" spans="1:46">
      <c r="A95" s="109">
        <v>9</v>
      </c>
      <c r="B95" s="110" t="s">
        <v>36</v>
      </c>
      <c r="C95" s="110" t="s">
        <v>35</v>
      </c>
      <c r="D95" s="111">
        <v>2015</v>
      </c>
      <c r="E95" s="109">
        <v>33.4</v>
      </c>
      <c r="F95" s="111">
        <f t="shared" si="14"/>
        <v>3.5085558999826545</v>
      </c>
      <c r="G95" s="93">
        <v>0.65218500000000001</v>
      </c>
      <c r="H95" s="93">
        <v>1300000000</v>
      </c>
      <c r="I95" s="94">
        <v>17980.7</v>
      </c>
      <c r="J95" s="95">
        <v>9.7970600000000001</v>
      </c>
      <c r="K95" s="96">
        <v>0.55000000000000004</v>
      </c>
      <c r="L95" s="109">
        <v>14.628</v>
      </c>
      <c r="M95" s="111">
        <f t="shared" si="15"/>
        <v>2.6829375002871347</v>
      </c>
      <c r="N95" s="112">
        <v>1.2181999999999999</v>
      </c>
      <c r="O95" s="113">
        <f t="shared" si="16"/>
        <v>0.19737435942024714</v>
      </c>
      <c r="P95" s="109">
        <v>373</v>
      </c>
      <c r="Q95" s="111">
        <f t="shared" si="17"/>
        <v>5.9215784196438159</v>
      </c>
      <c r="R95" s="93">
        <v>15.8</v>
      </c>
      <c r="S95" s="114">
        <v>89.6</v>
      </c>
      <c r="T95" s="113">
        <f t="shared" si="18"/>
        <v>4.4953553199808844</v>
      </c>
      <c r="U95" s="112">
        <v>1.8</v>
      </c>
      <c r="V95" s="113">
        <f t="shared" si="19"/>
        <v>0.58778666490211906</v>
      </c>
      <c r="W95" s="115">
        <v>15.8</v>
      </c>
      <c r="X95" s="101">
        <f t="shared" si="20"/>
        <v>2.760009940032921</v>
      </c>
      <c r="Y95" s="116">
        <v>1077</v>
      </c>
      <c r="Z95" s="102">
        <v>55509</v>
      </c>
      <c r="AA95" s="235">
        <v>0.32</v>
      </c>
      <c r="AB95" s="117">
        <f t="shared" si="21"/>
        <v>-1.1394342831883648</v>
      </c>
      <c r="AC95" s="115">
        <v>84</v>
      </c>
      <c r="AD95" s="117">
        <f t="shared" si="22"/>
        <v>4.4308167988433134</v>
      </c>
      <c r="AE95" s="109">
        <v>8837.6190999999999</v>
      </c>
      <c r="AF95" s="111">
        <f t="shared" si="23"/>
        <v>9.0867727867759704</v>
      </c>
      <c r="AG95" s="118">
        <v>29.5</v>
      </c>
      <c r="AH95" s="119">
        <v>14.628</v>
      </c>
      <c r="AI95" s="120">
        <f t="shared" si="24"/>
        <v>2.6829375002871347</v>
      </c>
      <c r="AJ95" s="121">
        <v>373</v>
      </c>
      <c r="AK95" s="120">
        <f t="shared" si="25"/>
        <v>5.9215784196438159</v>
      </c>
      <c r="AL95" s="108">
        <v>15.8</v>
      </c>
      <c r="AM95" s="119">
        <v>8837.6200000000008</v>
      </c>
      <c r="AN95" s="120">
        <f t="shared" si="26"/>
        <v>9.0867728886133481</v>
      </c>
      <c r="AO95" s="96">
        <v>38.721800000000002</v>
      </c>
      <c r="AP95" s="94">
        <v>83.947900000000004</v>
      </c>
      <c r="AQ95" s="95">
        <v>4.4302000000000001</v>
      </c>
      <c r="AR95" s="94">
        <v>17.5</v>
      </c>
      <c r="AS95" s="95">
        <f t="shared" si="27"/>
        <v>2.8622008809294686</v>
      </c>
      <c r="AT95" s="96">
        <v>78.046000000000006</v>
      </c>
    </row>
    <row r="96" spans="1:46">
      <c r="A96" s="109">
        <v>9</v>
      </c>
      <c r="B96" s="110" t="s">
        <v>36</v>
      </c>
      <c r="C96" s="110" t="s">
        <v>35</v>
      </c>
      <c r="D96" s="111">
        <v>2016</v>
      </c>
      <c r="E96" s="109">
        <v>32.299999999999997</v>
      </c>
      <c r="F96" s="111">
        <f t="shared" si="14"/>
        <v>3.475067230228611</v>
      </c>
      <c r="G96" s="93">
        <v>1.39751</v>
      </c>
      <c r="H96" s="93">
        <v>2700000000</v>
      </c>
      <c r="I96" s="94">
        <v>18049.900000000001</v>
      </c>
      <c r="J96" s="95">
        <v>9.8009000000000004</v>
      </c>
      <c r="K96" s="96">
        <v>0.52</v>
      </c>
      <c r="L96" s="109">
        <v>13.941000000000001</v>
      </c>
      <c r="M96" s="111">
        <f t="shared" si="15"/>
        <v>2.6348341387709509</v>
      </c>
      <c r="N96" s="112">
        <v>1.2839</v>
      </c>
      <c r="O96" s="113">
        <f t="shared" si="16"/>
        <v>0.24990232061490092</v>
      </c>
      <c r="P96" s="109">
        <v>412</v>
      </c>
      <c r="Q96" s="111">
        <f t="shared" si="17"/>
        <v>6.0210233493495267</v>
      </c>
      <c r="R96" s="93">
        <v>17.200001</v>
      </c>
      <c r="S96" s="114">
        <v>85.4</v>
      </c>
      <c r="T96" s="113">
        <f t="shared" si="18"/>
        <v>4.4473461007945243</v>
      </c>
      <c r="U96" s="112">
        <v>2.1</v>
      </c>
      <c r="V96" s="113">
        <f t="shared" si="19"/>
        <v>0.74193734472937733</v>
      </c>
      <c r="W96" s="115">
        <v>52.2</v>
      </c>
      <c r="X96" s="101">
        <f t="shared" si="20"/>
        <v>3.9550824948885932</v>
      </c>
      <c r="Y96" s="116">
        <v>1016</v>
      </c>
      <c r="Z96" s="102">
        <v>66723</v>
      </c>
      <c r="AA96" s="235">
        <v>0.09</v>
      </c>
      <c r="AB96" s="117">
        <f t="shared" si="21"/>
        <v>-2.4079456086518722</v>
      </c>
      <c r="AC96" s="115">
        <v>84</v>
      </c>
      <c r="AD96" s="117">
        <f t="shared" si="22"/>
        <v>4.4308167988433134</v>
      </c>
      <c r="AE96" s="109">
        <v>8811.1337999999996</v>
      </c>
      <c r="AF96" s="111">
        <f t="shared" si="23"/>
        <v>9.0837714053149305</v>
      </c>
      <c r="AG96" s="118">
        <v>32.5</v>
      </c>
      <c r="AH96" s="119">
        <v>13.941000000000001</v>
      </c>
      <c r="AI96" s="120">
        <f t="shared" si="24"/>
        <v>2.6348341387709509</v>
      </c>
      <c r="AJ96" s="121">
        <v>412</v>
      </c>
      <c r="AK96" s="120">
        <f t="shared" si="25"/>
        <v>6.0210233493495267</v>
      </c>
      <c r="AL96" s="108">
        <v>17.2</v>
      </c>
      <c r="AM96" s="119">
        <v>8811.1299999999992</v>
      </c>
      <c r="AN96" s="120">
        <f t="shared" si="26"/>
        <v>9.083770974042304</v>
      </c>
      <c r="AO96" s="96">
        <v>38.819800000000001</v>
      </c>
      <c r="AP96" s="94">
        <v>83.599500000000006</v>
      </c>
      <c r="AQ96" s="95">
        <v>4.4260400000000004</v>
      </c>
      <c r="AR96" s="94">
        <v>16.399999999999999</v>
      </c>
      <c r="AS96" s="95">
        <f t="shared" si="27"/>
        <v>2.7972813348301528</v>
      </c>
      <c r="AT96" s="96">
        <v>78.387</v>
      </c>
    </row>
    <row r="97" spans="1:46">
      <c r="A97" s="109">
        <v>9</v>
      </c>
      <c r="B97" s="110" t="s">
        <v>36</v>
      </c>
      <c r="C97" s="110" t="s">
        <v>35</v>
      </c>
      <c r="D97" s="111">
        <v>2017</v>
      </c>
      <c r="E97" s="109">
        <v>33.200000000000003</v>
      </c>
      <c r="F97" s="111">
        <f t="shared" si="14"/>
        <v>3.5025498759224432</v>
      </c>
      <c r="G97" s="93">
        <v>1.7162999999999999</v>
      </c>
      <c r="H97" s="93">
        <v>3400000000</v>
      </c>
      <c r="I97" s="94">
        <v>18352.099999999999</v>
      </c>
      <c r="J97" s="95">
        <v>9.8175000000000008</v>
      </c>
      <c r="K97" s="96">
        <v>0.53</v>
      </c>
      <c r="L97" s="109">
        <v>13.236000000000001</v>
      </c>
      <c r="M97" s="111">
        <f t="shared" si="15"/>
        <v>2.5829403900593659</v>
      </c>
      <c r="N97" s="112">
        <v>1.3152999999999999</v>
      </c>
      <c r="O97" s="113">
        <f t="shared" si="16"/>
        <v>0.27406477649259581</v>
      </c>
      <c r="P97" s="109">
        <v>420</v>
      </c>
      <c r="Q97" s="111">
        <f t="shared" si="17"/>
        <v>6.0402547112774139</v>
      </c>
      <c r="R97" s="93">
        <v>18.899999999999999</v>
      </c>
      <c r="S97" s="114">
        <v>78.8</v>
      </c>
      <c r="T97" s="113">
        <f t="shared" si="18"/>
        <v>4.3669129968638334</v>
      </c>
      <c r="U97" s="112">
        <v>2.5</v>
      </c>
      <c r="V97" s="113">
        <f t="shared" si="19"/>
        <v>0.91629073187415511</v>
      </c>
      <c r="W97" s="115">
        <v>15.5</v>
      </c>
      <c r="X97" s="101">
        <f t="shared" si="20"/>
        <v>2.7408400239252009</v>
      </c>
      <c r="Y97" s="116">
        <v>1144</v>
      </c>
      <c r="Z97" s="102">
        <v>61594</v>
      </c>
      <c r="AA97" s="235">
        <v>0.21</v>
      </c>
      <c r="AB97" s="117">
        <f t="shared" si="21"/>
        <v>-1.5606477482646683</v>
      </c>
      <c r="AC97" s="115">
        <v>88</v>
      </c>
      <c r="AD97" s="117">
        <f t="shared" si="22"/>
        <v>4.4773368144782069</v>
      </c>
      <c r="AE97" s="109">
        <v>8258.8798999999999</v>
      </c>
      <c r="AF97" s="111">
        <f t="shared" si="23"/>
        <v>9.0190442519929128</v>
      </c>
      <c r="AG97" s="118">
        <v>33.799999999999997</v>
      </c>
      <c r="AH97" s="119">
        <v>13.236000000000001</v>
      </c>
      <c r="AI97" s="120">
        <f t="shared" si="24"/>
        <v>2.5829403900593659</v>
      </c>
      <c r="AJ97" s="121">
        <v>420</v>
      </c>
      <c r="AK97" s="120">
        <f t="shared" si="25"/>
        <v>6.0402547112774139</v>
      </c>
      <c r="AL97" s="108">
        <v>18.899999999999999</v>
      </c>
      <c r="AM97" s="119">
        <v>8258.8799999999992</v>
      </c>
      <c r="AN97" s="120">
        <f t="shared" si="26"/>
        <v>9.0190442641010922</v>
      </c>
      <c r="AO97" s="96">
        <v>42.979100000000003</v>
      </c>
      <c r="AP97" s="94">
        <v>83.434299999999993</v>
      </c>
      <c r="AQ97" s="95">
        <v>4.4240599999999999</v>
      </c>
      <c r="AR97" s="94">
        <v>16.399999999999999</v>
      </c>
      <c r="AS97" s="95">
        <f t="shared" si="27"/>
        <v>2.7972813348301528</v>
      </c>
      <c r="AT97" s="96">
        <v>78.724000000000004</v>
      </c>
    </row>
    <row r="98" spans="1:46">
      <c r="A98" s="109">
        <v>9</v>
      </c>
      <c r="B98" s="110" t="s">
        <v>36</v>
      </c>
      <c r="C98" s="110" t="s">
        <v>35</v>
      </c>
      <c r="D98" s="111">
        <v>2018</v>
      </c>
      <c r="E98" s="109">
        <v>33</v>
      </c>
      <c r="F98" s="111">
        <f t="shared" si="14"/>
        <v>3.4965075614664802</v>
      </c>
      <c r="G98" s="93">
        <v>1.88723</v>
      </c>
      <c r="H98" s="93">
        <v>4000000000</v>
      </c>
      <c r="I98" s="94">
        <v>18769</v>
      </c>
      <c r="J98" s="95">
        <v>9.8399599999999996</v>
      </c>
      <c r="K98" s="96">
        <v>0.49</v>
      </c>
      <c r="L98" s="109">
        <v>12.987</v>
      </c>
      <c r="M98" s="111">
        <f t="shared" si="15"/>
        <v>2.5639488571279534</v>
      </c>
      <c r="N98" s="112">
        <v>1.3757999999999999</v>
      </c>
      <c r="O98" s="113">
        <f t="shared" si="16"/>
        <v>0.31903538010977667</v>
      </c>
      <c r="P98" s="109">
        <v>426</v>
      </c>
      <c r="Q98" s="111">
        <f t="shared" si="17"/>
        <v>6.0544393462693709</v>
      </c>
      <c r="R98" s="93">
        <v>20.100000000000001</v>
      </c>
      <c r="S98" s="114">
        <v>80.7</v>
      </c>
      <c r="T98" s="113">
        <f t="shared" si="18"/>
        <v>4.3907385752759032</v>
      </c>
      <c r="U98" s="112">
        <v>3</v>
      </c>
      <c r="V98" s="113">
        <f t="shared" si="19"/>
        <v>1.0986122886681098</v>
      </c>
      <c r="W98" s="115">
        <v>6.3</v>
      </c>
      <c r="X98" s="101">
        <f t="shared" si="20"/>
        <v>1.8405496333974869</v>
      </c>
      <c r="Y98" s="116">
        <v>1211</v>
      </c>
      <c r="Z98" s="102">
        <v>70128</v>
      </c>
      <c r="AA98" s="235">
        <v>0</v>
      </c>
      <c r="AB98" s="117">
        <v>0</v>
      </c>
      <c r="AC98" s="115">
        <v>94</v>
      </c>
      <c r="AD98" s="117">
        <f t="shared" si="22"/>
        <v>4.5432947822700038</v>
      </c>
      <c r="AE98" s="109">
        <v>7262.9263000000001</v>
      </c>
      <c r="AF98" s="111">
        <f t="shared" si="23"/>
        <v>8.890538098232641</v>
      </c>
      <c r="AG98" s="118">
        <v>35.5</v>
      </c>
      <c r="AH98" s="119">
        <v>12.987</v>
      </c>
      <c r="AI98" s="120">
        <f t="shared" si="24"/>
        <v>2.5639488571279534</v>
      </c>
      <c r="AJ98" s="121">
        <v>426</v>
      </c>
      <c r="AK98" s="120">
        <f t="shared" si="25"/>
        <v>6.0544393462693709</v>
      </c>
      <c r="AL98" s="108">
        <v>20.100000000000001</v>
      </c>
      <c r="AM98" s="119">
        <v>7262.93</v>
      </c>
      <c r="AN98" s="120">
        <f t="shared" si="26"/>
        <v>8.8905386076690451</v>
      </c>
      <c r="AO98" s="96">
        <v>48.466700000000003</v>
      </c>
      <c r="AP98" s="94">
        <v>83.265199999999993</v>
      </c>
      <c r="AQ98" s="95">
        <v>4.4220300000000003</v>
      </c>
      <c r="AR98" s="94">
        <v>17.899999999999999</v>
      </c>
      <c r="AS98" s="95">
        <f t="shared" si="27"/>
        <v>2.884800712846709</v>
      </c>
      <c r="AT98" s="96">
        <v>79.058000000000007</v>
      </c>
    </row>
    <row r="99" spans="1:46">
      <c r="A99" s="109">
        <v>9</v>
      </c>
      <c r="B99" s="110" t="s">
        <v>36</v>
      </c>
      <c r="C99" s="110" t="s">
        <v>35</v>
      </c>
      <c r="D99" s="111">
        <v>2019</v>
      </c>
      <c r="E99" s="109">
        <v>33.700000000000003</v>
      </c>
      <c r="F99" s="111">
        <f t="shared" si="14"/>
        <v>3.5174978373583161</v>
      </c>
      <c r="G99" s="93">
        <v>2.4117199999999999</v>
      </c>
      <c r="H99" s="93">
        <v>5000000000</v>
      </c>
      <c r="I99" s="94">
        <v>19216.7</v>
      </c>
      <c r="J99" s="95">
        <v>9.8635300000000008</v>
      </c>
      <c r="K99" s="96">
        <v>0.5</v>
      </c>
      <c r="L99" s="109">
        <v>12.8</v>
      </c>
      <c r="M99" s="111">
        <f t="shared" si="15"/>
        <v>2.5494451709255714</v>
      </c>
      <c r="N99" s="112">
        <v>1.4764999999999999</v>
      </c>
      <c r="O99" s="113">
        <f t="shared" si="16"/>
        <v>0.38967442220184023</v>
      </c>
      <c r="P99" s="109">
        <v>431</v>
      </c>
      <c r="Q99" s="111">
        <f t="shared" si="17"/>
        <v>6.0661080901037474</v>
      </c>
      <c r="R99" s="93">
        <v>21</v>
      </c>
      <c r="S99" s="114">
        <v>79</v>
      </c>
      <c r="T99" s="113">
        <f t="shared" si="18"/>
        <v>4.3694478524670215</v>
      </c>
      <c r="U99" s="112">
        <v>3.3</v>
      </c>
      <c r="V99" s="113">
        <f t="shared" si="19"/>
        <v>1.1939224684724346</v>
      </c>
      <c r="W99" s="115">
        <v>5.3</v>
      </c>
      <c r="X99" s="101">
        <f t="shared" si="20"/>
        <v>1.6677068205580761</v>
      </c>
      <c r="Y99" s="116">
        <v>1386</v>
      </c>
      <c r="Z99" s="102">
        <v>72533</v>
      </c>
      <c r="AA99" s="235">
        <v>0.03</v>
      </c>
      <c r="AB99" s="117">
        <f t="shared" si="21"/>
        <v>-3.5065578973199818</v>
      </c>
      <c r="AC99" s="115">
        <v>93</v>
      </c>
      <c r="AD99" s="117">
        <f t="shared" si="22"/>
        <v>4.5325994931532563</v>
      </c>
      <c r="AE99" s="109">
        <v>6266.9727000000003</v>
      </c>
      <c r="AF99" s="111">
        <f t="shared" si="23"/>
        <v>8.7430486940639192</v>
      </c>
      <c r="AG99" s="118">
        <v>36.299999999999997</v>
      </c>
      <c r="AH99" s="119">
        <v>12.8</v>
      </c>
      <c r="AI99" s="120">
        <f t="shared" si="24"/>
        <v>2.5494451709255714</v>
      </c>
      <c r="AJ99" s="121">
        <v>431</v>
      </c>
      <c r="AK99" s="120">
        <f t="shared" si="25"/>
        <v>6.0661080901037474</v>
      </c>
      <c r="AL99" s="108">
        <v>21</v>
      </c>
      <c r="AM99" s="119">
        <v>0</v>
      </c>
      <c r="AN99" s="120">
        <v>0</v>
      </c>
      <c r="AO99" s="96">
        <v>48.378300000000003</v>
      </c>
      <c r="AP99" s="94">
        <v>83.177499999999995</v>
      </c>
      <c r="AQ99" s="95">
        <v>4.4209800000000001</v>
      </c>
      <c r="AR99" s="94">
        <v>18.5</v>
      </c>
      <c r="AS99" s="95">
        <f t="shared" si="27"/>
        <v>2.917770732084279</v>
      </c>
      <c r="AT99" s="96">
        <v>79.388000000000005</v>
      </c>
    </row>
    <row r="100" spans="1:46">
      <c r="A100" s="109">
        <v>9</v>
      </c>
      <c r="B100" s="110" t="s">
        <v>36</v>
      </c>
      <c r="C100" s="110" t="s">
        <v>35</v>
      </c>
      <c r="D100" s="111">
        <v>2020</v>
      </c>
      <c r="E100" s="109">
        <v>34.299999999999997</v>
      </c>
      <c r="F100" s="111">
        <f t="shared" si="14"/>
        <v>3.535145354171894</v>
      </c>
      <c r="G100" s="93">
        <v>1.72638</v>
      </c>
      <c r="H100" s="93">
        <v>3300000000</v>
      </c>
      <c r="I100" s="94">
        <v>17487</v>
      </c>
      <c r="J100" s="95">
        <v>9.7692099999999993</v>
      </c>
      <c r="K100" s="96">
        <v>0.49</v>
      </c>
      <c r="L100" s="109">
        <v>11.805999999999999</v>
      </c>
      <c r="M100" s="111">
        <f t="shared" si="15"/>
        <v>2.4686078768184974</v>
      </c>
      <c r="N100" s="112">
        <v>1.5230999999999999</v>
      </c>
      <c r="O100" s="113">
        <f t="shared" si="16"/>
        <v>0.42074773163932122</v>
      </c>
      <c r="P100" s="109">
        <v>436</v>
      </c>
      <c r="Q100" s="111">
        <f t="shared" si="17"/>
        <v>6.0776422433490342</v>
      </c>
      <c r="R100" s="93">
        <v>18.100000000000001</v>
      </c>
      <c r="S100" s="114">
        <v>84.6</v>
      </c>
      <c r="T100" s="113">
        <f t="shared" si="18"/>
        <v>4.4379342666121779</v>
      </c>
      <c r="U100" s="112">
        <v>4.2</v>
      </c>
      <c r="V100" s="113">
        <f t="shared" si="19"/>
        <v>1.4350845252893227</v>
      </c>
      <c r="W100" s="115">
        <v>18.8</v>
      </c>
      <c r="X100" s="101">
        <f t="shared" si="20"/>
        <v>2.9338568698359038</v>
      </c>
      <c r="Y100" s="116">
        <v>921</v>
      </c>
      <c r="Z100" s="102">
        <v>61139</v>
      </c>
      <c r="AA100" s="235">
        <v>0.05</v>
      </c>
      <c r="AB100" s="117">
        <f t="shared" si="21"/>
        <v>-2.9957322735539909</v>
      </c>
      <c r="AC100" s="115">
        <v>84</v>
      </c>
      <c r="AD100" s="117">
        <f t="shared" si="22"/>
        <v>4.4308167988433134</v>
      </c>
      <c r="AE100" s="109">
        <v>5271.0190000000002</v>
      </c>
      <c r="AF100" s="111">
        <f t="shared" si="23"/>
        <v>8.5699789814778136</v>
      </c>
      <c r="AG100" s="118">
        <v>39.200000000000003</v>
      </c>
      <c r="AH100" s="119">
        <v>11.805999999999999</v>
      </c>
      <c r="AI100" s="120">
        <f t="shared" si="24"/>
        <v>2.4686078768184974</v>
      </c>
      <c r="AJ100" s="121">
        <v>436</v>
      </c>
      <c r="AK100" s="120">
        <f t="shared" si="25"/>
        <v>6.0776422433490342</v>
      </c>
      <c r="AL100" s="108">
        <v>18.100000000000001</v>
      </c>
      <c r="AM100" s="119">
        <v>0</v>
      </c>
      <c r="AN100" s="120">
        <v>0</v>
      </c>
      <c r="AO100" s="96">
        <v>47.638300000000001</v>
      </c>
      <c r="AP100" s="94">
        <v>82.999200000000002</v>
      </c>
      <c r="AQ100" s="95">
        <v>4.4188299999999998</v>
      </c>
      <c r="AR100" s="94">
        <v>20.100000000000001</v>
      </c>
      <c r="AS100" s="95">
        <f t="shared" si="27"/>
        <v>3.0007198150650303</v>
      </c>
      <c r="AT100" s="96">
        <v>79.715000000000003</v>
      </c>
    </row>
    <row r="101" spans="1:46">
      <c r="A101" s="109">
        <v>10</v>
      </c>
      <c r="B101" s="110" t="s">
        <v>34</v>
      </c>
      <c r="C101" s="110" t="s">
        <v>4</v>
      </c>
      <c r="D101" s="111">
        <v>2010</v>
      </c>
      <c r="E101" s="109">
        <v>13.5</v>
      </c>
      <c r="F101" s="111">
        <f t="shared" si="14"/>
        <v>2.6026896854443837</v>
      </c>
      <c r="G101" s="93">
        <v>2.5636999999999999</v>
      </c>
      <c r="H101" s="93">
        <v>37000000000</v>
      </c>
      <c r="I101" s="94">
        <v>25766.3</v>
      </c>
      <c r="J101" s="95">
        <v>10.1568</v>
      </c>
      <c r="K101" s="96">
        <v>0.84</v>
      </c>
      <c r="L101" s="109">
        <v>13.397</v>
      </c>
      <c r="M101" s="111">
        <f t="shared" si="15"/>
        <v>2.5950308012948486</v>
      </c>
      <c r="N101" s="112">
        <v>1.833</v>
      </c>
      <c r="O101" s="113">
        <f t="shared" si="16"/>
        <v>0.60595396885756792</v>
      </c>
      <c r="P101" s="109">
        <v>488</v>
      </c>
      <c r="Q101" s="111">
        <f t="shared" si="17"/>
        <v>6.1903154058531475</v>
      </c>
      <c r="R101" s="93">
        <v>29.200001</v>
      </c>
      <c r="S101" s="114">
        <v>67.400000000000006</v>
      </c>
      <c r="T101" s="113">
        <f t="shared" si="18"/>
        <v>4.2106450179182611</v>
      </c>
      <c r="U101" s="112">
        <v>1.4</v>
      </c>
      <c r="V101" s="113">
        <f t="shared" si="19"/>
        <v>0.33647223662121289</v>
      </c>
      <c r="W101" s="115">
        <v>4470.3</v>
      </c>
      <c r="X101" s="101">
        <f t="shared" si="20"/>
        <v>8.4052107994495238</v>
      </c>
      <c r="Y101" s="116">
        <v>14290</v>
      </c>
      <c r="Z101" s="102">
        <v>354615</v>
      </c>
      <c r="AA101" s="235">
        <v>0.38</v>
      </c>
      <c r="AB101" s="117">
        <f t="shared" si="21"/>
        <v>-0.96758402626170559</v>
      </c>
      <c r="AC101" s="115">
        <v>100</v>
      </c>
      <c r="AD101" s="117">
        <f t="shared" si="22"/>
        <v>4.6051701859880918</v>
      </c>
      <c r="AE101" s="109">
        <v>6200.9184999999998</v>
      </c>
      <c r="AF101" s="111">
        <f t="shared" si="23"/>
        <v>8.7324527052220624</v>
      </c>
      <c r="AG101" s="118">
        <v>32.6</v>
      </c>
      <c r="AH101" s="119">
        <v>13.397</v>
      </c>
      <c r="AI101" s="120">
        <f t="shared" si="24"/>
        <v>2.5950308012948486</v>
      </c>
      <c r="AJ101" s="121">
        <v>488</v>
      </c>
      <c r="AK101" s="120">
        <f t="shared" si="25"/>
        <v>6.1903154058531475</v>
      </c>
      <c r="AL101" s="108">
        <v>29.2</v>
      </c>
      <c r="AM101" s="119">
        <v>6200.92</v>
      </c>
      <c r="AN101" s="120">
        <f t="shared" si="26"/>
        <v>8.732452947121681</v>
      </c>
      <c r="AO101" s="96">
        <v>40.716999999999999</v>
      </c>
      <c r="AP101" s="94">
        <v>93.151899999999998</v>
      </c>
      <c r="AQ101" s="95">
        <v>4.53423</v>
      </c>
      <c r="AR101" s="94">
        <v>14.4</v>
      </c>
      <c r="AS101" s="95">
        <f t="shared" si="27"/>
        <v>2.6672282065819548</v>
      </c>
      <c r="AT101" s="96">
        <v>78.441999999999993</v>
      </c>
    </row>
    <row r="102" spans="1:46">
      <c r="A102" s="109">
        <v>10</v>
      </c>
      <c r="B102" s="110" t="s">
        <v>34</v>
      </c>
      <c r="C102" s="110" t="s">
        <v>4</v>
      </c>
      <c r="D102" s="111">
        <v>2011</v>
      </c>
      <c r="E102" s="109">
        <v>13.5</v>
      </c>
      <c r="F102" s="111">
        <f t="shared" si="14"/>
        <v>2.6026896854443837</v>
      </c>
      <c r="G102" s="93">
        <v>1.80375</v>
      </c>
      <c r="H102" s="93">
        <v>27000000000</v>
      </c>
      <c r="I102" s="94">
        <v>25510.6</v>
      </c>
      <c r="J102" s="95">
        <v>10.146800000000001</v>
      </c>
      <c r="K102" s="96">
        <v>0.83</v>
      </c>
      <c r="L102" s="109">
        <v>12.143000000000001</v>
      </c>
      <c r="M102" s="111">
        <f t="shared" si="15"/>
        <v>2.4967528720716818</v>
      </c>
      <c r="N102" s="112">
        <v>2.0602999999999998</v>
      </c>
      <c r="O102" s="113">
        <f t="shared" si="16"/>
        <v>0.72285160326627618</v>
      </c>
      <c r="P102" s="109">
        <v>498</v>
      </c>
      <c r="Q102" s="111">
        <f t="shared" si="17"/>
        <v>6.2106000770246528</v>
      </c>
      <c r="R102" s="93">
        <v>26.700001</v>
      </c>
      <c r="S102" s="114">
        <v>80.3</v>
      </c>
      <c r="T102" s="113">
        <f t="shared" si="18"/>
        <v>4.3857696209527157</v>
      </c>
      <c r="U102" s="112">
        <v>9.9</v>
      </c>
      <c r="V102" s="113">
        <f t="shared" si="19"/>
        <v>2.2925347571405443</v>
      </c>
      <c r="W102" s="115">
        <v>4464.8999999999996</v>
      </c>
      <c r="X102" s="101">
        <f t="shared" si="20"/>
        <v>8.4040020966432234</v>
      </c>
      <c r="Y102" s="116">
        <v>14069</v>
      </c>
      <c r="Z102" s="102">
        <v>347090</v>
      </c>
      <c r="AA102" s="235">
        <v>0.38</v>
      </c>
      <c r="AB102" s="117">
        <f t="shared" si="21"/>
        <v>-0.96758402626170559</v>
      </c>
      <c r="AC102" s="115">
        <v>98</v>
      </c>
      <c r="AD102" s="117">
        <f t="shared" si="22"/>
        <v>4.5849674786705723</v>
      </c>
      <c r="AE102" s="109">
        <v>5625.6913999999997</v>
      </c>
      <c r="AF102" s="111">
        <f t="shared" si="23"/>
        <v>8.6350991350746789</v>
      </c>
      <c r="AG102" s="118">
        <v>35.4</v>
      </c>
      <c r="AH102" s="119">
        <v>12.143000000000001</v>
      </c>
      <c r="AI102" s="120">
        <f t="shared" si="24"/>
        <v>2.4967528720716818</v>
      </c>
      <c r="AJ102" s="121">
        <v>498</v>
      </c>
      <c r="AK102" s="120">
        <f t="shared" si="25"/>
        <v>6.2106000770246528</v>
      </c>
      <c r="AL102" s="108">
        <v>26.7</v>
      </c>
      <c r="AM102" s="119">
        <v>5625.69</v>
      </c>
      <c r="AN102" s="120">
        <f t="shared" si="26"/>
        <v>8.6350988862163476</v>
      </c>
      <c r="AO102" s="96">
        <v>45.924399999999999</v>
      </c>
      <c r="AP102" s="94">
        <v>93.507800000000003</v>
      </c>
      <c r="AQ102" s="95">
        <v>4.5380500000000001</v>
      </c>
      <c r="AR102" s="94">
        <v>14.7</v>
      </c>
      <c r="AS102" s="95">
        <f t="shared" si="27"/>
        <v>2.6878474937846906</v>
      </c>
      <c r="AT102" s="96">
        <v>78.673000000000002</v>
      </c>
    </row>
    <row r="103" spans="1:46">
      <c r="A103" s="109">
        <v>10</v>
      </c>
      <c r="B103" s="110" t="s">
        <v>34</v>
      </c>
      <c r="C103" s="110" t="s">
        <v>4</v>
      </c>
      <c r="D103" s="111">
        <v>2012</v>
      </c>
      <c r="E103" s="109">
        <v>14.5</v>
      </c>
      <c r="F103" s="111">
        <f t="shared" si="14"/>
        <v>2.6741486494265287</v>
      </c>
      <c r="G103" s="93">
        <v>1.5663800000000001</v>
      </c>
      <c r="H103" s="93">
        <v>21000000000</v>
      </c>
      <c r="I103" s="94">
        <v>24763.599999999999</v>
      </c>
      <c r="J103" s="95">
        <v>10.117100000000001</v>
      </c>
      <c r="K103" s="96">
        <v>0.83</v>
      </c>
      <c r="L103" s="109">
        <v>9.2240000000000002</v>
      </c>
      <c r="M103" s="111">
        <f t="shared" si="15"/>
        <v>2.2218087829667579</v>
      </c>
      <c r="N103" s="112">
        <v>2.5129000000000001</v>
      </c>
      <c r="O103" s="113">
        <f t="shared" si="16"/>
        <v>0.92143746469368493</v>
      </c>
      <c r="P103" s="109">
        <v>504</v>
      </c>
      <c r="Q103" s="111">
        <f t="shared" si="17"/>
        <v>6.2225762680713688</v>
      </c>
      <c r="R103" s="93">
        <v>29.799999</v>
      </c>
      <c r="S103" s="114">
        <v>84.5</v>
      </c>
      <c r="T103" s="113">
        <f t="shared" si="18"/>
        <v>4.4367515343631281</v>
      </c>
      <c r="U103" s="112">
        <v>9.8000000000000007</v>
      </c>
      <c r="V103" s="113">
        <f t="shared" si="19"/>
        <v>2.2823823856765264</v>
      </c>
      <c r="W103" s="115">
        <v>5813.4</v>
      </c>
      <c r="X103" s="101">
        <f t="shared" si="20"/>
        <v>8.6679208766190126</v>
      </c>
      <c r="Y103" s="116">
        <v>13922</v>
      </c>
      <c r="Z103" s="102">
        <v>343199</v>
      </c>
      <c r="AA103" s="235">
        <v>0.39</v>
      </c>
      <c r="AB103" s="117">
        <f t="shared" si="21"/>
        <v>-0.94160853985844495</v>
      </c>
      <c r="AC103" s="115">
        <v>97</v>
      </c>
      <c r="AD103" s="117">
        <f t="shared" si="22"/>
        <v>4.5747109785033828</v>
      </c>
      <c r="AE103" s="109">
        <v>5690.8247000000001</v>
      </c>
      <c r="AF103" s="111">
        <f t="shared" si="23"/>
        <v>8.6466104551063854</v>
      </c>
      <c r="AG103" s="118">
        <v>41.5</v>
      </c>
      <c r="AH103" s="119">
        <v>9.2240000000000002</v>
      </c>
      <c r="AI103" s="120">
        <f t="shared" si="24"/>
        <v>2.2218087829667579</v>
      </c>
      <c r="AJ103" s="121">
        <v>504</v>
      </c>
      <c r="AK103" s="120">
        <f t="shared" si="25"/>
        <v>6.2225762680713688</v>
      </c>
      <c r="AL103" s="108">
        <v>29.8</v>
      </c>
      <c r="AM103" s="119">
        <v>5690.82</v>
      </c>
      <c r="AN103" s="120">
        <f t="shared" si="26"/>
        <v>8.6466096292152024</v>
      </c>
      <c r="AO103" s="96">
        <v>47.527500000000003</v>
      </c>
      <c r="AP103" s="94">
        <v>93.506799999999998</v>
      </c>
      <c r="AQ103" s="95">
        <v>4.53803</v>
      </c>
      <c r="AR103" s="94">
        <v>15.8</v>
      </c>
      <c r="AS103" s="95">
        <f t="shared" si="27"/>
        <v>2.760009940032921</v>
      </c>
      <c r="AT103" s="96">
        <v>78.902000000000001</v>
      </c>
    </row>
    <row r="104" spans="1:46">
      <c r="A104" s="109">
        <v>10</v>
      </c>
      <c r="B104" s="110" t="s">
        <v>34</v>
      </c>
      <c r="C104" s="110" t="s">
        <v>4</v>
      </c>
      <c r="D104" s="111">
        <v>2013</v>
      </c>
      <c r="E104" s="109">
        <v>14.5</v>
      </c>
      <c r="F104" s="111">
        <f t="shared" si="14"/>
        <v>2.6741486494265287</v>
      </c>
      <c r="G104" s="93">
        <v>3.4608599999999998</v>
      </c>
      <c r="H104" s="93">
        <v>47000000000</v>
      </c>
      <c r="I104" s="94">
        <v>24490.2</v>
      </c>
      <c r="J104" s="95">
        <v>10.106</v>
      </c>
      <c r="K104" s="96">
        <v>0.84</v>
      </c>
      <c r="L104" s="109">
        <v>8.3710003000000004</v>
      </c>
      <c r="M104" s="111">
        <f t="shared" si="15"/>
        <v>2.1247733875159307</v>
      </c>
      <c r="N104" s="112">
        <v>2.6389</v>
      </c>
      <c r="O104" s="113">
        <f t="shared" si="16"/>
        <v>0.97036216366188244</v>
      </c>
      <c r="P104" s="109">
        <v>515</v>
      </c>
      <c r="Q104" s="111">
        <f t="shared" si="17"/>
        <v>6.2441669006637364</v>
      </c>
      <c r="R104" s="93">
        <v>32.5</v>
      </c>
      <c r="S104" s="114">
        <v>82</v>
      </c>
      <c r="T104" s="113">
        <f t="shared" si="18"/>
        <v>4.4067192472642533</v>
      </c>
      <c r="U104" s="112">
        <v>8.9</v>
      </c>
      <c r="V104" s="113">
        <f t="shared" si="19"/>
        <v>2.1860512767380942</v>
      </c>
      <c r="W104" s="115">
        <v>6137.4</v>
      </c>
      <c r="X104" s="101">
        <f t="shared" si="20"/>
        <v>8.7221564786910175</v>
      </c>
      <c r="Y104" s="116">
        <v>15963</v>
      </c>
      <c r="Z104" s="102">
        <v>362476</v>
      </c>
      <c r="AA104" s="235">
        <v>0.64</v>
      </c>
      <c r="AB104" s="117">
        <f t="shared" si="21"/>
        <v>-0.44628710262841947</v>
      </c>
      <c r="AC104" s="115">
        <v>97</v>
      </c>
      <c r="AD104" s="117">
        <f t="shared" si="22"/>
        <v>4.5747109785033828</v>
      </c>
      <c r="AE104" s="109">
        <v>5911.8633</v>
      </c>
      <c r="AF104" s="111">
        <f t="shared" si="23"/>
        <v>8.6847163398979212</v>
      </c>
      <c r="AG104" s="118">
        <v>41.7</v>
      </c>
      <c r="AH104" s="119">
        <v>8.3710000000000004</v>
      </c>
      <c r="AI104" s="120">
        <f t="shared" si="24"/>
        <v>2.1247733516779195</v>
      </c>
      <c r="AJ104" s="121">
        <v>515</v>
      </c>
      <c r="AK104" s="120">
        <f t="shared" si="25"/>
        <v>6.2441669006637364</v>
      </c>
      <c r="AL104" s="108">
        <v>32.5</v>
      </c>
      <c r="AM104" s="119">
        <v>5911.86</v>
      </c>
      <c r="AN104" s="120">
        <f t="shared" si="26"/>
        <v>8.6847157816981202</v>
      </c>
      <c r="AO104" s="96">
        <v>48.336300000000001</v>
      </c>
      <c r="AP104" s="94">
        <v>93.200900000000004</v>
      </c>
      <c r="AQ104" s="95">
        <v>4.5347600000000003</v>
      </c>
      <c r="AR104" s="94">
        <v>16.899999999999999</v>
      </c>
      <c r="AS104" s="95">
        <f t="shared" si="27"/>
        <v>2.8273136219290276</v>
      </c>
      <c r="AT104" s="96">
        <v>79.132999999999996</v>
      </c>
    </row>
    <row r="105" spans="1:46">
      <c r="A105" s="109">
        <v>10</v>
      </c>
      <c r="B105" s="110" t="s">
        <v>34</v>
      </c>
      <c r="C105" s="110" t="s">
        <v>4</v>
      </c>
      <c r="D105" s="111">
        <v>2014</v>
      </c>
      <c r="E105" s="109">
        <v>14.7</v>
      </c>
      <c r="F105" s="111">
        <f t="shared" si="14"/>
        <v>2.6878474937846906</v>
      </c>
      <c r="G105" s="93">
        <v>2.3164199999999999</v>
      </c>
      <c r="H105" s="93">
        <v>32000000000</v>
      </c>
      <c r="I105" s="94">
        <v>24937</v>
      </c>
      <c r="J105" s="95">
        <v>10.1241</v>
      </c>
      <c r="K105" s="96">
        <v>0.88</v>
      </c>
      <c r="L105" s="109">
        <v>8.6499995999999992</v>
      </c>
      <c r="M105" s="111">
        <f t="shared" si="15"/>
        <v>2.1575592747010122</v>
      </c>
      <c r="N105" s="112">
        <v>2.6488999999999998</v>
      </c>
      <c r="O105" s="113">
        <f t="shared" si="16"/>
        <v>0.97414445948300465</v>
      </c>
      <c r="P105" s="109">
        <v>524</v>
      </c>
      <c r="Q105" s="111">
        <f t="shared" si="17"/>
        <v>6.261491684321042</v>
      </c>
      <c r="R105" s="93">
        <v>30.799999</v>
      </c>
      <c r="S105" s="114">
        <v>76.900000000000006</v>
      </c>
      <c r="T105" s="113">
        <f t="shared" si="18"/>
        <v>4.3425058765115985</v>
      </c>
      <c r="U105" s="112">
        <v>7.7</v>
      </c>
      <c r="V105" s="113">
        <f t="shared" si="19"/>
        <v>2.0412203288596382</v>
      </c>
      <c r="W105" s="115">
        <v>5949.4</v>
      </c>
      <c r="X105" s="101">
        <f t="shared" si="20"/>
        <v>8.6910456531188132</v>
      </c>
      <c r="Y105" s="116">
        <v>16221</v>
      </c>
      <c r="Z105" s="102">
        <v>364718</v>
      </c>
      <c r="AA105" s="235">
        <v>0.47</v>
      </c>
      <c r="AB105" s="117">
        <f t="shared" si="21"/>
        <v>-0.75502258427803282</v>
      </c>
      <c r="AC105" s="115">
        <v>99</v>
      </c>
      <c r="AD105" s="117">
        <f t="shared" si="22"/>
        <v>4.5951198501345898</v>
      </c>
      <c r="AE105" s="109">
        <v>5651.5137000000004</v>
      </c>
      <c r="AF105" s="111">
        <f t="shared" si="23"/>
        <v>8.6396786997630333</v>
      </c>
      <c r="AG105" s="118">
        <v>43.3</v>
      </c>
      <c r="AH105" s="119">
        <v>8.65</v>
      </c>
      <c r="AI105" s="120">
        <f t="shared" si="24"/>
        <v>2.157559320943788</v>
      </c>
      <c r="AJ105" s="121">
        <v>524</v>
      </c>
      <c r="AK105" s="120">
        <f t="shared" si="25"/>
        <v>6.261491684321042</v>
      </c>
      <c r="AL105" s="108">
        <v>30.8</v>
      </c>
      <c r="AM105" s="119">
        <v>5651.51</v>
      </c>
      <c r="AN105" s="120">
        <f t="shared" si="26"/>
        <v>8.639678045070962</v>
      </c>
      <c r="AO105" s="96">
        <v>49.512500000000003</v>
      </c>
      <c r="AP105" s="94">
        <v>92.922700000000006</v>
      </c>
      <c r="AQ105" s="95">
        <v>4.5317699999999999</v>
      </c>
      <c r="AR105" s="94">
        <v>17.3</v>
      </c>
      <c r="AS105" s="95">
        <f t="shared" si="27"/>
        <v>2.8507065015037334</v>
      </c>
      <c r="AT105" s="96">
        <v>79.366</v>
      </c>
    </row>
    <row r="106" spans="1:46">
      <c r="A106" s="109">
        <v>10</v>
      </c>
      <c r="B106" s="110" t="s">
        <v>34</v>
      </c>
      <c r="C106" s="110" t="s">
        <v>4</v>
      </c>
      <c r="D106" s="111">
        <v>2015</v>
      </c>
      <c r="E106" s="109">
        <v>15.5</v>
      </c>
      <c r="F106" s="111">
        <f t="shared" si="14"/>
        <v>2.7408400239252009</v>
      </c>
      <c r="G106" s="93">
        <v>1.97132</v>
      </c>
      <c r="H106" s="93">
        <v>24000000000</v>
      </c>
      <c r="I106" s="94">
        <v>25969.8</v>
      </c>
      <c r="J106" s="95">
        <v>10.1647</v>
      </c>
      <c r="K106" s="96">
        <v>0.88</v>
      </c>
      <c r="L106" s="109">
        <v>9.2690000999999995</v>
      </c>
      <c r="M106" s="111">
        <f t="shared" si="15"/>
        <v>2.2266755096823458</v>
      </c>
      <c r="N106" s="112">
        <v>2.6311</v>
      </c>
      <c r="O106" s="113">
        <f t="shared" si="16"/>
        <v>0.96740200969769585</v>
      </c>
      <c r="P106" s="109">
        <v>499</v>
      </c>
      <c r="Q106" s="111">
        <f t="shared" si="17"/>
        <v>6.2126060957515188</v>
      </c>
      <c r="R106" s="93">
        <v>30</v>
      </c>
      <c r="S106" s="114">
        <v>75.7</v>
      </c>
      <c r="T106" s="113">
        <f t="shared" si="18"/>
        <v>4.3267781604434035</v>
      </c>
      <c r="U106" s="112">
        <v>7.6</v>
      </c>
      <c r="V106" s="113">
        <f t="shared" si="19"/>
        <v>2.0281482472922852</v>
      </c>
      <c r="W106" s="115">
        <v>6533.2</v>
      </c>
      <c r="X106" s="101">
        <f t="shared" si="20"/>
        <v>8.784652148178985</v>
      </c>
      <c r="Y106" s="116">
        <v>16899</v>
      </c>
      <c r="Z106" s="102">
        <v>384276</v>
      </c>
      <c r="AA106" s="235">
        <v>0.39</v>
      </c>
      <c r="AB106" s="117">
        <f t="shared" si="21"/>
        <v>-0.94160853985844495</v>
      </c>
      <c r="AC106" s="115">
        <v>101</v>
      </c>
      <c r="AD106" s="117">
        <f t="shared" si="22"/>
        <v>4.6151205168412597</v>
      </c>
      <c r="AE106" s="109">
        <v>5934.1758</v>
      </c>
      <c r="AF106" s="111">
        <f t="shared" si="23"/>
        <v>8.6884834262966617</v>
      </c>
      <c r="AG106" s="118">
        <v>43.7</v>
      </c>
      <c r="AH106" s="119">
        <v>9.2690000000000001</v>
      </c>
      <c r="AI106" s="120">
        <f t="shared" si="24"/>
        <v>2.2266754988936954</v>
      </c>
      <c r="AJ106" s="121">
        <v>499</v>
      </c>
      <c r="AK106" s="120">
        <f t="shared" si="25"/>
        <v>6.2126060957515188</v>
      </c>
      <c r="AL106" s="108">
        <v>30</v>
      </c>
      <c r="AM106" s="119">
        <v>5934.18</v>
      </c>
      <c r="AN106" s="120">
        <f t="shared" si="26"/>
        <v>8.6884841340610848</v>
      </c>
      <c r="AO106" s="96">
        <v>49.257399999999997</v>
      </c>
      <c r="AP106" s="94">
        <v>92.952699999999993</v>
      </c>
      <c r="AQ106" s="95">
        <v>4.5320900000000002</v>
      </c>
      <c r="AR106" s="94">
        <v>16.3</v>
      </c>
      <c r="AS106" s="95">
        <f t="shared" si="27"/>
        <v>2.7911651078127169</v>
      </c>
      <c r="AT106" s="96">
        <v>79.602000000000004</v>
      </c>
    </row>
    <row r="107" spans="1:46">
      <c r="A107" s="109">
        <v>10</v>
      </c>
      <c r="B107" s="110" t="s">
        <v>34</v>
      </c>
      <c r="C107" s="110" t="s">
        <v>4</v>
      </c>
      <c r="D107" s="111">
        <v>2016</v>
      </c>
      <c r="E107" s="109">
        <v>14.7</v>
      </c>
      <c r="F107" s="111">
        <f t="shared" si="14"/>
        <v>2.6878474937846906</v>
      </c>
      <c r="G107" s="93">
        <v>3.6172200000000001</v>
      </c>
      <c r="H107" s="93">
        <v>45000000000</v>
      </c>
      <c r="I107" s="94">
        <v>26704.3</v>
      </c>
      <c r="J107" s="95">
        <v>10.192600000000001</v>
      </c>
      <c r="K107" s="96">
        <v>0.87</v>
      </c>
      <c r="L107" s="109">
        <v>9.6400003000000005</v>
      </c>
      <c r="M107" s="111">
        <f t="shared" si="15"/>
        <v>2.2659211397427859</v>
      </c>
      <c r="N107" s="112">
        <v>2.7776000000000001</v>
      </c>
      <c r="O107" s="113">
        <f t="shared" si="16"/>
        <v>1.0215872454838939</v>
      </c>
      <c r="P107" s="109">
        <v>509</v>
      </c>
      <c r="Q107" s="111">
        <f t="shared" si="17"/>
        <v>6.2324480165505225</v>
      </c>
      <c r="R107" s="93">
        <v>33.900002000000001</v>
      </c>
      <c r="S107" s="114">
        <v>87.8</v>
      </c>
      <c r="T107" s="113">
        <f t="shared" si="18"/>
        <v>4.475061500641071</v>
      </c>
      <c r="U107" s="112">
        <v>8.1999999999999993</v>
      </c>
      <c r="V107" s="113">
        <f t="shared" si="19"/>
        <v>2.1041341542702074</v>
      </c>
      <c r="W107" s="115">
        <v>7546.6</v>
      </c>
      <c r="X107" s="101">
        <f t="shared" si="20"/>
        <v>8.9288524096877282</v>
      </c>
      <c r="Y107" s="116">
        <v>18056</v>
      </c>
      <c r="Z107" s="102">
        <v>405105</v>
      </c>
      <c r="AA107" s="235">
        <v>0.59</v>
      </c>
      <c r="AB107" s="117">
        <f t="shared" si="21"/>
        <v>-0.52763274208237199</v>
      </c>
      <c r="AC107" s="115">
        <v>105</v>
      </c>
      <c r="AD107" s="117">
        <f t="shared" si="22"/>
        <v>4.6539603501575231</v>
      </c>
      <c r="AE107" s="109">
        <v>5756.7114000000001</v>
      </c>
      <c r="AF107" s="111">
        <f t="shared" si="23"/>
        <v>8.6581216531430591</v>
      </c>
      <c r="AG107" s="118">
        <v>42.9</v>
      </c>
      <c r="AH107" s="119">
        <v>9.64</v>
      </c>
      <c r="AI107" s="120">
        <f t="shared" si="24"/>
        <v>2.2659211086224542</v>
      </c>
      <c r="AJ107" s="121">
        <v>509</v>
      </c>
      <c r="AK107" s="120">
        <f t="shared" si="25"/>
        <v>6.2324480165505225</v>
      </c>
      <c r="AL107" s="108">
        <v>33.9</v>
      </c>
      <c r="AM107" s="119">
        <v>5756.71</v>
      </c>
      <c r="AN107" s="120">
        <f t="shared" si="26"/>
        <v>8.6581214099486257</v>
      </c>
      <c r="AO107" s="96">
        <v>48.342300000000002</v>
      </c>
      <c r="AP107" s="94">
        <v>93.049300000000002</v>
      </c>
      <c r="AQ107" s="95">
        <v>4.5331299999999999</v>
      </c>
      <c r="AR107" s="94">
        <v>16.7</v>
      </c>
      <c r="AS107" s="95">
        <f t="shared" si="27"/>
        <v>2.8154087194227095</v>
      </c>
      <c r="AT107" s="96">
        <v>79.84</v>
      </c>
    </row>
    <row r="108" spans="1:46">
      <c r="A108" s="109">
        <v>10</v>
      </c>
      <c r="B108" s="110" t="s">
        <v>34</v>
      </c>
      <c r="C108" s="110" t="s">
        <v>4</v>
      </c>
      <c r="D108" s="111">
        <v>2017</v>
      </c>
      <c r="E108" s="109">
        <v>15.2</v>
      </c>
      <c r="F108" s="111">
        <f t="shared" si="14"/>
        <v>2.7212954278522306</v>
      </c>
      <c r="G108" s="93">
        <v>2.5403899999999999</v>
      </c>
      <c r="H108" s="93">
        <v>34000000000</v>
      </c>
      <c r="I108" s="94">
        <v>27413.3</v>
      </c>
      <c r="J108" s="95">
        <v>10.2188</v>
      </c>
      <c r="K108" s="96">
        <v>0.9</v>
      </c>
      <c r="L108" s="109">
        <v>9.5539999000000009</v>
      </c>
      <c r="M108" s="111">
        <f t="shared" si="15"/>
        <v>2.2569599045009499</v>
      </c>
      <c r="N108" s="112">
        <v>2.8016000000000001</v>
      </c>
      <c r="O108" s="113">
        <f t="shared" si="16"/>
        <v>1.0301906825494505</v>
      </c>
      <c r="P108" s="109">
        <v>581</v>
      </c>
      <c r="Q108" s="111">
        <f t="shared" si="17"/>
        <v>6.3647507568519108</v>
      </c>
      <c r="R108" s="93">
        <v>36.099997999999999</v>
      </c>
      <c r="S108" s="114">
        <v>83.1</v>
      </c>
      <c r="T108" s="113">
        <f t="shared" si="18"/>
        <v>4.4200447018614026</v>
      </c>
      <c r="U108" s="112">
        <v>8.8000000000000007</v>
      </c>
      <c r="V108" s="113">
        <f t="shared" si="19"/>
        <v>2.174751721484161</v>
      </c>
      <c r="W108" s="115">
        <v>9056.9</v>
      </c>
      <c r="X108" s="101">
        <f t="shared" si="20"/>
        <v>9.1112821771303789</v>
      </c>
      <c r="Y108" s="116">
        <v>19142</v>
      </c>
      <c r="Z108" s="102">
        <v>414861</v>
      </c>
      <c r="AA108" s="235">
        <v>0.33</v>
      </c>
      <c r="AB108" s="117">
        <f t="shared" si="21"/>
        <v>-1.1086626245216111</v>
      </c>
      <c r="AC108" s="115">
        <v>105</v>
      </c>
      <c r="AD108" s="117">
        <f t="shared" si="22"/>
        <v>4.6539603501575231</v>
      </c>
      <c r="AE108" s="109">
        <v>5361.4937</v>
      </c>
      <c r="AF108" s="111">
        <f t="shared" si="23"/>
        <v>8.586997890615212</v>
      </c>
      <c r="AG108" s="118">
        <v>45.7</v>
      </c>
      <c r="AH108" s="119">
        <v>9.5540000000000003</v>
      </c>
      <c r="AI108" s="120">
        <f t="shared" si="24"/>
        <v>2.2569599149677702</v>
      </c>
      <c r="AJ108" s="121"/>
      <c r="AK108" s="120">
        <v>0</v>
      </c>
      <c r="AL108" s="108">
        <v>36.1</v>
      </c>
      <c r="AM108" s="119">
        <v>5361.49</v>
      </c>
      <c r="AN108" s="120">
        <f t="shared" si="26"/>
        <v>8.5869972005087831</v>
      </c>
      <c r="AO108" s="96">
        <v>50.804600000000001</v>
      </c>
      <c r="AP108" s="94">
        <v>93.270899999999997</v>
      </c>
      <c r="AQ108" s="95">
        <v>4.5355100000000004</v>
      </c>
      <c r="AR108" s="94">
        <v>15.2</v>
      </c>
      <c r="AS108" s="95">
        <f t="shared" si="27"/>
        <v>2.7212954278522306</v>
      </c>
      <c r="AT108" s="96">
        <v>80.08</v>
      </c>
    </row>
    <row r="109" spans="1:46">
      <c r="A109" s="109">
        <v>10</v>
      </c>
      <c r="B109" s="110" t="s">
        <v>34</v>
      </c>
      <c r="C109" s="110" t="s">
        <v>4</v>
      </c>
      <c r="D109" s="111">
        <v>2018</v>
      </c>
      <c r="E109" s="109">
        <v>15.6</v>
      </c>
      <c r="F109" s="111">
        <f t="shared" si="14"/>
        <v>2.7472709142554912</v>
      </c>
      <c r="G109" s="93">
        <v>4.4674800000000001</v>
      </c>
      <c r="H109" s="93">
        <v>64000000000</v>
      </c>
      <c r="I109" s="94">
        <v>27947.3</v>
      </c>
      <c r="J109" s="95">
        <v>10.238099999999999</v>
      </c>
      <c r="K109" s="96">
        <v>0.85</v>
      </c>
      <c r="L109" s="109">
        <v>10.792999999999999</v>
      </c>
      <c r="M109" s="111">
        <f t="shared" si="15"/>
        <v>2.3788977758432091</v>
      </c>
      <c r="N109" s="112">
        <v>2.6257999999999999</v>
      </c>
      <c r="O109" s="113">
        <f t="shared" si="16"/>
        <v>0.96538561151787294</v>
      </c>
      <c r="P109" s="109">
        <v>653</v>
      </c>
      <c r="Q109" s="111">
        <f t="shared" si="17"/>
        <v>6.481577129276431</v>
      </c>
      <c r="R109" s="93">
        <v>34.799999</v>
      </c>
      <c r="S109" s="114">
        <v>86.2</v>
      </c>
      <c r="T109" s="113">
        <f t="shared" si="18"/>
        <v>4.4566701776696478</v>
      </c>
      <c r="U109" s="112">
        <v>8.9</v>
      </c>
      <c r="V109" s="113">
        <f t="shared" si="19"/>
        <v>2.1860512767380942</v>
      </c>
      <c r="W109" s="115">
        <v>9202.2000000000007</v>
      </c>
      <c r="X109" s="101">
        <f t="shared" si="20"/>
        <v>9.1271978648847885</v>
      </c>
      <c r="Y109" s="116">
        <v>20543</v>
      </c>
      <c r="Z109" s="102">
        <v>426566</v>
      </c>
      <c r="AA109" s="235">
        <v>0.39</v>
      </c>
      <c r="AB109" s="117">
        <f t="shared" si="21"/>
        <v>-0.94160853985844495</v>
      </c>
      <c r="AC109" s="115">
        <v>110</v>
      </c>
      <c r="AD109" s="117">
        <f t="shared" si="22"/>
        <v>4.7004803657924166</v>
      </c>
      <c r="AE109" s="109">
        <v>4566.1918999999998</v>
      </c>
      <c r="AF109" s="111">
        <f t="shared" si="23"/>
        <v>8.4264348542398775</v>
      </c>
      <c r="AG109" s="118">
        <v>42.8</v>
      </c>
      <c r="AH109" s="119">
        <v>10.792999999999999</v>
      </c>
      <c r="AI109" s="120">
        <f t="shared" si="24"/>
        <v>2.3788977758432091</v>
      </c>
      <c r="AJ109" s="121">
        <v>653</v>
      </c>
      <c r="AK109" s="120">
        <f t="shared" si="25"/>
        <v>6.481577129276431</v>
      </c>
      <c r="AL109" s="108">
        <v>34.799999999999997</v>
      </c>
      <c r="AM109" s="119">
        <v>4566.1899999999996</v>
      </c>
      <c r="AN109" s="120">
        <f t="shared" si="26"/>
        <v>8.4264344381381378</v>
      </c>
      <c r="AO109" s="96">
        <v>51.501399999999997</v>
      </c>
      <c r="AP109" s="94">
        <v>93.669799999999995</v>
      </c>
      <c r="AQ109" s="95">
        <v>4.5397800000000004</v>
      </c>
      <c r="AR109" s="94">
        <v>16.899999999999999</v>
      </c>
      <c r="AS109" s="95">
        <f t="shared" si="27"/>
        <v>2.8273136219290276</v>
      </c>
      <c r="AT109" s="96">
        <v>80.320999999999998</v>
      </c>
    </row>
    <row r="110" spans="1:46">
      <c r="A110" s="109">
        <v>10</v>
      </c>
      <c r="B110" s="110" t="s">
        <v>34</v>
      </c>
      <c r="C110" s="110" t="s">
        <v>4</v>
      </c>
      <c r="D110" s="111">
        <v>2019</v>
      </c>
      <c r="E110" s="109">
        <v>16.100000000000001</v>
      </c>
      <c r="F110" s="111">
        <f t="shared" si="14"/>
        <v>2.7788192719904172</v>
      </c>
      <c r="G110" s="93">
        <v>2.16052</v>
      </c>
      <c r="H110" s="93">
        <v>30000000000</v>
      </c>
      <c r="I110" s="94">
        <v>28291.599999999999</v>
      </c>
      <c r="J110" s="95">
        <v>10.250299999999999</v>
      </c>
      <c r="K110" s="96">
        <v>0.81</v>
      </c>
      <c r="L110" s="109">
        <v>9.7670002</v>
      </c>
      <c r="M110" s="111">
        <f t="shared" si="15"/>
        <v>2.2790093769424566</v>
      </c>
      <c r="N110" s="112">
        <v>2.7341000000000002</v>
      </c>
      <c r="O110" s="113">
        <f t="shared" si="16"/>
        <v>1.0058023140776255</v>
      </c>
      <c r="P110" s="109">
        <v>652</v>
      </c>
      <c r="Q110" s="111">
        <f t="shared" si="17"/>
        <v>6.4800445619266531</v>
      </c>
      <c r="R110" s="93">
        <v>38</v>
      </c>
      <c r="S110" s="114">
        <v>79.7</v>
      </c>
      <c r="T110" s="113">
        <f t="shared" si="18"/>
        <v>4.3782695857961693</v>
      </c>
      <c r="U110" s="112">
        <v>9</v>
      </c>
      <c r="V110" s="113">
        <f t="shared" si="19"/>
        <v>2.1972245773362196</v>
      </c>
      <c r="W110" s="115">
        <v>5644.1</v>
      </c>
      <c r="X110" s="101">
        <f t="shared" si="20"/>
        <v>8.6383660307462904</v>
      </c>
      <c r="Y110" s="116">
        <v>22452</v>
      </c>
      <c r="Z110" s="102">
        <v>455530</v>
      </c>
      <c r="AA110" s="235">
        <v>0.38</v>
      </c>
      <c r="AB110" s="117">
        <f t="shared" si="21"/>
        <v>-0.96758402626170559</v>
      </c>
      <c r="AC110" s="115">
        <v>110</v>
      </c>
      <c r="AD110" s="117">
        <f t="shared" si="22"/>
        <v>4.7004803657924166</v>
      </c>
      <c r="AE110" s="109">
        <v>3770.8901000000001</v>
      </c>
      <c r="AF110" s="111">
        <f t="shared" si="23"/>
        <v>8.2350663533704065</v>
      </c>
      <c r="AG110" s="118">
        <v>41.8</v>
      </c>
      <c r="AH110" s="119">
        <v>9.7669999999999995</v>
      </c>
      <c r="AI110" s="120">
        <f t="shared" si="24"/>
        <v>2.2790093564653398</v>
      </c>
      <c r="AJ110" s="121">
        <v>652</v>
      </c>
      <c r="AK110" s="120">
        <f t="shared" si="25"/>
        <v>6.4800445619266531</v>
      </c>
      <c r="AL110" s="108">
        <v>38</v>
      </c>
      <c r="AM110" s="119">
        <v>0</v>
      </c>
      <c r="AN110" s="120">
        <v>0</v>
      </c>
      <c r="AO110" s="96">
        <v>50.357700000000001</v>
      </c>
      <c r="AP110" s="94">
        <v>94.350800000000007</v>
      </c>
      <c r="AQ110" s="95">
        <v>4.5470199999999998</v>
      </c>
      <c r="AR110" s="94">
        <v>16.7</v>
      </c>
      <c r="AS110" s="95">
        <f t="shared" si="27"/>
        <v>2.8154087194227095</v>
      </c>
      <c r="AT110" s="96">
        <v>80.564999999999998</v>
      </c>
    </row>
    <row r="111" spans="1:46">
      <c r="A111" s="109">
        <v>10</v>
      </c>
      <c r="B111" s="110" t="s">
        <v>34</v>
      </c>
      <c r="C111" s="110" t="s">
        <v>4</v>
      </c>
      <c r="D111" s="111">
        <v>2020</v>
      </c>
      <c r="E111" s="109">
        <v>16.7</v>
      </c>
      <c r="F111" s="111">
        <f t="shared" si="14"/>
        <v>2.8154087194227095</v>
      </c>
      <c r="G111" s="93">
        <v>2.9216600000000001</v>
      </c>
      <c r="H111" s="93">
        <v>38000000000</v>
      </c>
      <c r="I111" s="94">
        <v>25073.7</v>
      </c>
      <c r="J111" s="95">
        <v>10.1296</v>
      </c>
      <c r="K111" s="96">
        <v>0.83</v>
      </c>
      <c r="L111" s="109">
        <v>9.6309996000000009</v>
      </c>
      <c r="M111" s="111">
        <f t="shared" si="15"/>
        <v>2.2649870210461756</v>
      </c>
      <c r="N111" s="112">
        <v>2.4935999999999998</v>
      </c>
      <c r="O111" s="113">
        <f t="shared" si="16"/>
        <v>0.91372744947099016</v>
      </c>
      <c r="P111" s="109">
        <v>637</v>
      </c>
      <c r="Q111" s="111">
        <f t="shared" si="17"/>
        <v>6.4567696555721632</v>
      </c>
      <c r="R111" s="93">
        <v>38.900002000000001</v>
      </c>
      <c r="S111" s="114">
        <v>85.8</v>
      </c>
      <c r="T111" s="113">
        <f t="shared" si="18"/>
        <v>4.4520190064939165</v>
      </c>
      <c r="U111" s="112">
        <v>9.3000000000000007</v>
      </c>
      <c r="V111" s="113">
        <f t="shared" si="19"/>
        <v>2.2300144001592104</v>
      </c>
      <c r="W111" s="115">
        <v>4127.8</v>
      </c>
      <c r="X111" s="101">
        <f t="shared" si="20"/>
        <v>8.3254998563752753</v>
      </c>
      <c r="Y111" s="116">
        <v>22057</v>
      </c>
      <c r="Z111" s="102">
        <v>448860</v>
      </c>
      <c r="AA111" s="235">
        <v>0.45</v>
      </c>
      <c r="AB111" s="117">
        <f t="shared" si="21"/>
        <v>-0.79850769621777162</v>
      </c>
      <c r="AC111" s="115">
        <v>104</v>
      </c>
      <c r="AD111" s="117">
        <f t="shared" si="22"/>
        <v>4.6443908991413725</v>
      </c>
      <c r="AE111" s="109">
        <v>2975.5884000000001</v>
      </c>
      <c r="AF111" s="111">
        <f t="shared" si="23"/>
        <v>7.9981970799361504</v>
      </c>
      <c r="AG111" s="118">
        <v>37.9</v>
      </c>
      <c r="AH111" s="119">
        <v>9.6310000000000002</v>
      </c>
      <c r="AI111" s="120">
        <f t="shared" si="24"/>
        <v>2.2649870625787272</v>
      </c>
      <c r="AJ111" s="121">
        <v>637</v>
      </c>
      <c r="AK111" s="120">
        <f t="shared" si="25"/>
        <v>6.4567696555721632</v>
      </c>
      <c r="AL111" s="108">
        <v>38.9</v>
      </c>
      <c r="AM111" s="119">
        <v>0</v>
      </c>
      <c r="AN111" s="120">
        <v>0</v>
      </c>
      <c r="AO111" s="96">
        <v>49.195</v>
      </c>
      <c r="AP111" s="94">
        <v>94.815399999999997</v>
      </c>
      <c r="AQ111" s="95">
        <v>4.5519299999999996</v>
      </c>
      <c r="AR111" s="94">
        <v>19.3</v>
      </c>
      <c r="AS111" s="95">
        <f t="shared" si="27"/>
        <v>2.9601050959108397</v>
      </c>
      <c r="AT111" s="96">
        <v>80.81</v>
      </c>
    </row>
    <row r="112" spans="1:46">
      <c r="A112" s="109">
        <v>11</v>
      </c>
      <c r="B112" s="110" t="s">
        <v>33</v>
      </c>
      <c r="C112" s="110" t="s">
        <v>32</v>
      </c>
      <c r="D112" s="111">
        <v>2010</v>
      </c>
      <c r="E112" s="109">
        <v>27.5</v>
      </c>
      <c r="F112" s="111">
        <f t="shared" si="14"/>
        <v>3.3141860046725258</v>
      </c>
      <c r="G112" s="93">
        <v>4.8996000000000004</v>
      </c>
      <c r="H112" s="93">
        <v>12000000000</v>
      </c>
      <c r="I112" s="94">
        <v>43556.5</v>
      </c>
      <c r="J112" s="95">
        <v>10.681800000000001</v>
      </c>
      <c r="K112" s="96">
        <v>0.64</v>
      </c>
      <c r="L112" s="109">
        <v>47.610999999999997</v>
      </c>
      <c r="M112" s="111">
        <f t="shared" si="15"/>
        <v>3.8630638269766049</v>
      </c>
      <c r="N112" s="112">
        <v>0.87970000000000004</v>
      </c>
      <c r="O112" s="113">
        <f t="shared" si="16"/>
        <v>-0.12817433872350817</v>
      </c>
      <c r="P112" s="109">
        <v>455</v>
      </c>
      <c r="Q112" s="111">
        <f t="shared" si="17"/>
        <v>6.1202974189509503</v>
      </c>
      <c r="R112" s="93">
        <v>32.799999</v>
      </c>
      <c r="S112" s="114">
        <v>88.5</v>
      </c>
      <c r="T112" s="113">
        <f t="shared" si="18"/>
        <v>4.4830025520138834</v>
      </c>
      <c r="U112" s="112">
        <v>1.7</v>
      </c>
      <c r="V112" s="113">
        <f t="shared" si="19"/>
        <v>0.53062825106217038</v>
      </c>
      <c r="W112" s="115">
        <v>250.2</v>
      </c>
      <c r="X112" s="101">
        <f t="shared" si="20"/>
        <v>5.522260598032811</v>
      </c>
      <c r="Y112" s="116">
        <v>3215</v>
      </c>
      <c r="Z112" s="102">
        <v>43125</v>
      </c>
      <c r="AA112" s="235">
        <v>2.81</v>
      </c>
      <c r="AB112" s="117">
        <f t="shared" si="21"/>
        <v>1.0331844833456545</v>
      </c>
      <c r="AC112" s="115">
        <v>100</v>
      </c>
      <c r="AD112" s="117">
        <f t="shared" si="22"/>
        <v>4.6051701859880918</v>
      </c>
      <c r="AE112" s="109">
        <v>10847.838</v>
      </c>
      <c r="AF112" s="111">
        <f t="shared" si="23"/>
        <v>9.2917210764403499</v>
      </c>
      <c r="AG112" s="118">
        <v>22.1</v>
      </c>
      <c r="AH112" s="119">
        <v>47.610999999999997</v>
      </c>
      <c r="AI112" s="120">
        <f t="shared" si="24"/>
        <v>3.8630638269766049</v>
      </c>
      <c r="AJ112" s="121">
        <v>455</v>
      </c>
      <c r="AK112" s="120">
        <f t="shared" si="25"/>
        <v>6.1202974189509503</v>
      </c>
      <c r="AL112" s="108">
        <v>32.799999999999997</v>
      </c>
      <c r="AM112" s="119">
        <v>10847.8</v>
      </c>
      <c r="AN112" s="120">
        <f t="shared" si="26"/>
        <v>9.2917175734320505</v>
      </c>
      <c r="AO112" s="96">
        <v>55.454900000000002</v>
      </c>
      <c r="AP112" s="94">
        <v>17.648399999999999</v>
      </c>
      <c r="AQ112" s="95">
        <v>2.8706499999999999</v>
      </c>
      <c r="AR112" s="94">
        <v>33.4</v>
      </c>
      <c r="AS112" s="95">
        <f t="shared" si="27"/>
        <v>3.5085558999826545</v>
      </c>
      <c r="AT112" s="96">
        <v>83.77</v>
      </c>
    </row>
    <row r="113" spans="1:46">
      <c r="A113" s="109">
        <v>11</v>
      </c>
      <c r="B113" s="110" t="s">
        <v>33</v>
      </c>
      <c r="C113" s="110" t="s">
        <v>32</v>
      </c>
      <c r="D113" s="111">
        <v>2011</v>
      </c>
      <c r="E113" s="109">
        <v>28</v>
      </c>
      <c r="F113" s="111">
        <f t="shared" si="14"/>
        <v>3.3322045101752038</v>
      </c>
      <c r="G113" s="93">
        <v>-2.1840600000000001</v>
      </c>
      <c r="H113" s="93">
        <v>-6000000000</v>
      </c>
      <c r="I113" s="94">
        <v>44391.5</v>
      </c>
      <c r="J113" s="95">
        <v>10.700799999999999</v>
      </c>
      <c r="K113" s="96">
        <v>0.62</v>
      </c>
      <c r="L113" s="109">
        <v>50.433998000000003</v>
      </c>
      <c r="M113" s="111">
        <f t="shared" si="15"/>
        <v>3.920665511153699</v>
      </c>
      <c r="N113" s="112">
        <v>0.92020000000000002</v>
      </c>
      <c r="O113" s="113">
        <f t="shared" si="16"/>
        <v>-8.3164241260768809E-2</v>
      </c>
      <c r="P113" s="109">
        <v>448</v>
      </c>
      <c r="Q113" s="111">
        <f t="shared" si="17"/>
        <v>6.1047932324149849</v>
      </c>
      <c r="R113" s="93">
        <v>34.799999</v>
      </c>
      <c r="S113" s="114">
        <v>89.1</v>
      </c>
      <c r="T113" s="113">
        <f t="shared" si="18"/>
        <v>4.4897593344767639</v>
      </c>
      <c r="U113" s="112">
        <v>11.4</v>
      </c>
      <c r="V113" s="113">
        <f t="shared" si="19"/>
        <v>2.4336133554004498</v>
      </c>
      <c r="W113" s="115">
        <v>106.8</v>
      </c>
      <c r="X113" s="101">
        <f t="shared" si="20"/>
        <v>4.6709579265260945</v>
      </c>
      <c r="Y113" s="116">
        <v>3203</v>
      </c>
      <c r="Z113" s="102">
        <v>43389</v>
      </c>
      <c r="AA113" s="235">
        <v>1.45</v>
      </c>
      <c r="AB113" s="117">
        <f t="shared" si="21"/>
        <v>0.37156355643248301</v>
      </c>
      <c r="AC113" s="115">
        <v>100</v>
      </c>
      <c r="AD113" s="117">
        <f t="shared" si="22"/>
        <v>4.6051701859880918</v>
      </c>
      <c r="AE113" s="109">
        <v>10946.99</v>
      </c>
      <c r="AF113" s="111">
        <f t="shared" si="23"/>
        <v>9.3008198116118592</v>
      </c>
      <c r="AG113" s="118">
        <v>22.7</v>
      </c>
      <c r="AH113" s="119">
        <v>50.433999999999997</v>
      </c>
      <c r="AI113" s="120">
        <f t="shared" si="24"/>
        <v>3.9206655508094879</v>
      </c>
      <c r="AJ113" s="121">
        <v>448</v>
      </c>
      <c r="AK113" s="120">
        <f t="shared" si="25"/>
        <v>6.1047932324149849</v>
      </c>
      <c r="AL113" s="108">
        <v>34.799999999999997</v>
      </c>
      <c r="AM113" s="119">
        <v>10947</v>
      </c>
      <c r="AN113" s="120">
        <f t="shared" si="26"/>
        <v>9.3008207251045576</v>
      </c>
      <c r="AO113" s="96">
        <v>59.393000000000001</v>
      </c>
      <c r="AP113" s="94">
        <v>17.731000000000002</v>
      </c>
      <c r="AQ113" s="95">
        <v>2.8753099999999998</v>
      </c>
      <c r="AR113" s="94">
        <v>35.1</v>
      </c>
      <c r="AS113" s="95">
        <f t="shared" si="27"/>
        <v>3.55820113047182</v>
      </c>
      <c r="AT113" s="96">
        <v>84.313000000000002</v>
      </c>
    </row>
    <row r="114" spans="1:46">
      <c r="A114" s="109">
        <v>11</v>
      </c>
      <c r="B114" s="110" t="s">
        <v>33</v>
      </c>
      <c r="C114" s="110" t="s">
        <v>32</v>
      </c>
      <c r="D114" s="111">
        <v>2012</v>
      </c>
      <c r="E114" s="109">
        <v>27</v>
      </c>
      <c r="F114" s="111">
        <f t="shared" si="14"/>
        <v>3.2958368660043291</v>
      </c>
      <c r="G114" s="93">
        <v>1.9151199999999999</v>
      </c>
      <c r="H114" s="93">
        <v>4900000000</v>
      </c>
      <c r="I114" s="94">
        <v>43507.9</v>
      </c>
      <c r="J114" s="95">
        <v>10.6807</v>
      </c>
      <c r="K114" s="96">
        <v>0.66</v>
      </c>
      <c r="L114" s="109">
        <v>49.250999</v>
      </c>
      <c r="M114" s="111">
        <f t="shared" si="15"/>
        <v>3.8969296516763343</v>
      </c>
      <c r="N114" s="112">
        <v>0.91439999999999999</v>
      </c>
      <c r="O114" s="113">
        <f t="shared" si="16"/>
        <v>-8.9487166501536167E-2</v>
      </c>
      <c r="P114" s="109">
        <v>456</v>
      </c>
      <c r="Q114" s="111">
        <f t="shared" si="17"/>
        <v>6.1224928095143865</v>
      </c>
      <c r="R114" s="93">
        <v>33.299999</v>
      </c>
      <c r="S114" s="114">
        <v>89.4</v>
      </c>
      <c r="T114" s="113">
        <f t="shared" si="18"/>
        <v>4.4931206821794687</v>
      </c>
      <c r="U114" s="112">
        <v>12.2</v>
      </c>
      <c r="V114" s="113">
        <f t="shared" si="19"/>
        <v>2.5014359517392109</v>
      </c>
      <c r="W114" s="115">
        <v>133.19999999999999</v>
      </c>
      <c r="X114" s="101">
        <f t="shared" si="20"/>
        <v>4.8918517581062888</v>
      </c>
      <c r="Y114" s="116">
        <v>3280</v>
      </c>
      <c r="Z114" s="102">
        <v>43654</v>
      </c>
      <c r="AA114" s="235">
        <v>2.17</v>
      </c>
      <c r="AB114" s="117">
        <f t="shared" si="21"/>
        <v>0.77472716755236815</v>
      </c>
      <c r="AC114" s="115">
        <v>104</v>
      </c>
      <c r="AD114" s="117">
        <f t="shared" si="22"/>
        <v>4.6443908991413725</v>
      </c>
      <c r="AE114" s="109">
        <v>10107.544</v>
      </c>
      <c r="AF114" s="111">
        <f t="shared" si="23"/>
        <v>9.2210373547085176</v>
      </c>
      <c r="AG114" s="118">
        <v>20.7</v>
      </c>
      <c r="AH114" s="119">
        <v>49.250999999999998</v>
      </c>
      <c r="AI114" s="120">
        <f t="shared" si="24"/>
        <v>3.8969296719804909</v>
      </c>
      <c r="AJ114" s="121">
        <v>456</v>
      </c>
      <c r="AK114" s="120">
        <f t="shared" si="25"/>
        <v>6.1224928095143865</v>
      </c>
      <c r="AL114" s="108">
        <v>33.299999999999997</v>
      </c>
      <c r="AM114" s="119">
        <v>10107.5</v>
      </c>
      <c r="AN114" s="120">
        <f t="shared" si="26"/>
        <v>9.2210330015149253</v>
      </c>
      <c r="AO114" s="96">
        <v>58.088500000000003</v>
      </c>
      <c r="AP114" s="94">
        <v>17.8156</v>
      </c>
      <c r="AQ114" s="95">
        <v>2.8800699999999999</v>
      </c>
      <c r="AR114" s="94">
        <v>38.700000000000003</v>
      </c>
      <c r="AS114" s="95">
        <f t="shared" si="27"/>
        <v>3.655839600035736</v>
      </c>
      <c r="AT114" s="96">
        <v>84.840999999999994</v>
      </c>
    </row>
    <row r="115" spans="1:46">
      <c r="A115" s="109">
        <v>11</v>
      </c>
      <c r="B115" s="110" t="s">
        <v>33</v>
      </c>
      <c r="C115" s="110" t="s">
        <v>32</v>
      </c>
      <c r="D115" s="111">
        <v>2013</v>
      </c>
      <c r="E115" s="109">
        <v>26.5</v>
      </c>
      <c r="F115" s="111">
        <f t="shared" si="14"/>
        <v>3.2771447329921766</v>
      </c>
      <c r="G115" s="93">
        <v>-1.8348899999999999</v>
      </c>
      <c r="H115" s="93">
        <v>-5000000000</v>
      </c>
      <c r="I115" s="94">
        <v>42883.6</v>
      </c>
      <c r="J115" s="95">
        <v>10.6662</v>
      </c>
      <c r="K115" s="96">
        <v>0.67</v>
      </c>
      <c r="L115" s="109">
        <v>54.707000999999998</v>
      </c>
      <c r="M115" s="111">
        <f t="shared" si="15"/>
        <v>4.0019916902691168</v>
      </c>
      <c r="N115" s="112">
        <v>0.79820000000000002</v>
      </c>
      <c r="O115" s="113">
        <f t="shared" si="16"/>
        <v>-0.22539608636750352</v>
      </c>
      <c r="P115" s="109">
        <v>464</v>
      </c>
      <c r="Q115" s="111">
        <f t="shared" si="17"/>
        <v>6.1398845522262553</v>
      </c>
      <c r="R115" s="93">
        <v>32.5</v>
      </c>
      <c r="S115" s="114">
        <v>87.9</v>
      </c>
      <c r="T115" s="113">
        <f t="shared" si="18"/>
        <v>4.4761998046911318</v>
      </c>
      <c r="U115" s="112">
        <v>7.9</v>
      </c>
      <c r="V115" s="113">
        <f t="shared" si="19"/>
        <v>2.066862759472976</v>
      </c>
      <c r="W115" s="115">
        <v>107.8</v>
      </c>
      <c r="X115" s="101">
        <f t="shared" si="20"/>
        <v>4.6802776584748971</v>
      </c>
      <c r="Y115" s="116">
        <v>3085</v>
      </c>
      <c r="Z115" s="102">
        <v>43299</v>
      </c>
      <c r="AA115" s="235">
        <v>2.75</v>
      </c>
      <c r="AB115" s="117">
        <f t="shared" si="21"/>
        <v>1.0116009116784799</v>
      </c>
      <c r="AC115" s="115">
        <v>105</v>
      </c>
      <c r="AD115" s="117">
        <f t="shared" si="22"/>
        <v>4.6539603501575231</v>
      </c>
      <c r="AE115" s="109">
        <v>9492.3857000000007</v>
      </c>
      <c r="AF115" s="111">
        <f t="shared" si="23"/>
        <v>9.1582452509483954</v>
      </c>
      <c r="AG115" s="118">
        <v>19.3</v>
      </c>
      <c r="AH115" s="119">
        <v>54.707000000000001</v>
      </c>
      <c r="AI115" s="120">
        <f t="shared" si="24"/>
        <v>4.0019916719899209</v>
      </c>
      <c r="AJ115" s="121">
        <v>464</v>
      </c>
      <c r="AK115" s="120">
        <f t="shared" si="25"/>
        <v>6.1398845522262553</v>
      </c>
      <c r="AL115" s="108">
        <v>32.5</v>
      </c>
      <c r="AM115" s="119">
        <v>9492.39</v>
      </c>
      <c r="AN115" s="120">
        <f t="shared" si="26"/>
        <v>9.1582457039429492</v>
      </c>
      <c r="AO115" s="96">
        <v>56.243099999999998</v>
      </c>
      <c r="AP115" s="94">
        <v>17.8978</v>
      </c>
      <c r="AQ115" s="95">
        <v>2.8846799999999999</v>
      </c>
      <c r="AR115" s="94">
        <v>38.5</v>
      </c>
      <c r="AS115" s="95">
        <f t="shared" si="27"/>
        <v>3.6506582412937387</v>
      </c>
      <c r="AT115" s="96">
        <v>85.125</v>
      </c>
    </row>
    <row r="116" spans="1:46">
      <c r="A116" s="109">
        <v>11</v>
      </c>
      <c r="B116" s="110" t="s">
        <v>33</v>
      </c>
      <c r="C116" s="110" t="s">
        <v>32</v>
      </c>
      <c r="D116" s="111">
        <v>2014</v>
      </c>
      <c r="E116" s="109">
        <v>25.5</v>
      </c>
      <c r="F116" s="111">
        <f t="shared" si="14"/>
        <v>3.2386784521643803</v>
      </c>
      <c r="G116" s="93">
        <v>6.4153700000000002</v>
      </c>
      <c r="H116" s="93">
        <v>18000000000</v>
      </c>
      <c r="I116" s="94">
        <v>42502.5</v>
      </c>
      <c r="J116" s="95">
        <v>10.657299999999999</v>
      </c>
      <c r="K116" s="96">
        <v>0.64</v>
      </c>
      <c r="L116" s="109">
        <v>48.973998999999999</v>
      </c>
      <c r="M116" s="111">
        <f t="shared" si="15"/>
        <v>3.8912895246222359</v>
      </c>
      <c r="N116" s="112">
        <v>0.91269999999999996</v>
      </c>
      <c r="O116" s="113">
        <f t="shared" si="16"/>
        <v>-9.1348039459305488E-2</v>
      </c>
      <c r="P116" s="109">
        <v>473</v>
      </c>
      <c r="Q116" s="111">
        <f t="shared" si="17"/>
        <v>6.1590953884919326</v>
      </c>
      <c r="R116" s="93">
        <v>32.5</v>
      </c>
      <c r="S116" s="114">
        <v>87.8</v>
      </c>
      <c r="T116" s="113">
        <f t="shared" si="18"/>
        <v>4.475061500641071</v>
      </c>
      <c r="U116" s="112">
        <v>5.5</v>
      </c>
      <c r="V116" s="113">
        <f t="shared" si="19"/>
        <v>1.7047480922384253</v>
      </c>
      <c r="W116" s="115">
        <v>221.5</v>
      </c>
      <c r="X116" s="101">
        <f t="shared" si="20"/>
        <v>5.4004225894851903</v>
      </c>
      <c r="Y116" s="116">
        <v>3041</v>
      </c>
      <c r="Z116" s="102">
        <v>42277</v>
      </c>
      <c r="AA116" s="235">
        <v>2.81</v>
      </c>
      <c r="AB116" s="117">
        <f t="shared" si="21"/>
        <v>1.0331844833456545</v>
      </c>
      <c r="AC116" s="115">
        <v>105</v>
      </c>
      <c r="AD116" s="117">
        <f t="shared" si="22"/>
        <v>4.6539603501575231</v>
      </c>
      <c r="AE116" s="109">
        <v>10024.521000000001</v>
      </c>
      <c r="AF116" s="111">
        <f t="shared" si="23"/>
        <v>9.2127894704846156</v>
      </c>
      <c r="AG116" s="118">
        <v>21.3</v>
      </c>
      <c r="AH116" s="119">
        <v>48.973999999999997</v>
      </c>
      <c r="AI116" s="120">
        <f t="shared" si="24"/>
        <v>3.8912895450412335</v>
      </c>
      <c r="AJ116" s="121">
        <v>473</v>
      </c>
      <c r="AK116" s="120">
        <f t="shared" si="25"/>
        <v>6.1590953884919326</v>
      </c>
      <c r="AL116" s="108">
        <v>32.5</v>
      </c>
      <c r="AM116" s="119">
        <v>10024.5</v>
      </c>
      <c r="AN116" s="120">
        <f t="shared" si="26"/>
        <v>9.212787375619234</v>
      </c>
      <c r="AO116" s="96">
        <v>55.250399999999999</v>
      </c>
      <c r="AP116" s="94">
        <v>17.972000000000001</v>
      </c>
      <c r="AQ116" s="95">
        <v>2.8888199999999999</v>
      </c>
      <c r="AR116" s="94">
        <v>41.2</v>
      </c>
      <c r="AS116" s="95">
        <f t="shared" si="27"/>
        <v>3.7184382563554808</v>
      </c>
      <c r="AT116" s="96">
        <v>85.174999999999997</v>
      </c>
    </row>
    <row r="117" spans="1:46">
      <c r="A117" s="109">
        <v>11</v>
      </c>
      <c r="B117" s="110" t="s">
        <v>33</v>
      </c>
      <c r="C117" s="110" t="s">
        <v>32</v>
      </c>
      <c r="D117" s="111">
        <v>2015</v>
      </c>
      <c r="E117" s="109">
        <v>26.1</v>
      </c>
      <c r="F117" s="111">
        <f t="shared" si="14"/>
        <v>3.2619353143286478</v>
      </c>
      <c r="G117" s="93">
        <v>7.5380099999999999</v>
      </c>
      <c r="H117" s="93">
        <v>18000000000</v>
      </c>
      <c r="I117" s="94">
        <v>42560.3</v>
      </c>
      <c r="J117" s="95">
        <v>10.6587</v>
      </c>
      <c r="K117" s="96">
        <v>0.66</v>
      </c>
      <c r="L117" s="109">
        <v>44.334000000000003</v>
      </c>
      <c r="M117" s="111">
        <f t="shared" si="15"/>
        <v>3.7917518770345655</v>
      </c>
      <c r="N117" s="112">
        <v>0.94159999999999999</v>
      </c>
      <c r="O117" s="113">
        <f t="shared" si="16"/>
        <v>-6.0174723036070098E-2</v>
      </c>
      <c r="P117" s="109">
        <v>475</v>
      </c>
      <c r="Q117" s="111">
        <f t="shared" si="17"/>
        <v>6.1633148040346413</v>
      </c>
      <c r="R117" s="93">
        <v>40.599997999999999</v>
      </c>
      <c r="S117" s="114">
        <v>92.5</v>
      </c>
      <c r="T117" s="113">
        <f t="shared" si="18"/>
        <v>4.5272086445183799</v>
      </c>
      <c r="U117" s="112">
        <v>4.9000000000000004</v>
      </c>
      <c r="V117" s="113">
        <f t="shared" si="19"/>
        <v>1.589235205116581</v>
      </c>
      <c r="W117" s="115">
        <v>401.8</v>
      </c>
      <c r="X117" s="101">
        <f t="shared" si="20"/>
        <v>5.9959544523808344</v>
      </c>
      <c r="Y117" s="116">
        <v>3161</v>
      </c>
      <c r="Z117" s="102">
        <v>41962</v>
      </c>
      <c r="AA117" s="235">
        <v>3.37</v>
      </c>
      <c r="AB117" s="117">
        <f t="shared" si="21"/>
        <v>1.2149127443642704</v>
      </c>
      <c r="AC117" s="115">
        <v>103</v>
      </c>
      <c r="AD117" s="117">
        <f t="shared" si="22"/>
        <v>4.6347289882296359</v>
      </c>
      <c r="AE117" s="109">
        <v>9470.6416000000008</v>
      </c>
      <c r="AF117" s="111">
        <f t="shared" si="23"/>
        <v>9.1559519346771179</v>
      </c>
      <c r="AG117" s="118">
        <v>20.6</v>
      </c>
      <c r="AH117" s="119">
        <v>44.334000000000003</v>
      </c>
      <c r="AI117" s="120">
        <f t="shared" si="24"/>
        <v>3.7917518770345655</v>
      </c>
      <c r="AJ117" s="121">
        <v>475</v>
      </c>
      <c r="AK117" s="120">
        <f t="shared" si="25"/>
        <v>6.1633148040346413</v>
      </c>
      <c r="AL117" s="108">
        <v>40.6</v>
      </c>
      <c r="AM117" s="119">
        <v>9470.64</v>
      </c>
      <c r="AN117" s="120">
        <f t="shared" si="26"/>
        <v>9.1559517657339562</v>
      </c>
      <c r="AO117" s="96">
        <v>51.561500000000002</v>
      </c>
      <c r="AP117" s="94">
        <v>18.030100000000001</v>
      </c>
      <c r="AQ117" s="95">
        <v>2.8920400000000002</v>
      </c>
      <c r="AR117" s="94">
        <v>43.2</v>
      </c>
      <c r="AS117" s="95">
        <f t="shared" si="27"/>
        <v>3.7658404952500648</v>
      </c>
      <c r="AT117" s="96">
        <v>85.224999999999994</v>
      </c>
    </row>
    <row r="118" spans="1:46">
      <c r="A118" s="109">
        <v>11</v>
      </c>
      <c r="B118" s="110" t="s">
        <v>33</v>
      </c>
      <c r="C118" s="110" t="s">
        <v>32</v>
      </c>
      <c r="D118" s="111">
        <v>2016</v>
      </c>
      <c r="E118" s="109">
        <v>25.3</v>
      </c>
      <c r="F118" s="111">
        <f t="shared" si="14"/>
        <v>3.2308043957334744</v>
      </c>
      <c r="G118" s="93">
        <v>2.1895199999999999</v>
      </c>
      <c r="H118" s="93">
        <v>5200000000</v>
      </c>
      <c r="I118" s="94">
        <v>43529.7</v>
      </c>
      <c r="J118" s="95">
        <v>10.6812</v>
      </c>
      <c r="K118" s="96">
        <v>0.65</v>
      </c>
      <c r="L118" s="109">
        <v>47.283000999999999</v>
      </c>
      <c r="M118" s="111">
        <f t="shared" si="15"/>
        <v>3.8561508440107635</v>
      </c>
      <c r="N118" s="112">
        <v>0.89670000000000005</v>
      </c>
      <c r="O118" s="113">
        <f t="shared" si="16"/>
        <v>-0.10903392102413513</v>
      </c>
      <c r="P118" s="109">
        <v>472</v>
      </c>
      <c r="Q118" s="111">
        <f t="shared" si="17"/>
        <v>6.156978985585555</v>
      </c>
      <c r="R118" s="93">
        <v>42.099997999999999</v>
      </c>
      <c r="S118" s="114">
        <v>88.9</v>
      </c>
      <c r="T118" s="113">
        <f t="shared" si="18"/>
        <v>4.4875121425198587</v>
      </c>
      <c r="U118" s="112">
        <v>3.8</v>
      </c>
      <c r="V118" s="113">
        <f t="shared" si="19"/>
        <v>1.33500106673234</v>
      </c>
      <c r="W118" s="115">
        <v>330.2</v>
      </c>
      <c r="X118" s="101">
        <f t="shared" si="20"/>
        <v>5.7996985314860279</v>
      </c>
      <c r="Y118" s="116">
        <v>3147</v>
      </c>
      <c r="Z118" s="102">
        <v>41816</v>
      </c>
      <c r="AA118" s="235">
        <v>3.45</v>
      </c>
      <c r="AB118" s="117">
        <f t="shared" si="21"/>
        <v>1.2383742310432684</v>
      </c>
      <c r="AC118" s="115">
        <v>103</v>
      </c>
      <c r="AD118" s="117">
        <f t="shared" si="22"/>
        <v>4.6347289882296359</v>
      </c>
      <c r="AE118" s="109">
        <v>9681.5419999999995</v>
      </c>
      <c r="AF118" s="111">
        <f t="shared" si="23"/>
        <v>9.1779764651047806</v>
      </c>
      <c r="AG118" s="118">
        <v>20.2</v>
      </c>
      <c r="AH118" s="119">
        <v>47.283000000000001</v>
      </c>
      <c r="AI118" s="120">
        <f t="shared" si="24"/>
        <v>3.8561508228615136</v>
      </c>
      <c r="AJ118" s="121">
        <v>472</v>
      </c>
      <c r="AK118" s="120">
        <f t="shared" si="25"/>
        <v>6.156978985585555</v>
      </c>
      <c r="AL118" s="108">
        <v>42.1</v>
      </c>
      <c r="AM118" s="119">
        <v>9681.5400000000009</v>
      </c>
      <c r="AN118" s="120">
        <f t="shared" si="26"/>
        <v>9.1779762585260976</v>
      </c>
      <c r="AO118" s="96">
        <v>49.731999999999999</v>
      </c>
      <c r="AP118" s="94">
        <v>18.082000000000001</v>
      </c>
      <c r="AQ118" s="95">
        <v>2.8949199999999999</v>
      </c>
      <c r="AR118" s="94">
        <v>42.4</v>
      </c>
      <c r="AS118" s="95">
        <f t="shared" si="27"/>
        <v>3.7471483622379123</v>
      </c>
      <c r="AT118" s="96">
        <v>85.275000000000006</v>
      </c>
    </row>
    <row r="119" spans="1:46">
      <c r="A119" s="109">
        <v>11</v>
      </c>
      <c r="B119" s="110" t="s">
        <v>33</v>
      </c>
      <c r="C119" s="110" t="s">
        <v>32</v>
      </c>
      <c r="D119" s="111">
        <v>2017</v>
      </c>
      <c r="E119" s="109">
        <v>26</v>
      </c>
      <c r="F119" s="111">
        <f t="shared" si="14"/>
        <v>3.2580965380214821</v>
      </c>
      <c r="G119" s="93">
        <v>6.6613699999999998</v>
      </c>
      <c r="H119" s="93">
        <v>17000000000</v>
      </c>
      <c r="I119" s="94">
        <v>44862.2</v>
      </c>
      <c r="J119" s="95">
        <v>10.711399999999999</v>
      </c>
      <c r="K119" s="96">
        <v>0.65</v>
      </c>
      <c r="L119" s="109">
        <v>45.014000000000003</v>
      </c>
      <c r="M119" s="111">
        <f t="shared" si="15"/>
        <v>3.8069735524964043</v>
      </c>
      <c r="N119" s="112">
        <v>0.95760000000000001</v>
      </c>
      <c r="O119" s="113">
        <f t="shared" si="16"/>
        <v>-4.3325124738373653E-2</v>
      </c>
      <c r="P119" s="109">
        <v>449</v>
      </c>
      <c r="Q119" s="111">
        <f t="shared" si="17"/>
        <v>6.1070228877422545</v>
      </c>
      <c r="R119" s="93">
        <v>40.5</v>
      </c>
      <c r="S119" s="114">
        <v>90</v>
      </c>
      <c r="T119" s="113">
        <f t="shared" si="18"/>
        <v>4.499809670330265</v>
      </c>
      <c r="U119" s="112">
        <v>4.4000000000000004</v>
      </c>
      <c r="V119" s="113">
        <f t="shared" si="19"/>
        <v>1.4816045409242156</v>
      </c>
      <c r="W119" s="115">
        <v>255.8</v>
      </c>
      <c r="X119" s="101">
        <f t="shared" si="20"/>
        <v>5.5443958891447425</v>
      </c>
      <c r="Y119" s="116">
        <v>3427</v>
      </c>
      <c r="Z119" s="102">
        <v>51148</v>
      </c>
      <c r="AA119" s="235">
        <v>3.41</v>
      </c>
      <c r="AB119" s="117">
        <f t="shared" si="21"/>
        <v>1.2267122912954254</v>
      </c>
      <c r="AC119" s="115">
        <v>101</v>
      </c>
      <c r="AD119" s="117">
        <f t="shared" si="22"/>
        <v>4.6151205168412597</v>
      </c>
      <c r="AE119" s="109">
        <v>9177.7587999999996</v>
      </c>
      <c r="AF119" s="111">
        <f t="shared" si="23"/>
        <v>9.1245383143741012</v>
      </c>
      <c r="AG119" s="118">
        <v>20.7</v>
      </c>
      <c r="AH119" s="119">
        <v>45.014000000000003</v>
      </c>
      <c r="AI119" s="120">
        <f t="shared" si="24"/>
        <v>3.8069735524964043</v>
      </c>
      <c r="AJ119" s="121">
        <v>449</v>
      </c>
      <c r="AK119" s="120">
        <f t="shared" si="25"/>
        <v>6.1070228877422545</v>
      </c>
      <c r="AL119" s="108">
        <v>40.5</v>
      </c>
      <c r="AM119" s="119">
        <v>9177.76</v>
      </c>
      <c r="AN119" s="120">
        <f t="shared" si="26"/>
        <v>9.1245384451249691</v>
      </c>
      <c r="AO119" s="96">
        <v>54.623199999999997</v>
      </c>
      <c r="AP119" s="94">
        <v>18.123899999999999</v>
      </c>
      <c r="AQ119" s="95">
        <v>2.89723</v>
      </c>
      <c r="AR119" s="94">
        <v>44.4</v>
      </c>
      <c r="AS119" s="95">
        <f t="shared" si="27"/>
        <v>3.7932394694381792</v>
      </c>
      <c r="AT119" s="96">
        <v>85.325000000000003</v>
      </c>
    </row>
    <row r="120" spans="1:46">
      <c r="A120" s="109">
        <v>11</v>
      </c>
      <c r="B120" s="110" t="s">
        <v>33</v>
      </c>
      <c r="C120" s="110" t="s">
        <v>32</v>
      </c>
      <c r="D120" s="111">
        <v>2018</v>
      </c>
      <c r="E120" s="109">
        <v>26.1</v>
      </c>
      <c r="F120" s="111">
        <f t="shared" si="14"/>
        <v>3.2619353143286478</v>
      </c>
      <c r="G120" s="93">
        <v>-3.84457</v>
      </c>
      <c r="H120" s="93">
        <v>-11000000000</v>
      </c>
      <c r="I120" s="94">
        <v>45337.2</v>
      </c>
      <c r="J120" s="95">
        <v>10.7219</v>
      </c>
      <c r="K120" s="96">
        <v>0.63</v>
      </c>
      <c r="L120" s="109">
        <v>49.93</v>
      </c>
      <c r="M120" s="111">
        <f t="shared" si="15"/>
        <v>3.9106220245125178</v>
      </c>
      <c r="N120" s="112">
        <v>0.87250000000000005</v>
      </c>
      <c r="O120" s="113">
        <f t="shared" si="16"/>
        <v>-0.13639262490555476</v>
      </c>
      <c r="P120" s="109">
        <v>467</v>
      </c>
      <c r="Q120" s="111">
        <f t="shared" si="17"/>
        <v>6.1463292576688975</v>
      </c>
      <c r="R120" s="93">
        <v>42.299999</v>
      </c>
      <c r="S120" s="114">
        <v>89.7</v>
      </c>
      <c r="T120" s="113">
        <f t="shared" si="18"/>
        <v>4.4964707690647501</v>
      </c>
      <c r="U120" s="112">
        <v>4.4000000000000004</v>
      </c>
      <c r="V120" s="113">
        <f t="shared" si="19"/>
        <v>1.4816045409242156</v>
      </c>
      <c r="W120" s="115">
        <v>418.5</v>
      </c>
      <c r="X120" s="101">
        <f t="shared" si="20"/>
        <v>6.03667688992953</v>
      </c>
      <c r="Y120" s="116">
        <v>4114</v>
      </c>
      <c r="Z120" s="102">
        <v>60513</v>
      </c>
      <c r="AA120" s="235">
        <v>3.38</v>
      </c>
      <c r="AB120" s="117">
        <f t="shared" si="21"/>
        <v>1.2178757094949273</v>
      </c>
      <c r="AC120" s="115">
        <v>103</v>
      </c>
      <c r="AD120" s="117">
        <f t="shared" si="22"/>
        <v>4.6347289882296359</v>
      </c>
      <c r="AE120" s="109">
        <v>7878.7007000000003</v>
      </c>
      <c r="AF120" s="111">
        <f t="shared" si="23"/>
        <v>8.9719182834699662</v>
      </c>
      <c r="AG120" s="118">
        <v>19.8</v>
      </c>
      <c r="AH120" s="119">
        <v>49.93</v>
      </c>
      <c r="AI120" s="120">
        <f t="shared" si="24"/>
        <v>3.9106220245125178</v>
      </c>
      <c r="AJ120" s="121">
        <v>467</v>
      </c>
      <c r="AK120" s="120">
        <f t="shared" si="25"/>
        <v>6.1463292576688975</v>
      </c>
      <c r="AL120" s="108">
        <v>42.3</v>
      </c>
      <c r="AM120" s="119">
        <v>7878.7</v>
      </c>
      <c r="AN120" s="120">
        <f t="shared" si="26"/>
        <v>8.9719181946228268</v>
      </c>
      <c r="AO120" s="96">
        <v>56.411200000000001</v>
      </c>
      <c r="AP120" s="94">
        <v>18.1479</v>
      </c>
      <c r="AQ120" s="95">
        <v>2.8985599999999998</v>
      </c>
      <c r="AR120" s="94">
        <v>44.2</v>
      </c>
      <c r="AS120" s="95">
        <f t="shared" si="27"/>
        <v>3.7887247890836524</v>
      </c>
      <c r="AT120" s="96">
        <v>85.382000000000005</v>
      </c>
    </row>
    <row r="121" spans="1:46">
      <c r="A121" s="109">
        <v>11</v>
      </c>
      <c r="B121" s="110" t="s">
        <v>33</v>
      </c>
      <c r="C121" s="110" t="s">
        <v>32</v>
      </c>
      <c r="D121" s="111">
        <v>2019</v>
      </c>
      <c r="E121" s="109">
        <v>26.7</v>
      </c>
      <c r="F121" s="111">
        <f t="shared" si="14"/>
        <v>3.2846635654062037</v>
      </c>
      <c r="G121" s="93">
        <v>6.0970800000000001</v>
      </c>
      <c r="H121" s="93">
        <v>16000000000</v>
      </c>
      <c r="I121" s="94">
        <v>45898.6</v>
      </c>
      <c r="J121" s="95">
        <v>10.7342</v>
      </c>
      <c r="K121" s="96">
        <v>0.64</v>
      </c>
      <c r="L121" s="109">
        <v>47.685001</v>
      </c>
      <c r="M121" s="111">
        <f t="shared" si="15"/>
        <v>3.8646169040018306</v>
      </c>
      <c r="N121" s="112">
        <v>0.92779999999999996</v>
      </c>
      <c r="O121" s="113">
        <f t="shared" si="16"/>
        <v>-7.4939086664493795E-2</v>
      </c>
      <c r="P121" s="109">
        <v>466</v>
      </c>
      <c r="Q121" s="111">
        <f t="shared" si="17"/>
        <v>6.1441856341256456</v>
      </c>
      <c r="R121" s="93">
        <v>43.5</v>
      </c>
      <c r="S121" s="114">
        <v>87.8</v>
      </c>
      <c r="T121" s="113">
        <f t="shared" si="18"/>
        <v>4.475061500641071</v>
      </c>
      <c r="U121" s="112">
        <v>4.5</v>
      </c>
      <c r="V121" s="113">
        <f t="shared" si="19"/>
        <v>1.5040773967762742</v>
      </c>
      <c r="W121" s="115">
        <v>1010.4</v>
      </c>
      <c r="X121" s="101">
        <f t="shared" si="20"/>
        <v>6.9181015710362814</v>
      </c>
      <c r="Y121" s="116">
        <v>3850</v>
      </c>
      <c r="Z121" s="102">
        <v>47235</v>
      </c>
      <c r="AA121" s="235">
        <v>2.97</v>
      </c>
      <c r="AB121" s="117">
        <f t="shared" si="21"/>
        <v>1.0885619528146082</v>
      </c>
      <c r="AC121" s="115">
        <v>101</v>
      </c>
      <c r="AD121" s="117">
        <f t="shared" si="22"/>
        <v>4.6151205168412597</v>
      </c>
      <c r="AE121" s="109">
        <v>6579.6426000000001</v>
      </c>
      <c r="AF121" s="111">
        <f t="shared" si="23"/>
        <v>8.7917357067347677</v>
      </c>
      <c r="AG121" s="118">
        <v>19.5</v>
      </c>
      <c r="AH121" s="119">
        <v>47.685000000000002</v>
      </c>
      <c r="AI121" s="120">
        <f t="shared" si="24"/>
        <v>3.8646168830308758</v>
      </c>
      <c r="AJ121" s="121">
        <v>466</v>
      </c>
      <c r="AK121" s="120">
        <f t="shared" si="25"/>
        <v>6.1441856341256456</v>
      </c>
      <c r="AL121" s="108">
        <v>43.5</v>
      </c>
      <c r="AM121" s="119">
        <v>0</v>
      </c>
      <c r="AN121" s="120">
        <v>0</v>
      </c>
      <c r="AO121" s="96">
        <v>55.122</v>
      </c>
      <c r="AP121" s="94">
        <v>18.167400000000001</v>
      </c>
      <c r="AQ121" s="95">
        <v>2.8996300000000002</v>
      </c>
      <c r="AR121" s="94">
        <v>45.4</v>
      </c>
      <c r="AS121" s="95">
        <f t="shared" si="27"/>
        <v>3.8155121050473024</v>
      </c>
      <c r="AT121" s="96">
        <v>85.445999999999998</v>
      </c>
    </row>
    <row r="122" spans="1:46">
      <c r="A122" s="109">
        <v>11</v>
      </c>
      <c r="B122" s="110" t="s">
        <v>33</v>
      </c>
      <c r="C122" s="110" t="s">
        <v>32</v>
      </c>
      <c r="D122" s="111">
        <v>2020</v>
      </c>
      <c r="E122" s="109">
        <v>27.2</v>
      </c>
      <c r="F122" s="111">
        <f t="shared" si="14"/>
        <v>3.3032169733019514</v>
      </c>
      <c r="G122" s="93">
        <v>-0.939114</v>
      </c>
      <c r="H122" s="93">
        <v>-2500000000</v>
      </c>
      <c r="I122" s="94">
        <v>44691</v>
      </c>
      <c r="J122" s="95">
        <v>10.7075</v>
      </c>
      <c r="K122" s="96">
        <v>0.65</v>
      </c>
      <c r="L122" s="109">
        <v>48.800998999999997</v>
      </c>
      <c r="M122" s="111">
        <f t="shared" si="15"/>
        <v>3.8877507839610423</v>
      </c>
      <c r="N122" s="112">
        <v>0.90129999999999999</v>
      </c>
      <c r="O122" s="113">
        <f t="shared" si="16"/>
        <v>-0.10391711341977297</v>
      </c>
      <c r="P122" s="109">
        <v>502</v>
      </c>
      <c r="Q122" s="111">
        <f t="shared" si="17"/>
        <v>6.2186001196917289</v>
      </c>
      <c r="R122" s="93">
        <v>42.099997999999999</v>
      </c>
      <c r="S122" s="114">
        <v>90.8</v>
      </c>
      <c r="T122" s="113">
        <f t="shared" si="18"/>
        <v>4.5086592856072478</v>
      </c>
      <c r="U122" s="112">
        <v>4.4000000000000004</v>
      </c>
      <c r="V122" s="113">
        <f t="shared" si="19"/>
        <v>1.4816045409242156</v>
      </c>
      <c r="W122" s="115">
        <v>521.5</v>
      </c>
      <c r="X122" s="101">
        <f t="shared" si="20"/>
        <v>6.2567092744408273</v>
      </c>
      <c r="Y122" s="116">
        <v>3539</v>
      </c>
      <c r="Z122" s="102">
        <v>41951</v>
      </c>
      <c r="AA122" s="235">
        <v>2.71</v>
      </c>
      <c r="AB122" s="117">
        <f t="shared" si="21"/>
        <v>0.99694863489160956</v>
      </c>
      <c r="AC122" s="115">
        <v>99</v>
      </c>
      <c r="AD122" s="117">
        <f t="shared" si="22"/>
        <v>4.5951198501345898</v>
      </c>
      <c r="AE122" s="109">
        <v>5280.5844999999999</v>
      </c>
      <c r="AF122" s="111">
        <f t="shared" si="23"/>
        <v>8.5717920713310054</v>
      </c>
      <c r="AG122" s="118">
        <v>18.8</v>
      </c>
      <c r="AH122" s="119">
        <v>48.801000000000002</v>
      </c>
      <c r="AI122" s="120">
        <f t="shared" si="24"/>
        <v>3.887750804452426</v>
      </c>
      <c r="AJ122" s="121">
        <v>502</v>
      </c>
      <c r="AK122" s="120">
        <f t="shared" si="25"/>
        <v>6.2186001196917289</v>
      </c>
      <c r="AL122" s="108">
        <v>42.1</v>
      </c>
      <c r="AM122" s="119">
        <v>0</v>
      </c>
      <c r="AN122" s="120">
        <v>0</v>
      </c>
      <c r="AO122" s="96">
        <v>49.810299999999998</v>
      </c>
      <c r="AP122" s="94">
        <v>18.192900000000002</v>
      </c>
      <c r="AQ122" s="95">
        <v>2.90103</v>
      </c>
      <c r="AR122" s="94">
        <v>47.3</v>
      </c>
      <c r="AS122" s="95">
        <f t="shared" si="27"/>
        <v>3.8565102954978872</v>
      </c>
      <c r="AT122" s="96">
        <v>85.516999999999996</v>
      </c>
    </row>
    <row r="123" spans="1:46">
      <c r="A123" s="109">
        <v>12</v>
      </c>
      <c r="B123" s="110" t="s">
        <v>31</v>
      </c>
      <c r="C123" s="110" t="s">
        <v>30</v>
      </c>
      <c r="D123" s="111">
        <v>2010</v>
      </c>
      <c r="E123" s="109">
        <v>17.5</v>
      </c>
      <c r="F123" s="111">
        <f t="shared" si="14"/>
        <v>2.8622008809294686</v>
      </c>
      <c r="G123" s="93">
        <v>1.4696199999999999</v>
      </c>
      <c r="H123" s="93">
        <v>39000000000</v>
      </c>
      <c r="I123" s="94">
        <v>35578.199999999997</v>
      </c>
      <c r="J123" s="95">
        <v>10.4795</v>
      </c>
      <c r="K123" s="96">
        <v>0.8</v>
      </c>
      <c r="L123" s="109">
        <v>14.840999999999999</v>
      </c>
      <c r="M123" s="111">
        <f t="shared" si="15"/>
        <v>2.6973936209136813</v>
      </c>
      <c r="N123" s="112">
        <v>2.6598999999999999</v>
      </c>
      <c r="O123" s="113">
        <f t="shared" si="16"/>
        <v>0.97828852810197375</v>
      </c>
      <c r="P123" s="109">
        <v>505</v>
      </c>
      <c r="Q123" s="111">
        <f t="shared" si="17"/>
        <v>6.2245584292753602</v>
      </c>
      <c r="R123" s="93">
        <v>36</v>
      </c>
      <c r="S123" s="114">
        <v>77.400000000000006</v>
      </c>
      <c r="T123" s="113">
        <f t="shared" si="18"/>
        <v>4.3489867805956814</v>
      </c>
      <c r="U123" s="112">
        <v>17.5</v>
      </c>
      <c r="V123" s="113">
        <f t="shared" si="19"/>
        <v>2.8622008809294686</v>
      </c>
      <c r="W123" s="115">
        <v>9241.1</v>
      </c>
      <c r="X123" s="101">
        <f t="shared" si="20"/>
        <v>9.1314162051691721</v>
      </c>
      <c r="Y123" s="116">
        <v>36527</v>
      </c>
      <c r="Z123" s="102">
        <v>472910</v>
      </c>
      <c r="AA123" s="235">
        <v>0.73</v>
      </c>
      <c r="AB123" s="117">
        <f t="shared" si="21"/>
        <v>-0.31471074483970024</v>
      </c>
      <c r="AC123" s="115">
        <v>100</v>
      </c>
      <c r="AD123" s="117">
        <f t="shared" si="22"/>
        <v>4.6051701859880918</v>
      </c>
      <c r="AE123" s="109">
        <v>5882.3456999999999</v>
      </c>
      <c r="AF123" s="111">
        <f t="shared" si="23"/>
        <v>8.6797108899132542</v>
      </c>
      <c r="AG123" s="118">
        <v>34.6</v>
      </c>
      <c r="AH123" s="119">
        <v>14.840999999999999</v>
      </c>
      <c r="AI123" s="120">
        <f t="shared" si="24"/>
        <v>2.6973936209136813</v>
      </c>
      <c r="AJ123" s="121">
        <v>505</v>
      </c>
      <c r="AK123" s="120">
        <f t="shared" si="25"/>
        <v>6.2245584292753602</v>
      </c>
      <c r="AL123" s="108">
        <v>36</v>
      </c>
      <c r="AM123" s="119">
        <v>5882.35</v>
      </c>
      <c r="AN123" s="120">
        <f t="shared" si="26"/>
        <v>8.6797116209138867</v>
      </c>
      <c r="AO123" s="96">
        <v>42.884999999999998</v>
      </c>
      <c r="AP123" s="94">
        <v>118.75700000000001</v>
      </c>
      <c r="AQ123" s="95">
        <v>4.7770799999999998</v>
      </c>
      <c r="AR123" s="94">
        <v>11.9</v>
      </c>
      <c r="AS123" s="95">
        <f t="shared" si="27"/>
        <v>2.4765384001174837</v>
      </c>
      <c r="AT123" s="96">
        <v>78.369</v>
      </c>
    </row>
    <row r="124" spans="1:46">
      <c r="A124" s="109">
        <v>12</v>
      </c>
      <c r="B124" s="110" t="s">
        <v>31</v>
      </c>
      <c r="C124" s="110" t="s">
        <v>30</v>
      </c>
      <c r="D124" s="111">
        <v>2011</v>
      </c>
      <c r="E124" s="109">
        <v>17.5</v>
      </c>
      <c r="F124" s="111">
        <f t="shared" si="14"/>
        <v>2.8622008809294686</v>
      </c>
      <c r="G124" s="93">
        <v>1.5400499999999999</v>
      </c>
      <c r="H124" s="93">
        <v>44000000000</v>
      </c>
      <c r="I124" s="94">
        <v>36270</v>
      </c>
      <c r="J124" s="95">
        <v>10.498699999999999</v>
      </c>
      <c r="K124" s="96">
        <v>0.81</v>
      </c>
      <c r="L124" s="109">
        <v>15.612</v>
      </c>
      <c r="M124" s="111">
        <f t="shared" si="15"/>
        <v>2.7480398493183684</v>
      </c>
      <c r="N124" s="112">
        <v>2.6530999999999998</v>
      </c>
      <c r="O124" s="113">
        <f t="shared" si="16"/>
        <v>0.97572876762276739</v>
      </c>
      <c r="P124" s="109">
        <v>506</v>
      </c>
      <c r="Q124" s="111">
        <f t="shared" si="17"/>
        <v>6.2265366692874657</v>
      </c>
      <c r="R124" s="93">
        <v>36.799999</v>
      </c>
      <c r="S124" s="114">
        <v>77.900000000000006</v>
      </c>
      <c r="T124" s="113">
        <f t="shared" si="18"/>
        <v>4.3554259528767023</v>
      </c>
      <c r="U124" s="112">
        <v>16.899999999999999</v>
      </c>
      <c r="V124" s="113">
        <f t="shared" si="19"/>
        <v>2.8273136219290276</v>
      </c>
      <c r="W124" s="115">
        <v>8699.4</v>
      </c>
      <c r="X124" s="101">
        <f t="shared" si="20"/>
        <v>9.0710093367472027</v>
      </c>
      <c r="Y124" s="116">
        <v>37212</v>
      </c>
      <c r="Z124" s="102">
        <v>465081</v>
      </c>
      <c r="AA124" s="235">
        <v>0.57999999999999996</v>
      </c>
      <c r="AB124" s="117">
        <f t="shared" si="21"/>
        <v>-0.54472717544167215</v>
      </c>
      <c r="AC124" s="115">
        <v>98</v>
      </c>
      <c r="AD124" s="117">
        <f t="shared" si="22"/>
        <v>4.5849674786705723</v>
      </c>
      <c r="AE124" s="109">
        <v>5781.2529000000004</v>
      </c>
      <c r="AF124" s="111">
        <f t="shared" si="23"/>
        <v>8.6623757028822315</v>
      </c>
      <c r="AG124" s="118">
        <v>37.299999999999997</v>
      </c>
      <c r="AH124" s="119">
        <v>15.612</v>
      </c>
      <c r="AI124" s="120">
        <f t="shared" si="24"/>
        <v>2.7480398493183684</v>
      </c>
      <c r="AJ124" s="121">
        <v>506</v>
      </c>
      <c r="AK124" s="120">
        <f t="shared" si="25"/>
        <v>6.2265366692874657</v>
      </c>
      <c r="AL124" s="108">
        <v>36.799999999999997</v>
      </c>
      <c r="AM124" s="119">
        <v>5781.25</v>
      </c>
      <c r="AN124" s="120">
        <f t="shared" si="26"/>
        <v>8.6623752012607351</v>
      </c>
      <c r="AO124" s="96">
        <v>45.864600000000003</v>
      </c>
      <c r="AP124" s="94">
        <v>119.33199999999999</v>
      </c>
      <c r="AQ124" s="95">
        <v>4.7819099999999999</v>
      </c>
      <c r="AR124" s="94">
        <v>10.6</v>
      </c>
      <c r="AS124" s="95">
        <f t="shared" si="27"/>
        <v>2.3608540011180215</v>
      </c>
      <c r="AT124" s="96">
        <v>78.622</v>
      </c>
    </row>
    <row r="125" spans="1:46">
      <c r="A125" s="109">
        <v>12</v>
      </c>
      <c r="B125" s="110" t="s">
        <v>31</v>
      </c>
      <c r="C125" s="110" t="s">
        <v>30</v>
      </c>
      <c r="D125" s="111">
        <v>2012</v>
      </c>
      <c r="E125" s="109">
        <v>18.5</v>
      </c>
      <c r="F125" s="111">
        <f t="shared" si="14"/>
        <v>2.917770732084279</v>
      </c>
      <c r="G125" s="93">
        <v>1.2279</v>
      </c>
      <c r="H125" s="93">
        <v>33000000000</v>
      </c>
      <c r="I125" s="94">
        <v>36161.300000000003</v>
      </c>
      <c r="J125" s="95">
        <v>10.495699999999999</v>
      </c>
      <c r="K125" s="96">
        <v>0.77</v>
      </c>
      <c r="L125" s="109">
        <v>14.821999999999999</v>
      </c>
      <c r="M125" s="111">
        <f t="shared" si="15"/>
        <v>2.6961125635291672</v>
      </c>
      <c r="N125" s="112">
        <v>2.7191000000000001</v>
      </c>
      <c r="O125" s="113">
        <f t="shared" si="16"/>
        <v>1.0003009432013208</v>
      </c>
      <c r="P125" s="109">
        <v>493</v>
      </c>
      <c r="Q125" s="111">
        <f t="shared" si="17"/>
        <v>6.2005091740426899</v>
      </c>
      <c r="R125" s="93">
        <v>37.700001</v>
      </c>
      <c r="S125" s="114">
        <v>76.7</v>
      </c>
      <c r="T125" s="113">
        <f t="shared" si="18"/>
        <v>4.3399017083732101</v>
      </c>
      <c r="U125" s="112">
        <v>16.8</v>
      </c>
      <c r="V125" s="113">
        <f t="shared" si="19"/>
        <v>2.8213788864092133</v>
      </c>
      <c r="W125" s="115">
        <v>8494.2999999999993</v>
      </c>
      <c r="X125" s="101">
        <f t="shared" si="20"/>
        <v>9.0471506292982546</v>
      </c>
      <c r="Y125" s="116">
        <v>37549</v>
      </c>
      <c r="Z125" s="102">
        <v>487496</v>
      </c>
      <c r="AA125" s="235">
        <v>0.8</v>
      </c>
      <c r="AB125" s="117">
        <f t="shared" si="21"/>
        <v>-0.22314355131420971</v>
      </c>
      <c r="AC125" s="115">
        <v>100</v>
      </c>
      <c r="AD125" s="117">
        <f t="shared" si="22"/>
        <v>4.6051701859880918</v>
      </c>
      <c r="AE125" s="109">
        <v>5403.9058000000005</v>
      </c>
      <c r="AF125" s="111">
        <f t="shared" si="23"/>
        <v>8.5948772673959599</v>
      </c>
      <c r="AG125" s="118">
        <v>37.5</v>
      </c>
      <c r="AH125" s="119">
        <v>14.821999999999999</v>
      </c>
      <c r="AI125" s="120">
        <f t="shared" si="24"/>
        <v>2.6961125635291672</v>
      </c>
      <c r="AJ125" s="121">
        <v>493</v>
      </c>
      <c r="AK125" s="120">
        <f t="shared" si="25"/>
        <v>6.2005091740426899</v>
      </c>
      <c r="AL125" s="108">
        <v>37.700000000000003</v>
      </c>
      <c r="AM125" s="119">
        <v>5403.91</v>
      </c>
      <c r="AN125" s="120">
        <f t="shared" si="26"/>
        <v>8.5948780446112796</v>
      </c>
      <c r="AO125" s="96">
        <v>46.333199999999998</v>
      </c>
      <c r="AP125" s="94">
        <v>119.91</v>
      </c>
      <c r="AQ125" s="95">
        <v>4.78674</v>
      </c>
      <c r="AR125" s="94">
        <v>12.3</v>
      </c>
      <c r="AS125" s="95">
        <f t="shared" si="27"/>
        <v>2.5095992623783721</v>
      </c>
      <c r="AT125" s="96">
        <v>78.878</v>
      </c>
    </row>
    <row r="126" spans="1:46">
      <c r="A126" s="109">
        <v>12</v>
      </c>
      <c r="B126" s="110" t="s">
        <v>31</v>
      </c>
      <c r="C126" s="110" t="s">
        <v>30</v>
      </c>
      <c r="D126" s="111">
        <v>2013</v>
      </c>
      <c r="E126" s="109">
        <v>18.5</v>
      </c>
      <c r="F126" s="111">
        <f t="shared" si="14"/>
        <v>2.917770732084279</v>
      </c>
      <c r="G126" s="93">
        <v>1.1882299999999999</v>
      </c>
      <c r="H126" s="93">
        <v>33000000000</v>
      </c>
      <c r="I126" s="94">
        <v>36256.1</v>
      </c>
      <c r="J126" s="95">
        <v>10.4984</v>
      </c>
      <c r="K126" s="96">
        <v>0.75</v>
      </c>
      <c r="L126" s="109">
        <v>14.484999999999999</v>
      </c>
      <c r="M126" s="111">
        <f t="shared" si="15"/>
        <v>2.6731136312213137</v>
      </c>
      <c r="N126" s="112">
        <v>2.7343999999999999</v>
      </c>
      <c r="O126" s="113">
        <f t="shared" si="16"/>
        <v>1.0059120333791893</v>
      </c>
      <c r="P126" s="109">
        <v>482</v>
      </c>
      <c r="Q126" s="111">
        <f t="shared" si="17"/>
        <v>6.1779441140506002</v>
      </c>
      <c r="R126" s="93">
        <v>38.700001</v>
      </c>
      <c r="S126" s="114">
        <v>78.7</v>
      </c>
      <c r="T126" s="113">
        <f t="shared" si="18"/>
        <v>4.3656431554233572</v>
      </c>
      <c r="U126" s="112">
        <v>17.2</v>
      </c>
      <c r="V126" s="113">
        <f t="shared" si="19"/>
        <v>2.8449093838194073</v>
      </c>
      <c r="W126" s="115">
        <v>7832</v>
      </c>
      <c r="X126" s="101">
        <f t="shared" si="20"/>
        <v>8.9659731842103465</v>
      </c>
      <c r="Y126" s="116">
        <v>37728</v>
      </c>
      <c r="Z126" s="102">
        <v>487874</v>
      </c>
      <c r="AA126" s="235">
        <v>0.6</v>
      </c>
      <c r="AB126" s="117">
        <f t="shared" si="21"/>
        <v>-0.51082562376599072</v>
      </c>
      <c r="AC126" s="115">
        <v>101</v>
      </c>
      <c r="AD126" s="117">
        <f t="shared" si="22"/>
        <v>4.6151205168412597</v>
      </c>
      <c r="AE126" s="109">
        <v>5380.1171999999997</v>
      </c>
      <c r="AF126" s="111">
        <f t="shared" si="23"/>
        <v>8.5904654373051716</v>
      </c>
      <c r="AG126" s="118">
        <v>37.4</v>
      </c>
      <c r="AH126" s="119">
        <v>14.484999999999999</v>
      </c>
      <c r="AI126" s="120">
        <f t="shared" si="24"/>
        <v>2.6731136312213137</v>
      </c>
      <c r="AJ126" s="121">
        <v>482</v>
      </c>
      <c r="AK126" s="120">
        <f t="shared" si="25"/>
        <v>6.1779441140506002</v>
      </c>
      <c r="AL126" s="108">
        <v>38.700000000000003</v>
      </c>
      <c r="AM126" s="119">
        <v>5380.12</v>
      </c>
      <c r="AN126" s="120">
        <f t="shared" si="26"/>
        <v>8.590465957739795</v>
      </c>
      <c r="AO126" s="96">
        <v>44.8294</v>
      </c>
      <c r="AP126" s="94">
        <v>120.532</v>
      </c>
      <c r="AQ126" s="95">
        <v>4.7919099999999997</v>
      </c>
      <c r="AR126" s="94">
        <v>13.4</v>
      </c>
      <c r="AS126" s="95">
        <f t="shared" si="27"/>
        <v>2.5952547069568657</v>
      </c>
      <c r="AT126" s="96">
        <v>79.135000000000005</v>
      </c>
    </row>
    <row r="127" spans="1:46">
      <c r="A127" s="109">
        <v>12</v>
      </c>
      <c r="B127" s="110" t="s">
        <v>31</v>
      </c>
      <c r="C127" s="110" t="s">
        <v>30</v>
      </c>
      <c r="D127" s="111">
        <v>2014</v>
      </c>
      <c r="E127" s="109">
        <v>18.3</v>
      </c>
      <c r="F127" s="111">
        <f t="shared" si="14"/>
        <v>2.9069010598473755</v>
      </c>
      <c r="G127" s="93">
        <v>0.17697399999999999</v>
      </c>
      <c r="H127" s="93">
        <v>5100000000</v>
      </c>
      <c r="I127" s="94">
        <v>36444.400000000001</v>
      </c>
      <c r="J127" s="95">
        <v>10.503500000000001</v>
      </c>
      <c r="K127" s="96">
        <v>0.77</v>
      </c>
      <c r="L127" s="109">
        <v>14.532999999999999</v>
      </c>
      <c r="M127" s="111">
        <f t="shared" si="15"/>
        <v>2.6764219256440334</v>
      </c>
      <c r="N127" s="112">
        <v>2.7926000000000002</v>
      </c>
      <c r="O127" s="113">
        <f t="shared" si="16"/>
        <v>1.0269730615259574</v>
      </c>
      <c r="P127" s="109">
        <v>500</v>
      </c>
      <c r="Q127" s="111">
        <f t="shared" si="17"/>
        <v>6.2146080984221914</v>
      </c>
      <c r="R127" s="93">
        <v>39.700001</v>
      </c>
      <c r="S127" s="114">
        <v>80.8</v>
      </c>
      <c r="T127" s="113">
        <f t="shared" si="18"/>
        <v>4.39197696552705</v>
      </c>
      <c r="U127" s="112">
        <v>17.8</v>
      </c>
      <c r="V127" s="113">
        <f t="shared" si="19"/>
        <v>2.8791984572980396</v>
      </c>
      <c r="W127" s="115">
        <v>11130.9</v>
      </c>
      <c r="X127" s="101">
        <f t="shared" si="20"/>
        <v>9.3174803035340847</v>
      </c>
      <c r="Y127" s="116">
        <v>38511</v>
      </c>
      <c r="Z127" s="102">
        <v>488181</v>
      </c>
      <c r="AA127" s="235">
        <v>1.04</v>
      </c>
      <c r="AB127" s="117">
        <f t="shared" si="21"/>
        <v>3.9220713153281329E-2</v>
      </c>
      <c r="AC127" s="115">
        <v>103</v>
      </c>
      <c r="AD127" s="117">
        <f t="shared" si="22"/>
        <v>4.6347289882296359</v>
      </c>
      <c r="AE127" s="109">
        <v>5351.8433000000005</v>
      </c>
      <c r="AF127" s="111">
        <f t="shared" si="23"/>
        <v>8.5851963226051424</v>
      </c>
      <c r="AG127" s="118">
        <v>36.799999999999997</v>
      </c>
      <c r="AH127" s="119">
        <v>14.532999999999999</v>
      </c>
      <c r="AI127" s="120">
        <f t="shared" si="24"/>
        <v>2.6764219256440334</v>
      </c>
      <c r="AJ127" s="121">
        <v>500</v>
      </c>
      <c r="AK127" s="120">
        <f t="shared" si="25"/>
        <v>6.2146080984221914</v>
      </c>
      <c r="AL127" s="108">
        <v>39.700000000000003</v>
      </c>
      <c r="AM127" s="119">
        <v>5351.84</v>
      </c>
      <c r="AN127" s="120">
        <f t="shared" si="26"/>
        <v>8.5851957059949715</v>
      </c>
      <c r="AO127" s="96">
        <v>43.967399999999998</v>
      </c>
      <c r="AP127" s="94">
        <v>121.105</v>
      </c>
      <c r="AQ127" s="95">
        <v>4.7966600000000001</v>
      </c>
      <c r="AR127" s="94">
        <v>13.2</v>
      </c>
      <c r="AS127" s="95">
        <f t="shared" si="27"/>
        <v>2.5802168295923251</v>
      </c>
      <c r="AT127" s="96">
        <v>79.394000000000005</v>
      </c>
    </row>
    <row r="128" spans="1:46">
      <c r="A128" s="109">
        <v>12</v>
      </c>
      <c r="B128" s="110" t="s">
        <v>31</v>
      </c>
      <c r="C128" s="110" t="s">
        <v>30</v>
      </c>
      <c r="D128" s="111">
        <v>2015</v>
      </c>
      <c r="E128" s="109">
        <v>19.3</v>
      </c>
      <c r="F128" s="111">
        <f t="shared" si="14"/>
        <v>2.9601050959108397</v>
      </c>
      <c r="G128" s="93">
        <v>1.76596</v>
      </c>
      <c r="H128" s="93">
        <v>43000000000</v>
      </c>
      <c r="I128" s="94">
        <v>36702.400000000001</v>
      </c>
      <c r="J128" s="95">
        <v>10.5106</v>
      </c>
      <c r="K128" s="96">
        <v>0.8</v>
      </c>
      <c r="L128" s="109">
        <v>13.553000000000001</v>
      </c>
      <c r="M128" s="111">
        <f t="shared" si="15"/>
        <v>2.6066079250338792</v>
      </c>
      <c r="N128" s="112">
        <v>2.9815</v>
      </c>
      <c r="O128" s="113">
        <f t="shared" si="16"/>
        <v>1.0924265295810236</v>
      </c>
      <c r="P128" s="109">
        <v>504</v>
      </c>
      <c r="Q128" s="111">
        <f t="shared" si="17"/>
        <v>6.2225762680713688</v>
      </c>
      <c r="R128" s="93">
        <v>40.700001</v>
      </c>
      <c r="S128" s="114">
        <v>81.900000000000006</v>
      </c>
      <c r="T128" s="113">
        <f t="shared" si="18"/>
        <v>4.4054989908590239</v>
      </c>
      <c r="U128" s="112">
        <v>18.8</v>
      </c>
      <c r="V128" s="113">
        <f t="shared" si="19"/>
        <v>2.9338568698359038</v>
      </c>
      <c r="W128" s="115">
        <v>13625.4</v>
      </c>
      <c r="X128" s="101">
        <f t="shared" si="20"/>
        <v>9.5196909768986782</v>
      </c>
      <c r="Y128" s="116">
        <v>38862</v>
      </c>
      <c r="Z128" s="102">
        <v>453890</v>
      </c>
      <c r="AA128" s="235">
        <v>0.59</v>
      </c>
      <c r="AB128" s="117">
        <f t="shared" si="21"/>
        <v>-0.52763274208237199</v>
      </c>
      <c r="AC128" s="115">
        <v>102</v>
      </c>
      <c r="AD128" s="117">
        <f t="shared" si="22"/>
        <v>4.6249728132842707</v>
      </c>
      <c r="AE128" s="109">
        <v>5484.6854999999996</v>
      </c>
      <c r="AF128" s="111">
        <f t="shared" si="23"/>
        <v>8.6097150328703567</v>
      </c>
      <c r="AG128" s="118">
        <v>38.799999999999997</v>
      </c>
      <c r="AH128" s="119">
        <v>13.553000000000001</v>
      </c>
      <c r="AI128" s="120">
        <f t="shared" si="24"/>
        <v>2.6066079250338792</v>
      </c>
      <c r="AJ128" s="121">
        <v>504</v>
      </c>
      <c r="AK128" s="120">
        <f t="shared" si="25"/>
        <v>6.2225762680713688</v>
      </c>
      <c r="AL128" s="108">
        <v>40.700000000000003</v>
      </c>
      <c r="AM128" s="119">
        <v>5484.69</v>
      </c>
      <c r="AN128" s="120">
        <f t="shared" si="26"/>
        <v>8.6097158533363896</v>
      </c>
      <c r="AO128" s="96">
        <v>44.095399999999998</v>
      </c>
      <c r="AP128" s="94">
        <v>121.53700000000001</v>
      </c>
      <c r="AQ128" s="95">
        <v>4.8002200000000004</v>
      </c>
      <c r="AR128" s="94">
        <v>13.3</v>
      </c>
      <c r="AS128" s="95">
        <f t="shared" si="27"/>
        <v>2.5877640352277083</v>
      </c>
      <c r="AT128" s="96">
        <v>79.655000000000001</v>
      </c>
    </row>
    <row r="129" spans="1:46">
      <c r="A129" s="109">
        <v>12</v>
      </c>
      <c r="B129" s="110" t="s">
        <v>31</v>
      </c>
      <c r="C129" s="110" t="s">
        <v>30</v>
      </c>
      <c r="D129" s="111">
        <v>2016</v>
      </c>
      <c r="E129" s="109">
        <v>18.5</v>
      </c>
      <c r="F129" s="111">
        <f t="shared" si="14"/>
        <v>2.917770732084279</v>
      </c>
      <c r="G129" s="93">
        <v>1.4419999999999999</v>
      </c>
      <c r="H129" s="93">
        <v>36000000000</v>
      </c>
      <c r="I129" s="94">
        <v>36920.5</v>
      </c>
      <c r="J129" s="95">
        <v>10.516500000000001</v>
      </c>
      <c r="K129" s="96">
        <v>0.8</v>
      </c>
      <c r="L129" s="109">
        <v>13.778</v>
      </c>
      <c r="M129" s="111">
        <f t="shared" si="15"/>
        <v>2.6230731171710042</v>
      </c>
      <c r="N129" s="112">
        <v>3.0510000000000002</v>
      </c>
      <c r="O129" s="113">
        <f t="shared" si="16"/>
        <v>1.1154694057345327</v>
      </c>
      <c r="P129" s="109">
        <v>510</v>
      </c>
      <c r="Q129" s="111">
        <f t="shared" si="17"/>
        <v>6.2344107257183712</v>
      </c>
      <c r="R129" s="93">
        <v>39.700001</v>
      </c>
      <c r="S129" s="114">
        <v>81.900000000000006</v>
      </c>
      <c r="T129" s="113">
        <f t="shared" si="18"/>
        <v>4.4054989908590239</v>
      </c>
      <c r="U129" s="112">
        <v>19.3</v>
      </c>
      <c r="V129" s="113">
        <f t="shared" si="19"/>
        <v>2.9601050959108397</v>
      </c>
      <c r="W129" s="115">
        <v>19405.3</v>
      </c>
      <c r="X129" s="101">
        <f t="shared" si="20"/>
        <v>9.8733015036165099</v>
      </c>
      <c r="Y129" s="116">
        <v>36391</v>
      </c>
      <c r="Z129" s="102">
        <v>470463</v>
      </c>
      <c r="AA129" s="235">
        <v>0.55000000000000004</v>
      </c>
      <c r="AB129" s="117">
        <f t="shared" si="21"/>
        <v>-0.59783700075562041</v>
      </c>
      <c r="AC129" s="115">
        <v>102</v>
      </c>
      <c r="AD129" s="117">
        <f t="shared" si="22"/>
        <v>4.6249728132842707</v>
      </c>
      <c r="AE129" s="109">
        <v>5303.9364999999998</v>
      </c>
      <c r="AF129" s="111">
        <f t="shared" si="23"/>
        <v>8.5762045596975014</v>
      </c>
      <c r="AG129" s="118">
        <v>39.4</v>
      </c>
      <c r="AH129" s="119">
        <v>13.778</v>
      </c>
      <c r="AI129" s="120">
        <f t="shared" si="24"/>
        <v>2.6230731171710042</v>
      </c>
      <c r="AJ129" s="121">
        <v>510</v>
      </c>
      <c r="AK129" s="120">
        <f t="shared" si="25"/>
        <v>6.2344107257183712</v>
      </c>
      <c r="AL129" s="108">
        <v>39.700000000000003</v>
      </c>
      <c r="AM129" s="119">
        <v>5303.94</v>
      </c>
      <c r="AN129" s="120">
        <f t="shared" si="26"/>
        <v>8.5762052195845193</v>
      </c>
      <c r="AO129" s="96">
        <v>43.265599999999999</v>
      </c>
      <c r="AP129" s="94">
        <v>121.858</v>
      </c>
      <c r="AQ129" s="95">
        <v>4.8028599999999999</v>
      </c>
      <c r="AR129" s="94">
        <v>14.2</v>
      </c>
      <c r="AS129" s="95">
        <f t="shared" si="27"/>
        <v>2.653241964607215</v>
      </c>
      <c r="AT129" s="96">
        <v>79.917000000000002</v>
      </c>
    </row>
    <row r="130" spans="1:46">
      <c r="A130" s="109">
        <v>12</v>
      </c>
      <c r="B130" s="110" t="s">
        <v>31</v>
      </c>
      <c r="C130" s="110" t="s">
        <v>30</v>
      </c>
      <c r="D130" s="111">
        <v>2017</v>
      </c>
      <c r="E130" s="109">
        <v>19.100000000000001</v>
      </c>
      <c r="F130" s="111">
        <f t="shared" ref="F130:F193" si="28">LN(E130)</f>
        <v>2.9496883350525844</v>
      </c>
      <c r="G130" s="93">
        <v>1.6892799999999999</v>
      </c>
      <c r="H130" s="93">
        <v>44000000000</v>
      </c>
      <c r="I130" s="94">
        <v>37580.6</v>
      </c>
      <c r="J130" s="95">
        <v>10.5342</v>
      </c>
      <c r="K130" s="96">
        <v>0.83</v>
      </c>
      <c r="L130" s="109">
        <v>14.528</v>
      </c>
      <c r="M130" s="111">
        <f t="shared" ref="M130:M193" si="29">LN(L130)</f>
        <v>2.6760778218589376</v>
      </c>
      <c r="N130" s="112">
        <v>2.8744000000000001</v>
      </c>
      <c r="O130" s="113">
        <f t="shared" ref="O130:O193" si="30">LN(N130)</f>
        <v>1.055843956817172</v>
      </c>
      <c r="P130" s="109">
        <v>551</v>
      </c>
      <c r="Q130" s="111">
        <f t="shared" ref="Q130:Q193" si="31">LN(P130)</f>
        <v>6.3117348091529148</v>
      </c>
      <c r="R130" s="93">
        <v>40.200001</v>
      </c>
      <c r="S130" s="114">
        <v>81.900000000000006</v>
      </c>
      <c r="T130" s="113">
        <f t="shared" ref="T130:T193" si="32">LN(S130)</f>
        <v>4.4054989908590239</v>
      </c>
      <c r="U130" s="112">
        <v>18.7</v>
      </c>
      <c r="V130" s="113">
        <f t="shared" ref="V130:V193" si="33">LN(U130)</f>
        <v>2.9285235238605409</v>
      </c>
      <c r="W130" s="115">
        <v>13003.8</v>
      </c>
      <c r="X130" s="101">
        <f t="shared" ref="X130:X193" si="34">LN(W130)</f>
        <v>9.4729969014224107</v>
      </c>
      <c r="Y130" s="116">
        <v>40644</v>
      </c>
      <c r="Z130" s="102">
        <v>515908</v>
      </c>
      <c r="AA130" s="235">
        <v>0.56999999999999995</v>
      </c>
      <c r="AB130" s="117">
        <f t="shared" ref="AB130:AB193" si="35">LN(AA130)</f>
        <v>-0.56211891815354131</v>
      </c>
      <c r="AC130" s="115">
        <v>102</v>
      </c>
      <c r="AD130" s="117">
        <f t="shared" ref="AD130:AD193" si="36">LN(AC130)</f>
        <v>4.6249728132842707</v>
      </c>
      <c r="AE130" s="109">
        <v>5159.8446999999996</v>
      </c>
      <c r="AF130" s="111">
        <f t="shared" ref="AF130:AF193" si="37">LN(AE130)</f>
        <v>8.5486617611234621</v>
      </c>
      <c r="AG130" s="118">
        <v>38.200000000000003</v>
      </c>
      <c r="AH130" s="119">
        <v>14.528</v>
      </c>
      <c r="AI130" s="120">
        <f t="shared" ref="AI130:AI193" si="38">LN(AH130)</f>
        <v>2.6760778218589376</v>
      </c>
      <c r="AJ130" s="121">
        <v>551</v>
      </c>
      <c r="AK130" s="120">
        <f t="shared" ref="AK130:AK193" si="39">LN(AJ130)</f>
        <v>6.3117348091529148</v>
      </c>
      <c r="AL130" s="108">
        <v>40.200000000000003</v>
      </c>
      <c r="AM130" s="119">
        <v>5159.84</v>
      </c>
      <c r="AN130" s="120">
        <f t="shared" ref="AN130:AN193" si="40">LN(AM130)</f>
        <v>8.5486608502429196</v>
      </c>
      <c r="AO130" s="96">
        <v>44.599899999999998</v>
      </c>
      <c r="AP130" s="94">
        <v>122.212</v>
      </c>
      <c r="AQ130" s="95">
        <v>4.8057600000000003</v>
      </c>
      <c r="AR130" s="94">
        <v>14.1</v>
      </c>
      <c r="AS130" s="95">
        <f t="shared" ref="AS130:AS193" si="41">LN(AR130)</f>
        <v>2.6461747973841225</v>
      </c>
      <c r="AT130" s="96">
        <v>80.180000000000007</v>
      </c>
    </row>
    <row r="131" spans="1:46">
      <c r="A131" s="109">
        <v>12</v>
      </c>
      <c r="B131" s="110" t="s">
        <v>31</v>
      </c>
      <c r="C131" s="110" t="s">
        <v>30</v>
      </c>
      <c r="D131" s="111">
        <v>2018</v>
      </c>
      <c r="E131" s="109">
        <v>19.2</v>
      </c>
      <c r="F131" s="111">
        <f t="shared" si="28"/>
        <v>2.954910279033736</v>
      </c>
      <c r="G131" s="93">
        <v>2.7859400000000001</v>
      </c>
      <c r="H131" s="93">
        <v>77000000000</v>
      </c>
      <c r="I131" s="94">
        <v>38062.400000000001</v>
      </c>
      <c r="J131" s="95">
        <v>10.547000000000001</v>
      </c>
      <c r="K131" s="96">
        <v>0.82</v>
      </c>
      <c r="L131" s="109">
        <v>14.301</v>
      </c>
      <c r="M131" s="111">
        <f t="shared" si="29"/>
        <v>2.6603294648907982</v>
      </c>
      <c r="N131" s="112">
        <v>2.9617</v>
      </c>
      <c r="O131" s="113">
        <f t="shared" si="30"/>
        <v>1.0857634277991981</v>
      </c>
      <c r="P131" s="109">
        <v>566</v>
      </c>
      <c r="Q131" s="111">
        <f t="shared" si="31"/>
        <v>6.3385940782031831</v>
      </c>
      <c r="R131" s="93">
        <v>40.700001</v>
      </c>
      <c r="S131" s="114">
        <v>74.2</v>
      </c>
      <c r="T131" s="113">
        <f t="shared" si="32"/>
        <v>4.3067641501733345</v>
      </c>
      <c r="U131" s="112">
        <v>19.5</v>
      </c>
      <c r="V131" s="113">
        <f t="shared" si="33"/>
        <v>2.9704144655697009</v>
      </c>
      <c r="W131" s="115">
        <v>14802.1</v>
      </c>
      <c r="X131" s="101">
        <f t="shared" si="34"/>
        <v>9.6025243415783965</v>
      </c>
      <c r="Y131" s="116">
        <v>39379</v>
      </c>
      <c r="Z131" s="102">
        <v>518745</v>
      </c>
      <c r="AA131" s="235">
        <v>0.55000000000000004</v>
      </c>
      <c r="AB131" s="117">
        <f t="shared" si="35"/>
        <v>-0.59783700075562041</v>
      </c>
      <c r="AC131" s="115">
        <v>103</v>
      </c>
      <c r="AD131" s="117">
        <f t="shared" si="36"/>
        <v>4.6347289882296359</v>
      </c>
      <c r="AE131" s="109">
        <v>4622.2641999999996</v>
      </c>
      <c r="AF131" s="111">
        <f t="shared" si="37"/>
        <v>8.4386399506026653</v>
      </c>
      <c r="AG131" s="118">
        <v>38.6</v>
      </c>
      <c r="AH131" s="119">
        <v>14.301</v>
      </c>
      <c r="AI131" s="120">
        <f t="shared" si="38"/>
        <v>2.6603294648907982</v>
      </c>
      <c r="AJ131" s="121">
        <v>566</v>
      </c>
      <c r="AK131" s="120">
        <f t="shared" si="39"/>
        <v>6.3385940782031831</v>
      </c>
      <c r="AL131" s="108">
        <v>40.700000000000003</v>
      </c>
      <c r="AM131" s="119">
        <v>4622.26</v>
      </c>
      <c r="AN131" s="120">
        <f t="shared" si="40"/>
        <v>8.4386390419566588</v>
      </c>
      <c r="AO131" s="96">
        <v>45.25</v>
      </c>
      <c r="AP131" s="94">
        <v>122.651</v>
      </c>
      <c r="AQ131" s="95">
        <v>4.8093399999999997</v>
      </c>
      <c r="AR131" s="94">
        <v>15.2</v>
      </c>
      <c r="AS131" s="95">
        <f t="shared" si="41"/>
        <v>2.7212954278522306</v>
      </c>
      <c r="AT131" s="96">
        <v>80.444000000000003</v>
      </c>
    </row>
    <row r="132" spans="1:46">
      <c r="A132" s="109">
        <v>12</v>
      </c>
      <c r="B132" s="110" t="s">
        <v>31</v>
      </c>
      <c r="C132" s="110" t="s">
        <v>30</v>
      </c>
      <c r="D132" s="111">
        <v>2019</v>
      </c>
      <c r="E132" s="109">
        <v>19.899999999999999</v>
      </c>
      <c r="F132" s="111">
        <f t="shared" si="28"/>
        <v>2.9907197317304468</v>
      </c>
      <c r="G132" s="93">
        <v>1.9648699999999999</v>
      </c>
      <c r="H132" s="93">
        <v>53000000000</v>
      </c>
      <c r="I132" s="94">
        <v>38705.199999999997</v>
      </c>
      <c r="J132" s="95">
        <v>10.563700000000001</v>
      </c>
      <c r="K132" s="96">
        <v>0.81</v>
      </c>
      <c r="L132" s="109">
        <v>14.329000000000001</v>
      </c>
      <c r="M132" s="111">
        <f t="shared" si="29"/>
        <v>2.662285455734466</v>
      </c>
      <c r="N132" s="112">
        <v>2.9371999999999998</v>
      </c>
      <c r="O132" s="113">
        <f t="shared" si="30"/>
        <v>1.0774567465953182</v>
      </c>
      <c r="P132" s="109">
        <v>609</v>
      </c>
      <c r="Q132" s="111">
        <f t="shared" si="31"/>
        <v>6.4118182677098972</v>
      </c>
      <c r="R132" s="93">
        <v>41</v>
      </c>
      <c r="S132" s="114">
        <v>76.5</v>
      </c>
      <c r="T132" s="113">
        <f t="shared" si="32"/>
        <v>4.3372907408324899</v>
      </c>
      <c r="U132" s="112">
        <v>17.100000000000001</v>
      </c>
      <c r="V132" s="113">
        <f t="shared" si="33"/>
        <v>2.8390784635086144</v>
      </c>
      <c r="W132" s="115">
        <v>9718.5</v>
      </c>
      <c r="X132" s="101">
        <f t="shared" si="34"/>
        <v>9.1817865645581218</v>
      </c>
      <c r="Y132" s="116">
        <v>39900</v>
      </c>
      <c r="Z132" s="102">
        <v>524507</v>
      </c>
      <c r="AA132" s="235">
        <v>0.78</v>
      </c>
      <c r="AB132" s="117">
        <f t="shared" si="35"/>
        <v>-0.24846135929849961</v>
      </c>
      <c r="AC132" s="115">
        <v>100</v>
      </c>
      <c r="AD132" s="117">
        <f t="shared" si="36"/>
        <v>4.6051701859880918</v>
      </c>
      <c r="AE132" s="109">
        <v>4084.6835999999998</v>
      </c>
      <c r="AF132" s="111">
        <f t="shared" si="37"/>
        <v>8.3149995501940115</v>
      </c>
      <c r="AG132" s="118">
        <v>37.5</v>
      </c>
      <c r="AH132" s="119">
        <v>14.329000000000001</v>
      </c>
      <c r="AI132" s="120">
        <f t="shared" si="38"/>
        <v>2.662285455734466</v>
      </c>
      <c r="AJ132" s="121">
        <v>609</v>
      </c>
      <c r="AK132" s="120">
        <f t="shared" si="39"/>
        <v>6.4118182677098972</v>
      </c>
      <c r="AL132" s="108">
        <v>41</v>
      </c>
      <c r="AM132" s="119">
        <v>0</v>
      </c>
      <c r="AN132" s="120">
        <v>0</v>
      </c>
      <c r="AO132" s="96">
        <v>45.012900000000002</v>
      </c>
      <c r="AP132" s="94">
        <v>123.059</v>
      </c>
      <c r="AQ132" s="95">
        <v>4.8126699999999998</v>
      </c>
      <c r="AR132" s="94">
        <v>15.5</v>
      </c>
      <c r="AS132" s="95">
        <f t="shared" si="41"/>
        <v>2.7408400239252009</v>
      </c>
      <c r="AT132" s="96">
        <v>80.709000000000003</v>
      </c>
    </row>
    <row r="133" spans="1:46">
      <c r="A133" s="109">
        <v>12</v>
      </c>
      <c r="B133" s="110" t="s">
        <v>31</v>
      </c>
      <c r="C133" s="110" t="s">
        <v>30</v>
      </c>
      <c r="D133" s="111">
        <v>2020</v>
      </c>
      <c r="E133" s="109">
        <v>20.399999999999999</v>
      </c>
      <c r="F133" s="111">
        <f t="shared" si="28"/>
        <v>3.0155349008501706</v>
      </c>
      <c r="G133" s="93">
        <v>0.73147200000000001</v>
      </c>
      <c r="H133" s="93">
        <v>19000000000</v>
      </c>
      <c r="I133" s="94">
        <v>35709.199999999997</v>
      </c>
      <c r="J133" s="95">
        <v>10.4832</v>
      </c>
      <c r="K133" s="96">
        <v>0.81</v>
      </c>
      <c r="L133" s="109">
        <v>45.669998</v>
      </c>
      <c r="M133" s="111">
        <f t="shared" si="29"/>
        <v>3.8214415834044826</v>
      </c>
      <c r="N133" s="112">
        <v>2.988</v>
      </c>
      <c r="O133" s="113">
        <f t="shared" si="30"/>
        <v>1.0946042672705709</v>
      </c>
      <c r="P133" s="109">
        <v>630</v>
      </c>
      <c r="Q133" s="111">
        <f t="shared" si="31"/>
        <v>6.4457198193855785</v>
      </c>
      <c r="R133" s="93">
        <v>41.700001</v>
      </c>
      <c r="S133" s="114">
        <v>79.8</v>
      </c>
      <c r="T133" s="113">
        <f t="shared" si="32"/>
        <v>4.3795235044557632</v>
      </c>
      <c r="U133" s="112">
        <v>16.2</v>
      </c>
      <c r="V133" s="113">
        <f t="shared" si="33"/>
        <v>2.7850112422383382</v>
      </c>
      <c r="W133" s="115">
        <v>7103.1</v>
      </c>
      <c r="X133" s="101">
        <f t="shared" si="34"/>
        <v>8.8682865874570638</v>
      </c>
      <c r="Y133" s="116">
        <v>40406</v>
      </c>
      <c r="Z133" s="102">
        <v>521357</v>
      </c>
      <c r="AA133" s="235">
        <v>0.4</v>
      </c>
      <c r="AB133" s="117">
        <f t="shared" si="35"/>
        <v>-0.916290731874155</v>
      </c>
      <c r="AC133" s="115">
        <v>96</v>
      </c>
      <c r="AD133" s="117">
        <f t="shared" si="36"/>
        <v>4.5643481914678361</v>
      </c>
      <c r="AE133" s="109">
        <v>3547.1030000000001</v>
      </c>
      <c r="AF133" s="111">
        <f t="shared" si="37"/>
        <v>8.1738864929761981</v>
      </c>
      <c r="AG133" s="118">
        <v>36.700000000000003</v>
      </c>
      <c r="AH133" s="119">
        <v>45.67</v>
      </c>
      <c r="AI133" s="120">
        <f t="shared" si="38"/>
        <v>3.8214416271969078</v>
      </c>
      <c r="AJ133" s="121">
        <v>630</v>
      </c>
      <c r="AK133" s="120">
        <f t="shared" si="39"/>
        <v>6.4457198193855785</v>
      </c>
      <c r="AL133" s="108">
        <v>41.7</v>
      </c>
      <c r="AM133" s="119">
        <v>0</v>
      </c>
      <c r="AN133" s="120">
        <v>0</v>
      </c>
      <c r="AO133" s="96">
        <v>40.406500000000001</v>
      </c>
      <c r="AP133" s="94">
        <v>123.459</v>
      </c>
      <c r="AQ133" s="95">
        <v>4.8159099999999997</v>
      </c>
      <c r="AR133" s="94">
        <v>16.8</v>
      </c>
      <c r="AS133" s="95">
        <f t="shared" si="41"/>
        <v>2.8213788864092133</v>
      </c>
      <c r="AT133" s="96">
        <v>80.974999999999994</v>
      </c>
    </row>
    <row r="134" spans="1:46">
      <c r="A134" s="109">
        <v>13</v>
      </c>
      <c r="B134" s="110" t="s">
        <v>29</v>
      </c>
      <c r="C134" s="110" t="s">
        <v>28</v>
      </c>
      <c r="D134" s="111">
        <v>2010</v>
      </c>
      <c r="E134" s="109">
        <v>34</v>
      </c>
      <c r="F134" s="111">
        <f t="shared" si="28"/>
        <v>3.5263605246161616</v>
      </c>
      <c r="G134" s="93">
        <v>2.6195400000000002</v>
      </c>
      <c r="H134" s="93">
        <v>1500000000</v>
      </c>
      <c r="I134" s="94">
        <v>11965.5</v>
      </c>
      <c r="J134" s="95">
        <v>9.38978</v>
      </c>
      <c r="K134" s="96">
        <v>0.48</v>
      </c>
      <c r="L134" s="109">
        <v>13.129</v>
      </c>
      <c r="M134" s="111">
        <f t="shared" si="29"/>
        <v>2.5748235239519732</v>
      </c>
      <c r="N134" s="112">
        <v>1.0183</v>
      </c>
      <c r="O134" s="113">
        <f t="shared" si="30"/>
        <v>1.8134570195482678E-2</v>
      </c>
      <c r="P134" s="109">
        <v>534</v>
      </c>
      <c r="Q134" s="111">
        <f t="shared" si="31"/>
        <v>6.280395838960195</v>
      </c>
      <c r="R134" s="93">
        <v>4.0999999000000003</v>
      </c>
      <c r="S134" s="114">
        <v>77.3</v>
      </c>
      <c r="T134" s="113">
        <f t="shared" si="32"/>
        <v>4.3476939555933765</v>
      </c>
      <c r="U134" s="112">
        <v>1.6</v>
      </c>
      <c r="V134" s="113">
        <f t="shared" si="33"/>
        <v>0.47000362924573563</v>
      </c>
      <c r="W134" s="115">
        <v>143.69999999999999</v>
      </c>
      <c r="X134" s="101">
        <f t="shared" si="34"/>
        <v>4.967727793084979</v>
      </c>
      <c r="Y134" s="116">
        <v>784</v>
      </c>
      <c r="Z134" s="102">
        <v>43225</v>
      </c>
      <c r="AA134" s="235">
        <v>0.23</v>
      </c>
      <c r="AB134" s="117">
        <f t="shared" si="35"/>
        <v>-1.4696759700589417</v>
      </c>
      <c r="AC134" s="115">
        <v>100</v>
      </c>
      <c r="AD134" s="117">
        <f t="shared" si="36"/>
        <v>4.6051701859880918</v>
      </c>
      <c r="AE134" s="109">
        <v>4813.0078000000003</v>
      </c>
      <c r="AF134" s="111">
        <f t="shared" si="37"/>
        <v>8.4790774899126422</v>
      </c>
      <c r="AG134" s="118">
        <v>26.8</v>
      </c>
      <c r="AH134" s="119">
        <v>13.129</v>
      </c>
      <c r="AI134" s="120">
        <f t="shared" si="38"/>
        <v>2.5748235239519732</v>
      </c>
      <c r="AJ134" s="121">
        <v>534</v>
      </c>
      <c r="AK134" s="120">
        <f t="shared" si="39"/>
        <v>6.280395838960195</v>
      </c>
      <c r="AL134" s="108">
        <v>4.0999999999999996</v>
      </c>
      <c r="AM134" s="119">
        <v>4813.01</v>
      </c>
      <c r="AN134" s="120">
        <f t="shared" si="40"/>
        <v>8.4790779470071627</v>
      </c>
      <c r="AO134" s="96">
        <v>54.038800000000002</v>
      </c>
      <c r="AP134" s="94">
        <v>76.753399999999999</v>
      </c>
      <c r="AQ134" s="95">
        <v>4.3406000000000002</v>
      </c>
      <c r="AR134" s="94">
        <v>29.8</v>
      </c>
      <c r="AS134" s="95">
        <f t="shared" si="41"/>
        <v>3.3945083935113587</v>
      </c>
      <c r="AT134" s="96">
        <v>55.155000000000001</v>
      </c>
    </row>
    <row r="135" spans="1:46">
      <c r="A135" s="109">
        <v>13</v>
      </c>
      <c r="B135" s="110" t="s">
        <v>29</v>
      </c>
      <c r="C135" s="110" t="s">
        <v>28</v>
      </c>
      <c r="D135" s="111">
        <v>2011</v>
      </c>
      <c r="E135" s="109">
        <v>35.5</v>
      </c>
      <c r="F135" s="111">
        <f t="shared" si="28"/>
        <v>3.5695326964813701</v>
      </c>
      <c r="G135" s="93">
        <v>1.9855400000000001</v>
      </c>
      <c r="H135" s="93">
        <v>1200000000</v>
      </c>
      <c r="I135" s="94">
        <v>11995.1</v>
      </c>
      <c r="J135" s="95">
        <v>9.3922600000000003</v>
      </c>
      <c r="K135" s="96">
        <v>0.48</v>
      </c>
      <c r="L135" s="109">
        <v>14.028</v>
      </c>
      <c r="M135" s="111">
        <f t="shared" si="29"/>
        <v>2.6410553322779315</v>
      </c>
      <c r="N135" s="112">
        <v>1.0214000000000001</v>
      </c>
      <c r="O135" s="113">
        <f t="shared" si="30"/>
        <v>2.1174235231406567E-2</v>
      </c>
      <c r="P135" s="109">
        <v>534</v>
      </c>
      <c r="Q135" s="111">
        <f t="shared" si="31"/>
        <v>6.280395838960195</v>
      </c>
      <c r="R135" s="93">
        <v>8.3000001999999995</v>
      </c>
      <c r="S135" s="114">
        <v>84.5</v>
      </c>
      <c r="T135" s="113">
        <f t="shared" si="32"/>
        <v>4.4367515343631281</v>
      </c>
      <c r="U135" s="112">
        <v>2.4</v>
      </c>
      <c r="V135" s="113">
        <f t="shared" si="33"/>
        <v>0.87546873735389985</v>
      </c>
      <c r="W135" s="115">
        <v>1261.3</v>
      </c>
      <c r="X135" s="101">
        <f t="shared" si="34"/>
        <v>7.1398982140931473</v>
      </c>
      <c r="Y135" s="116">
        <v>729</v>
      </c>
      <c r="Z135" s="102">
        <v>42060</v>
      </c>
      <c r="AA135" s="235">
        <v>0.16</v>
      </c>
      <c r="AB135" s="117">
        <f t="shared" si="35"/>
        <v>-1.8325814637483102</v>
      </c>
      <c r="AC135" s="115">
        <v>102</v>
      </c>
      <c r="AD135" s="117">
        <f t="shared" si="36"/>
        <v>4.6249728132842707</v>
      </c>
      <c r="AE135" s="109">
        <v>4633.2191999999995</v>
      </c>
      <c r="AF135" s="111">
        <f t="shared" si="37"/>
        <v>8.4410071970537484</v>
      </c>
      <c r="AG135" s="118">
        <v>27.3</v>
      </c>
      <c r="AH135" s="119">
        <v>14.028</v>
      </c>
      <c r="AI135" s="120">
        <f t="shared" si="38"/>
        <v>2.6410553322779315</v>
      </c>
      <c r="AJ135" s="121">
        <v>534</v>
      </c>
      <c r="AK135" s="120">
        <f t="shared" si="39"/>
        <v>6.280395838960195</v>
      </c>
      <c r="AL135" s="108">
        <v>8.3000000000000007</v>
      </c>
      <c r="AM135" s="119">
        <v>4633.22</v>
      </c>
      <c r="AN135" s="120">
        <f t="shared" si="40"/>
        <v>8.4410073697198573</v>
      </c>
      <c r="AO135" s="96">
        <v>57.231900000000003</v>
      </c>
      <c r="AP135" s="94">
        <v>76.488900000000001</v>
      </c>
      <c r="AQ135" s="95">
        <v>4.3371399999999998</v>
      </c>
      <c r="AR135" s="94">
        <v>27.2</v>
      </c>
      <c r="AS135" s="95">
        <f t="shared" si="41"/>
        <v>3.3032169733019514</v>
      </c>
      <c r="AT135" s="96">
        <v>55.322000000000003</v>
      </c>
    </row>
    <row r="136" spans="1:46">
      <c r="A136" s="109">
        <v>13</v>
      </c>
      <c r="B136" s="110" t="s">
        <v>29</v>
      </c>
      <c r="C136" s="110" t="s">
        <v>28</v>
      </c>
      <c r="D136" s="111">
        <v>2012</v>
      </c>
      <c r="E136" s="109">
        <v>37.5</v>
      </c>
      <c r="F136" s="111">
        <f t="shared" si="28"/>
        <v>3.6243409329763652</v>
      </c>
      <c r="G136" s="93">
        <v>2.5457000000000001</v>
      </c>
      <c r="H136" s="93">
        <v>1500000000</v>
      </c>
      <c r="I136" s="94">
        <v>11780.5</v>
      </c>
      <c r="J136" s="95">
        <v>9.3742000000000001</v>
      </c>
      <c r="K136" s="96">
        <v>0.5</v>
      </c>
      <c r="L136" s="109">
        <v>12.949</v>
      </c>
      <c r="M136" s="111">
        <f t="shared" si="29"/>
        <v>2.561018565086703</v>
      </c>
      <c r="N136" s="112">
        <v>1.0851999999999999</v>
      </c>
      <c r="O136" s="113">
        <f t="shared" si="30"/>
        <v>8.1764301802639577E-2</v>
      </c>
      <c r="P136" s="109">
        <v>534</v>
      </c>
      <c r="Q136" s="111">
        <f t="shared" si="31"/>
        <v>6.280395838960195</v>
      </c>
      <c r="R136" s="93">
        <v>14.7</v>
      </c>
      <c r="S136" s="114">
        <v>92.3</v>
      </c>
      <c r="T136" s="113">
        <f t="shared" si="32"/>
        <v>4.5250441415088067</v>
      </c>
      <c r="U136" s="112">
        <v>3.5</v>
      </c>
      <c r="V136" s="113">
        <f t="shared" si="33"/>
        <v>1.2527629684953681</v>
      </c>
      <c r="W136" s="115">
        <v>1237.2</v>
      </c>
      <c r="X136" s="101">
        <f t="shared" si="34"/>
        <v>7.1206060408109142</v>
      </c>
      <c r="Y136" s="116">
        <v>682</v>
      </c>
      <c r="Z136" s="102">
        <v>42218</v>
      </c>
      <c r="AA136" s="235">
        <v>0.04</v>
      </c>
      <c r="AB136" s="117">
        <f t="shared" si="35"/>
        <v>-3.2188758248682006</v>
      </c>
      <c r="AC136" s="115">
        <v>105</v>
      </c>
      <c r="AD136" s="117">
        <f t="shared" si="36"/>
        <v>4.6539603501575231</v>
      </c>
      <c r="AE136" s="109">
        <v>4524.5366000000004</v>
      </c>
      <c r="AF136" s="111">
        <f t="shared" si="37"/>
        <v>8.4172704420501034</v>
      </c>
      <c r="AG136" s="118">
        <v>28.4</v>
      </c>
      <c r="AH136" s="119">
        <v>12.949</v>
      </c>
      <c r="AI136" s="120">
        <f t="shared" si="38"/>
        <v>2.561018565086703</v>
      </c>
      <c r="AJ136" s="121">
        <v>534</v>
      </c>
      <c r="AK136" s="120">
        <f t="shared" si="39"/>
        <v>6.280395838960195</v>
      </c>
      <c r="AL136" s="108">
        <v>14.7</v>
      </c>
      <c r="AM136" s="119">
        <v>4524.54</v>
      </c>
      <c r="AN136" s="120">
        <f t="shared" si="40"/>
        <v>8.4172711935079931</v>
      </c>
      <c r="AO136" s="96">
        <v>57.6922</v>
      </c>
      <c r="AP136" s="94">
        <v>76.126900000000006</v>
      </c>
      <c r="AQ136" s="95">
        <v>4.3323999999999998</v>
      </c>
      <c r="AR136" s="94">
        <v>29.4</v>
      </c>
      <c r="AS136" s="95">
        <f t="shared" si="41"/>
        <v>3.380994674344636</v>
      </c>
      <c r="AT136" s="96">
        <v>55.506</v>
      </c>
    </row>
    <row r="137" spans="1:46">
      <c r="A137" s="109">
        <v>13</v>
      </c>
      <c r="B137" s="110" t="s">
        <v>29</v>
      </c>
      <c r="C137" s="110" t="s">
        <v>28</v>
      </c>
      <c r="D137" s="111">
        <v>2013</v>
      </c>
      <c r="E137" s="109">
        <v>37</v>
      </c>
      <c r="F137" s="111">
        <f t="shared" si="28"/>
        <v>3.6109179126442243</v>
      </c>
      <c r="G137" s="93">
        <v>1.59378</v>
      </c>
      <c r="H137" s="93">
        <v>950000000</v>
      </c>
      <c r="I137" s="94">
        <v>11839.2</v>
      </c>
      <c r="J137" s="95">
        <v>9.3791799999999999</v>
      </c>
      <c r="K137" s="96">
        <v>0.49</v>
      </c>
      <c r="L137" s="109">
        <v>13.071</v>
      </c>
      <c r="M137" s="111">
        <f t="shared" si="29"/>
        <v>2.5703960358034146</v>
      </c>
      <c r="N137" s="112">
        <v>1.0516000000000001</v>
      </c>
      <c r="O137" s="113">
        <f t="shared" si="30"/>
        <v>5.0312813873589178E-2</v>
      </c>
      <c r="P137" s="109">
        <v>527</v>
      </c>
      <c r="Q137" s="111">
        <f t="shared" si="31"/>
        <v>6.2672005485413624</v>
      </c>
      <c r="R137" s="93">
        <v>14.9</v>
      </c>
      <c r="S137" s="114">
        <v>97.4</v>
      </c>
      <c r="T137" s="113">
        <f t="shared" si="32"/>
        <v>4.5788262106484892</v>
      </c>
      <c r="U137" s="112">
        <v>3.9</v>
      </c>
      <c r="V137" s="113">
        <f t="shared" si="33"/>
        <v>1.3609765531356006</v>
      </c>
      <c r="W137" s="115">
        <v>1855.1</v>
      </c>
      <c r="X137" s="101">
        <f t="shared" si="34"/>
        <v>7.5256938819443278</v>
      </c>
      <c r="Y137" s="116">
        <v>728</v>
      </c>
      <c r="Z137" s="102">
        <v>42218</v>
      </c>
      <c r="AA137" s="235">
        <v>0</v>
      </c>
      <c r="AB137" s="117">
        <v>0</v>
      </c>
      <c r="AC137" s="115">
        <v>107</v>
      </c>
      <c r="AD137" s="117">
        <f t="shared" si="36"/>
        <v>4.6728288344619058</v>
      </c>
      <c r="AE137" s="109">
        <v>4589.1782000000003</v>
      </c>
      <c r="AF137" s="111">
        <f t="shared" si="37"/>
        <v>8.4314562456304323</v>
      </c>
      <c r="AG137" s="118">
        <v>27.6</v>
      </c>
      <c r="AH137" s="119">
        <v>13.071</v>
      </c>
      <c r="AI137" s="120">
        <f t="shared" si="38"/>
        <v>2.5703960358034146</v>
      </c>
      <c r="AJ137" s="121">
        <v>527</v>
      </c>
      <c r="AK137" s="120">
        <f t="shared" si="39"/>
        <v>6.2672005485413624</v>
      </c>
      <c r="AL137" s="108">
        <v>14.9</v>
      </c>
      <c r="AM137" s="119">
        <v>4589.18</v>
      </c>
      <c r="AN137" s="120">
        <f t="shared" si="40"/>
        <v>8.4314566378574423</v>
      </c>
      <c r="AO137" s="96">
        <v>57.944200000000002</v>
      </c>
      <c r="AP137" s="94">
        <v>75.654399999999995</v>
      </c>
      <c r="AQ137" s="95">
        <v>4.3261799999999999</v>
      </c>
      <c r="AR137" s="94">
        <v>32.799999999999997</v>
      </c>
      <c r="AS137" s="95">
        <f t="shared" si="41"/>
        <v>3.4904285153900978</v>
      </c>
      <c r="AT137" s="96">
        <v>55.706000000000003</v>
      </c>
    </row>
    <row r="138" spans="1:46">
      <c r="A138" s="109">
        <v>13</v>
      </c>
      <c r="B138" s="110" t="s">
        <v>29</v>
      </c>
      <c r="C138" s="110" t="s">
        <v>28</v>
      </c>
      <c r="D138" s="111">
        <v>2014</v>
      </c>
      <c r="E138" s="109">
        <v>37.5</v>
      </c>
      <c r="F138" s="111">
        <f t="shared" si="28"/>
        <v>3.6243409329763652</v>
      </c>
      <c r="G138" s="93">
        <v>5.3474700000000004</v>
      </c>
      <c r="H138" s="93">
        <v>3200000000</v>
      </c>
      <c r="I138" s="94">
        <v>11863.9</v>
      </c>
      <c r="J138" s="95">
        <v>9.3812499999999996</v>
      </c>
      <c r="K138" s="96">
        <v>0.49</v>
      </c>
      <c r="L138" s="109">
        <v>11.771000000000001</v>
      </c>
      <c r="M138" s="111">
        <f t="shared" si="29"/>
        <v>2.4656388794303434</v>
      </c>
      <c r="N138" s="112">
        <v>1.1405000000000001</v>
      </c>
      <c r="O138" s="113">
        <f t="shared" si="30"/>
        <v>0.13146676274230573</v>
      </c>
      <c r="P138" s="109">
        <v>520</v>
      </c>
      <c r="Q138" s="111">
        <f t="shared" si="31"/>
        <v>6.253828811575473</v>
      </c>
      <c r="R138" s="93">
        <v>16.399999999999999</v>
      </c>
      <c r="S138" s="114">
        <v>95.7</v>
      </c>
      <c r="T138" s="113">
        <f t="shared" si="32"/>
        <v>4.5612182984589085</v>
      </c>
      <c r="U138" s="112">
        <v>4.8</v>
      </c>
      <c r="V138" s="113">
        <f t="shared" si="33"/>
        <v>1.5686159179138452</v>
      </c>
      <c r="W138" s="115">
        <v>2129.1999999999998</v>
      </c>
      <c r="X138" s="101">
        <f t="shared" si="34"/>
        <v>7.6635016012986021</v>
      </c>
      <c r="Y138" s="116">
        <v>773</v>
      </c>
      <c r="Z138" s="102">
        <v>45261</v>
      </c>
      <c r="AA138" s="235">
        <v>0</v>
      </c>
      <c r="AB138" s="117">
        <v>0</v>
      </c>
      <c r="AC138" s="115">
        <v>111</v>
      </c>
      <c r="AD138" s="117">
        <f t="shared" si="36"/>
        <v>4.7095302013123339</v>
      </c>
      <c r="AE138" s="109">
        <v>4624.0727999999999</v>
      </c>
      <c r="AF138" s="111">
        <f t="shared" si="37"/>
        <v>8.4390311541729162</v>
      </c>
      <c r="AG138" s="118">
        <v>28.3</v>
      </c>
      <c r="AH138" s="119">
        <v>11.771000000000001</v>
      </c>
      <c r="AI138" s="120">
        <f t="shared" si="38"/>
        <v>2.4656388794303434</v>
      </c>
      <c r="AJ138" s="121">
        <v>520</v>
      </c>
      <c r="AK138" s="120">
        <f t="shared" si="39"/>
        <v>6.253828811575473</v>
      </c>
      <c r="AL138" s="108">
        <v>16.399999999999999</v>
      </c>
      <c r="AM138" s="119">
        <v>4624.07</v>
      </c>
      <c r="AN138" s="120">
        <f t="shared" si="40"/>
        <v>8.4390305486459329</v>
      </c>
      <c r="AO138" s="96">
        <v>61.470700000000001</v>
      </c>
      <c r="AP138" s="94">
        <v>75.076800000000006</v>
      </c>
      <c r="AQ138" s="95">
        <v>4.3185099999999998</v>
      </c>
      <c r="AR138" s="94">
        <v>33.6</v>
      </c>
      <c r="AS138" s="95">
        <f t="shared" si="41"/>
        <v>3.5145260669691587</v>
      </c>
      <c r="AT138" s="96">
        <v>55.923000000000002</v>
      </c>
    </row>
    <row r="139" spans="1:46">
      <c r="A139" s="109">
        <v>13</v>
      </c>
      <c r="B139" s="110" t="s">
        <v>29</v>
      </c>
      <c r="C139" s="110" t="s">
        <v>28</v>
      </c>
      <c r="D139" s="111">
        <v>2015</v>
      </c>
      <c r="E139" s="109">
        <v>38.5</v>
      </c>
      <c r="F139" s="111">
        <f t="shared" si="28"/>
        <v>3.6506582412937387</v>
      </c>
      <c r="G139" s="93">
        <v>0.95805099999999999</v>
      </c>
      <c r="H139" s="93">
        <v>490000000</v>
      </c>
      <c r="I139" s="94">
        <v>12285.3</v>
      </c>
      <c r="J139" s="95">
        <v>9.4161599999999996</v>
      </c>
      <c r="K139" s="96">
        <v>0.48</v>
      </c>
      <c r="L139" s="109">
        <v>13.605</v>
      </c>
      <c r="M139" s="111">
        <f t="shared" si="29"/>
        <v>2.6104373722352094</v>
      </c>
      <c r="N139" s="112">
        <v>1.1072</v>
      </c>
      <c r="O139" s="113">
        <f t="shared" si="30"/>
        <v>0.10183430588126803</v>
      </c>
      <c r="P139" s="109">
        <v>517</v>
      </c>
      <c r="Q139" s="111">
        <f t="shared" si="31"/>
        <v>6.2480428745084291</v>
      </c>
      <c r="R139" s="93">
        <v>18</v>
      </c>
      <c r="S139" s="114">
        <v>92.5</v>
      </c>
      <c r="T139" s="113">
        <f t="shared" si="32"/>
        <v>4.5272086445183799</v>
      </c>
      <c r="U139" s="112">
        <v>4.5999999999999996</v>
      </c>
      <c r="V139" s="113">
        <f t="shared" si="33"/>
        <v>1.5260563034950492</v>
      </c>
      <c r="W139" s="115">
        <v>2509.6999999999998</v>
      </c>
      <c r="X139" s="101">
        <f t="shared" si="34"/>
        <v>7.8279185030701663</v>
      </c>
      <c r="Y139" s="116">
        <v>831</v>
      </c>
      <c r="Z139" s="102">
        <v>44872</v>
      </c>
      <c r="AA139" s="235">
        <v>0</v>
      </c>
      <c r="AB139" s="117">
        <v>0</v>
      </c>
      <c r="AC139" s="115">
        <v>114</v>
      </c>
      <c r="AD139" s="117">
        <f t="shared" si="36"/>
        <v>4.7361984483944957</v>
      </c>
      <c r="AE139" s="109">
        <v>4885.9018999999998</v>
      </c>
      <c r="AF139" s="111">
        <f t="shared" si="37"/>
        <v>8.4941091738428955</v>
      </c>
      <c r="AG139" s="118">
        <v>29.5</v>
      </c>
      <c r="AH139" s="119">
        <v>13.605</v>
      </c>
      <c r="AI139" s="120">
        <f t="shared" si="38"/>
        <v>2.6104373722352094</v>
      </c>
      <c r="AJ139" s="121">
        <v>517</v>
      </c>
      <c r="AK139" s="120">
        <f t="shared" si="39"/>
        <v>6.2480428745084291</v>
      </c>
      <c r="AL139" s="108">
        <v>18</v>
      </c>
      <c r="AM139" s="119">
        <v>4885.8999999999996</v>
      </c>
      <c r="AN139" s="120">
        <f t="shared" si="40"/>
        <v>8.4941087849688639</v>
      </c>
      <c r="AO139" s="96">
        <v>65.671700000000001</v>
      </c>
      <c r="AP139" s="94">
        <v>74.185599999999994</v>
      </c>
      <c r="AQ139" s="95">
        <v>4.3065699999999998</v>
      </c>
      <c r="AR139" s="94">
        <v>33.1</v>
      </c>
      <c r="AS139" s="95">
        <f t="shared" si="41"/>
        <v>3.4995332823830174</v>
      </c>
      <c r="AT139" s="96">
        <v>56.155000000000001</v>
      </c>
    </row>
    <row r="140" spans="1:46">
      <c r="A140" s="109">
        <v>13</v>
      </c>
      <c r="B140" s="110" t="s">
        <v>29</v>
      </c>
      <c r="C140" s="110" t="s">
        <v>28</v>
      </c>
      <c r="D140" s="111">
        <v>2016</v>
      </c>
      <c r="E140" s="109">
        <v>37.4</v>
      </c>
      <c r="F140" s="111">
        <f t="shared" si="28"/>
        <v>3.6216707044204863</v>
      </c>
      <c r="G140" s="93">
        <v>2.9901399999999998</v>
      </c>
      <c r="H140" s="93">
        <v>1600000000</v>
      </c>
      <c r="I140" s="94">
        <v>12849.3</v>
      </c>
      <c r="J140" s="95">
        <v>9.4610500000000002</v>
      </c>
      <c r="K140" s="96">
        <v>0.5</v>
      </c>
      <c r="L140" s="109">
        <v>13.266</v>
      </c>
      <c r="M140" s="111">
        <f t="shared" si="29"/>
        <v>2.5852043711033641</v>
      </c>
      <c r="N140" s="112">
        <v>1.1203000000000001</v>
      </c>
      <c r="O140" s="113">
        <f t="shared" si="30"/>
        <v>0.11359650658254063</v>
      </c>
      <c r="P140" s="109">
        <v>516</v>
      </c>
      <c r="Q140" s="111">
        <f t="shared" si="31"/>
        <v>6.2461067654815627</v>
      </c>
      <c r="R140" s="93">
        <v>21</v>
      </c>
      <c r="S140" s="114">
        <v>96.3</v>
      </c>
      <c r="T140" s="113">
        <f t="shared" si="32"/>
        <v>4.5674683188040799</v>
      </c>
      <c r="U140" s="112">
        <v>4.5999999999999996</v>
      </c>
      <c r="V140" s="113">
        <f t="shared" si="33"/>
        <v>1.5260563034950492</v>
      </c>
      <c r="W140" s="115">
        <v>2638.9</v>
      </c>
      <c r="X140" s="101">
        <f t="shared" si="34"/>
        <v>7.8781174426440197</v>
      </c>
      <c r="Y140" s="116">
        <v>880</v>
      </c>
      <c r="Z140" s="102">
        <v>44088</v>
      </c>
      <c r="AA140" s="235">
        <v>0.52</v>
      </c>
      <c r="AB140" s="117">
        <f t="shared" si="35"/>
        <v>-0.65392646740666394</v>
      </c>
      <c r="AC140" s="115">
        <v>120</v>
      </c>
      <c r="AD140" s="117">
        <f t="shared" si="36"/>
        <v>4.7874917427820458</v>
      </c>
      <c r="AE140" s="109">
        <v>4679.7280000000001</v>
      </c>
      <c r="AF140" s="111">
        <f t="shared" si="37"/>
        <v>8.4509952675645597</v>
      </c>
      <c r="AG140" s="118">
        <v>31</v>
      </c>
      <c r="AH140" s="119">
        <v>13.266</v>
      </c>
      <c r="AI140" s="120">
        <f t="shared" si="38"/>
        <v>2.5852043711033641</v>
      </c>
      <c r="AJ140" s="121">
        <v>516</v>
      </c>
      <c r="AK140" s="120">
        <f t="shared" si="39"/>
        <v>6.2461067654815627</v>
      </c>
      <c r="AL140" s="108">
        <v>21</v>
      </c>
      <c r="AM140" s="119">
        <v>4679.7299999999996</v>
      </c>
      <c r="AN140" s="120">
        <f t="shared" si="40"/>
        <v>8.4509956949397349</v>
      </c>
      <c r="AO140" s="96">
        <v>67.830399999999997</v>
      </c>
      <c r="AP140" s="94">
        <v>73.384100000000004</v>
      </c>
      <c r="AQ140" s="95">
        <v>4.2957099999999997</v>
      </c>
      <c r="AR140" s="94">
        <v>31.8</v>
      </c>
      <c r="AS140" s="95">
        <f t="shared" si="41"/>
        <v>3.459466289786131</v>
      </c>
      <c r="AT140" s="96">
        <v>56.402999999999999</v>
      </c>
    </row>
    <row r="141" spans="1:46">
      <c r="A141" s="109">
        <v>13</v>
      </c>
      <c r="B141" s="110" t="s">
        <v>29</v>
      </c>
      <c r="C141" s="110" t="s">
        <v>28</v>
      </c>
      <c r="D141" s="111">
        <v>2017</v>
      </c>
      <c r="E141" s="109">
        <v>38.200000000000003</v>
      </c>
      <c r="F141" s="111">
        <f t="shared" si="28"/>
        <v>3.6428355156125294</v>
      </c>
      <c r="G141" s="93">
        <v>3.24</v>
      </c>
      <c r="H141" s="93">
        <v>1800000000</v>
      </c>
      <c r="I141" s="94">
        <v>13485.9</v>
      </c>
      <c r="J141" s="95">
        <v>9.5093999999999994</v>
      </c>
      <c r="K141" s="96">
        <v>0.5</v>
      </c>
      <c r="L141" s="109">
        <v>13.731999999999999</v>
      </c>
      <c r="M141" s="111">
        <f t="shared" si="29"/>
        <v>2.6197288755954458</v>
      </c>
      <c r="N141" s="112">
        <v>1.1726000000000001</v>
      </c>
      <c r="O141" s="113">
        <f t="shared" si="30"/>
        <v>0.15922350554797773</v>
      </c>
      <c r="P141" s="109">
        <v>553</v>
      </c>
      <c r="Q141" s="111">
        <f t="shared" si="31"/>
        <v>6.315358001522335</v>
      </c>
      <c r="R141" s="93">
        <v>23.6</v>
      </c>
      <c r="S141" s="114">
        <v>95.2</v>
      </c>
      <c r="T141" s="113">
        <f t="shared" si="32"/>
        <v>4.5559799417973199</v>
      </c>
      <c r="U141" s="112">
        <v>5.0999999999999996</v>
      </c>
      <c r="V141" s="113">
        <f t="shared" si="33"/>
        <v>1.62924053973028</v>
      </c>
      <c r="W141" s="115">
        <v>3144</v>
      </c>
      <c r="X141" s="101">
        <f t="shared" si="34"/>
        <v>8.0532511535490965</v>
      </c>
      <c r="Y141" s="116">
        <v>938</v>
      </c>
      <c r="Z141" s="102">
        <v>46104</v>
      </c>
      <c r="AA141" s="235">
        <v>0</v>
      </c>
      <c r="AB141" s="117">
        <v>0</v>
      </c>
      <c r="AC141" s="115">
        <v>125</v>
      </c>
      <c r="AD141" s="117">
        <f t="shared" si="36"/>
        <v>4.8283137373023015</v>
      </c>
      <c r="AE141" s="109">
        <v>4775.0897999999997</v>
      </c>
      <c r="AF141" s="111">
        <f t="shared" si="37"/>
        <v>8.4711680590207177</v>
      </c>
      <c r="AG141" s="118">
        <v>31.8</v>
      </c>
      <c r="AH141" s="119">
        <v>13.731999999999999</v>
      </c>
      <c r="AI141" s="120">
        <f t="shared" si="38"/>
        <v>2.6197288755954458</v>
      </c>
      <c r="AJ141" s="121">
        <v>553</v>
      </c>
      <c r="AK141" s="120">
        <f t="shared" si="39"/>
        <v>6.315358001522335</v>
      </c>
      <c r="AL141" s="108">
        <v>23.6</v>
      </c>
      <c r="AM141" s="119">
        <v>4775.09</v>
      </c>
      <c r="AN141" s="120">
        <f t="shared" si="40"/>
        <v>8.4711681009047446</v>
      </c>
      <c r="AO141" s="96">
        <v>72.790099999999995</v>
      </c>
      <c r="AP141" s="94">
        <v>72.214399999999998</v>
      </c>
      <c r="AQ141" s="95">
        <v>4.2796399999999997</v>
      </c>
      <c r="AR141" s="94">
        <v>29.8</v>
      </c>
      <c r="AS141" s="95">
        <f t="shared" si="41"/>
        <v>3.3945083935113587</v>
      </c>
      <c r="AT141" s="96">
        <v>56.667000000000002</v>
      </c>
    </row>
    <row r="142" spans="1:46">
      <c r="A142" s="109">
        <v>13</v>
      </c>
      <c r="B142" s="110" t="s">
        <v>29</v>
      </c>
      <c r="C142" s="110" t="s">
        <v>28</v>
      </c>
      <c r="D142" s="111">
        <v>2018</v>
      </c>
      <c r="E142" s="109">
        <v>38.299999999999997</v>
      </c>
      <c r="F142" s="111">
        <f t="shared" si="28"/>
        <v>3.6454498961866002</v>
      </c>
      <c r="G142" s="93">
        <v>2.6691099999999999</v>
      </c>
      <c r="H142" s="93">
        <v>1600000000</v>
      </c>
      <c r="I142" s="94">
        <v>14060.7</v>
      </c>
      <c r="J142" s="95">
        <v>9.5511400000000002</v>
      </c>
      <c r="K142" s="96">
        <v>0.48</v>
      </c>
      <c r="L142" s="109">
        <v>13.914999999999999</v>
      </c>
      <c r="M142" s="111">
        <f t="shared" si="29"/>
        <v>2.6329673949778543</v>
      </c>
      <c r="N142" s="112">
        <v>1.1776</v>
      </c>
      <c r="O142" s="113">
        <f t="shared" si="30"/>
        <v>0.16347846899247473</v>
      </c>
      <c r="P142" s="109">
        <v>558</v>
      </c>
      <c r="Q142" s="111">
        <f t="shared" si="31"/>
        <v>6.3243589623813108</v>
      </c>
      <c r="R142" s="93">
        <v>25.299999</v>
      </c>
      <c r="S142" s="114">
        <v>91.2</v>
      </c>
      <c r="T142" s="113">
        <f t="shared" si="32"/>
        <v>4.513054897080286</v>
      </c>
      <c r="U142" s="112">
        <v>5</v>
      </c>
      <c r="V142" s="113">
        <f t="shared" si="33"/>
        <v>1.6094379124341003</v>
      </c>
      <c r="W142" s="115">
        <v>3314.5</v>
      </c>
      <c r="X142" s="101">
        <f t="shared" si="34"/>
        <v>8.1060620616814454</v>
      </c>
      <c r="Y142" s="116">
        <v>1260</v>
      </c>
      <c r="Z142" s="102">
        <v>51368</v>
      </c>
      <c r="AA142" s="235">
        <v>0</v>
      </c>
      <c r="AB142" s="117">
        <v>0</v>
      </c>
      <c r="AC142" s="115">
        <v>130</v>
      </c>
      <c r="AD142" s="117">
        <f t="shared" si="36"/>
        <v>4.8675344504555822</v>
      </c>
      <c r="AE142" s="109">
        <v>4637.5825000000004</v>
      </c>
      <c r="AF142" s="111">
        <f t="shared" si="37"/>
        <v>8.4419484965148666</v>
      </c>
      <c r="AG142" s="118">
        <v>31.4</v>
      </c>
      <c r="AH142" s="119">
        <v>13.914999999999999</v>
      </c>
      <c r="AI142" s="120">
        <f t="shared" si="38"/>
        <v>2.6329673949778543</v>
      </c>
      <c r="AJ142" s="121">
        <v>558</v>
      </c>
      <c r="AK142" s="120">
        <f t="shared" si="39"/>
        <v>6.3243589623813108</v>
      </c>
      <c r="AL142" s="108">
        <v>25.3</v>
      </c>
      <c r="AM142" s="119">
        <v>4637.58</v>
      </c>
      <c r="AN142" s="120">
        <f t="shared" si="40"/>
        <v>8.4419479574407532</v>
      </c>
      <c r="AO142" s="96">
        <v>73.952299999999994</v>
      </c>
      <c r="AP142" s="94">
        <v>71.273899999999998</v>
      </c>
      <c r="AQ142" s="95">
        <v>4.2665300000000004</v>
      </c>
      <c r="AR142" s="94">
        <v>32.799999999999997</v>
      </c>
      <c r="AS142" s="95">
        <f t="shared" si="41"/>
        <v>3.4904285153900978</v>
      </c>
      <c r="AT142" s="96">
        <v>56.947000000000003</v>
      </c>
    </row>
    <row r="143" spans="1:46">
      <c r="A143" s="109">
        <v>13</v>
      </c>
      <c r="B143" s="110" t="s">
        <v>29</v>
      </c>
      <c r="C143" s="110" t="s">
        <v>28</v>
      </c>
      <c r="D143" s="111">
        <v>2019</v>
      </c>
      <c r="E143" s="109">
        <v>39.299999999999997</v>
      </c>
      <c r="F143" s="111">
        <f t="shared" si="28"/>
        <v>3.6712245188752153</v>
      </c>
      <c r="G143" s="93">
        <v>6.4727699999999997</v>
      </c>
      <c r="H143" s="93">
        <v>4000000000</v>
      </c>
      <c r="I143" s="94">
        <v>14641.2</v>
      </c>
      <c r="J143" s="95">
        <v>9.5915999999999997</v>
      </c>
      <c r="K143" s="96">
        <v>0.49</v>
      </c>
      <c r="L143" s="109">
        <v>14.221</v>
      </c>
      <c r="M143" s="111">
        <f t="shared" si="29"/>
        <v>2.6547197453905591</v>
      </c>
      <c r="N143" s="112">
        <v>1.1801999999999999</v>
      </c>
      <c r="O143" s="113">
        <f t="shared" si="30"/>
        <v>0.16568391564093127</v>
      </c>
      <c r="P143" s="109">
        <v>557</v>
      </c>
      <c r="Q143" s="111">
        <f t="shared" si="31"/>
        <v>6.3225652399272843</v>
      </c>
      <c r="R143" s="93">
        <v>30.200001</v>
      </c>
      <c r="S143" s="114">
        <v>92.3</v>
      </c>
      <c r="T143" s="113">
        <f t="shared" si="32"/>
        <v>4.5250441415088067</v>
      </c>
      <c r="U143" s="112">
        <v>5.4</v>
      </c>
      <c r="V143" s="113">
        <f t="shared" si="33"/>
        <v>1.6863989535702288</v>
      </c>
      <c r="W143" s="115">
        <v>2818.8</v>
      </c>
      <c r="X143" s="101">
        <f t="shared" si="34"/>
        <v>7.9440665414528677</v>
      </c>
      <c r="Y143" s="116">
        <v>1377</v>
      </c>
      <c r="Z143" s="102">
        <v>58574</v>
      </c>
      <c r="AA143" s="235">
        <v>0</v>
      </c>
      <c r="AB143" s="117">
        <v>0</v>
      </c>
      <c r="AC143" s="115">
        <v>128</v>
      </c>
      <c r="AD143" s="117">
        <f t="shared" si="36"/>
        <v>4.8520302639196169</v>
      </c>
      <c r="AE143" s="109">
        <v>6274.7025999999996</v>
      </c>
      <c r="AF143" s="111">
        <f t="shared" si="37"/>
        <v>8.7442813684545229</v>
      </c>
      <c r="AG143" s="118">
        <v>32.700000000000003</v>
      </c>
      <c r="AH143" s="119">
        <v>14.221</v>
      </c>
      <c r="AI143" s="120">
        <f t="shared" si="38"/>
        <v>2.6547197453905591</v>
      </c>
      <c r="AJ143" s="121">
        <v>557</v>
      </c>
      <c r="AK143" s="120">
        <f t="shared" si="39"/>
        <v>6.3225652399272843</v>
      </c>
      <c r="AL143" s="108">
        <v>30.2</v>
      </c>
      <c r="AM143" s="119">
        <v>6274.7</v>
      </c>
      <c r="AN143" s="120">
        <f t="shared" si="40"/>
        <v>8.7442809540921687</v>
      </c>
      <c r="AO143" s="96">
        <v>73.762500000000003</v>
      </c>
      <c r="AP143" s="94">
        <v>70.5702</v>
      </c>
      <c r="AQ143" s="95">
        <v>4.2566100000000002</v>
      </c>
      <c r="AR143" s="94">
        <v>31.6</v>
      </c>
      <c r="AS143" s="95">
        <f t="shared" si="41"/>
        <v>3.4531571205928664</v>
      </c>
      <c r="AT143" s="96">
        <v>57.241999999999997</v>
      </c>
    </row>
    <row r="144" spans="1:46">
      <c r="A144" s="109">
        <v>13</v>
      </c>
      <c r="B144" s="110" t="s">
        <v>29</v>
      </c>
      <c r="C144" s="110" t="s">
        <v>28</v>
      </c>
      <c r="D144" s="111">
        <v>2020</v>
      </c>
      <c r="E144" s="109">
        <v>39.9</v>
      </c>
      <c r="F144" s="111">
        <f t="shared" si="28"/>
        <v>3.6863763238958178</v>
      </c>
      <c r="G144" s="93">
        <v>2.5390999999999999</v>
      </c>
      <c r="H144" s="93">
        <v>1500000000</v>
      </c>
      <c r="I144" s="94">
        <v>13545</v>
      </c>
      <c r="J144" s="95">
        <v>9.5137699999999992</v>
      </c>
      <c r="K144" s="96">
        <v>0.49</v>
      </c>
      <c r="L144" s="109">
        <v>13.231999999999999</v>
      </c>
      <c r="M144" s="111">
        <f t="shared" si="29"/>
        <v>2.5826381382813355</v>
      </c>
      <c r="N144" s="112">
        <v>1.0625</v>
      </c>
      <c r="O144" s="113">
        <f t="shared" si="30"/>
        <v>6.062462181643484E-2</v>
      </c>
      <c r="P144" s="109">
        <v>555</v>
      </c>
      <c r="Q144" s="111">
        <f t="shared" si="31"/>
        <v>6.3189681137464344</v>
      </c>
      <c r="R144" s="93">
        <v>29.5</v>
      </c>
      <c r="S144" s="114">
        <v>94.9</v>
      </c>
      <c r="T144" s="113">
        <f t="shared" si="32"/>
        <v>4.5528237056158822</v>
      </c>
      <c r="U144" s="112">
        <v>5.5</v>
      </c>
      <c r="V144" s="113">
        <f t="shared" si="33"/>
        <v>1.7047480922384253</v>
      </c>
      <c r="W144" s="115">
        <v>2889.1</v>
      </c>
      <c r="X144" s="101">
        <f t="shared" si="34"/>
        <v>7.9687003139204879</v>
      </c>
      <c r="Y144" s="116">
        <v>1211</v>
      </c>
      <c r="Z144" s="102">
        <v>50818</v>
      </c>
      <c r="AA144" s="235">
        <v>0</v>
      </c>
      <c r="AB144" s="117">
        <v>0</v>
      </c>
      <c r="AC144" s="115">
        <v>122</v>
      </c>
      <c r="AD144" s="117">
        <f t="shared" si="36"/>
        <v>4.8040210447332568</v>
      </c>
      <c r="AE144" s="109">
        <v>6376.3872000000001</v>
      </c>
      <c r="AF144" s="111">
        <f t="shared" si="37"/>
        <v>8.7603569463551807</v>
      </c>
      <c r="AG144" s="118">
        <v>33.799999999999997</v>
      </c>
      <c r="AH144" s="119">
        <v>13.231999999999999</v>
      </c>
      <c r="AI144" s="120">
        <f t="shared" si="38"/>
        <v>2.5826381382813355</v>
      </c>
      <c r="AJ144" s="121">
        <v>555</v>
      </c>
      <c r="AK144" s="120">
        <f t="shared" si="39"/>
        <v>6.3189681137464344</v>
      </c>
      <c r="AL144" s="108">
        <v>29.5</v>
      </c>
      <c r="AM144" s="119">
        <v>6376.39</v>
      </c>
      <c r="AN144" s="120">
        <f t="shared" si="40"/>
        <v>8.7603573854752188</v>
      </c>
      <c r="AO144" s="96">
        <v>75.949700000000007</v>
      </c>
      <c r="AP144" s="94">
        <v>69.9465</v>
      </c>
      <c r="AQ144" s="95">
        <v>4.2477299999999998</v>
      </c>
      <c r="AR144" s="94">
        <v>32.4</v>
      </c>
      <c r="AS144" s="95">
        <f t="shared" si="41"/>
        <v>3.4781584227982836</v>
      </c>
      <c r="AT144" s="96">
        <v>57.552999999999997</v>
      </c>
    </row>
    <row r="145" spans="1:46">
      <c r="A145" s="109">
        <v>14</v>
      </c>
      <c r="B145" s="110" t="s">
        <v>27</v>
      </c>
      <c r="C145" s="110" t="s">
        <v>26</v>
      </c>
      <c r="D145" s="111">
        <v>2010</v>
      </c>
      <c r="E145" s="109">
        <v>33</v>
      </c>
      <c r="F145" s="111">
        <f t="shared" si="28"/>
        <v>3.4965075614664802</v>
      </c>
      <c r="G145" s="93">
        <v>-15.8522</v>
      </c>
      <c r="H145" s="93">
        <v>-21000000000</v>
      </c>
      <c r="I145" s="94">
        <v>11307.7</v>
      </c>
      <c r="J145" s="95">
        <v>9.33324</v>
      </c>
      <c r="K145" s="96">
        <v>0.56000000000000005</v>
      </c>
      <c r="L145" s="109">
        <v>9.2609996999999993</v>
      </c>
      <c r="M145" s="111">
        <f t="shared" si="29"/>
        <v>2.2258120017942216</v>
      </c>
      <c r="N145" s="112">
        <v>1.0295000000000001</v>
      </c>
      <c r="O145" s="113">
        <f t="shared" si="30"/>
        <v>2.9073247485707165E-2</v>
      </c>
      <c r="P145" s="109">
        <v>399</v>
      </c>
      <c r="Q145" s="111">
        <f t="shared" si="31"/>
        <v>5.9889614168898637</v>
      </c>
      <c r="R145" s="93">
        <v>19.600000000000001</v>
      </c>
      <c r="S145" s="114">
        <v>82.3</v>
      </c>
      <c r="T145" s="113">
        <f t="shared" si="32"/>
        <v>4.4103711076830239</v>
      </c>
      <c r="U145" s="112">
        <v>5.2</v>
      </c>
      <c r="V145" s="113">
        <f t="shared" si="33"/>
        <v>1.6486586255873816</v>
      </c>
      <c r="W145" s="115">
        <v>306.10000000000002</v>
      </c>
      <c r="X145" s="101">
        <f t="shared" si="34"/>
        <v>5.7239118459513669</v>
      </c>
      <c r="Y145" s="116">
        <v>3225</v>
      </c>
      <c r="Z145" s="102">
        <v>140978</v>
      </c>
      <c r="AA145" s="235">
        <v>0.63</v>
      </c>
      <c r="AB145" s="117">
        <f t="shared" si="35"/>
        <v>-0.46203545959655867</v>
      </c>
      <c r="AC145" s="115">
        <v>100</v>
      </c>
      <c r="AD145" s="117">
        <f t="shared" si="36"/>
        <v>4.6051701859880918</v>
      </c>
      <c r="AE145" s="109">
        <v>5116.5703000000003</v>
      </c>
      <c r="AF145" s="111">
        <f t="shared" si="37"/>
        <v>8.5402396302936516</v>
      </c>
      <c r="AG145" s="118">
        <v>28.9</v>
      </c>
      <c r="AH145" s="119">
        <v>9.2609999999999992</v>
      </c>
      <c r="AI145" s="120">
        <f t="shared" si="38"/>
        <v>2.2258120341881318</v>
      </c>
      <c r="AJ145" s="121">
        <v>399</v>
      </c>
      <c r="AK145" s="120">
        <f t="shared" si="39"/>
        <v>5.9889614168898637</v>
      </c>
      <c r="AL145" s="108">
        <v>19.600000000000001</v>
      </c>
      <c r="AM145" s="119">
        <v>5116.57</v>
      </c>
      <c r="AN145" s="120">
        <f t="shared" si="40"/>
        <v>8.5402395716606243</v>
      </c>
      <c r="AO145" s="96">
        <v>138.953</v>
      </c>
      <c r="AP145" s="94">
        <v>110.461</v>
      </c>
      <c r="AQ145" s="95">
        <v>4.7046599999999996</v>
      </c>
      <c r="AR145" s="94">
        <v>13.5</v>
      </c>
      <c r="AS145" s="95">
        <f t="shared" si="41"/>
        <v>2.6026896854443837</v>
      </c>
      <c r="AT145" s="96">
        <v>68.911000000000001</v>
      </c>
    </row>
    <row r="146" spans="1:46">
      <c r="A146" s="109">
        <v>14</v>
      </c>
      <c r="B146" s="110" t="s">
        <v>27</v>
      </c>
      <c r="C146" s="110" t="s">
        <v>26</v>
      </c>
      <c r="D146" s="111">
        <v>2011</v>
      </c>
      <c r="E146" s="109">
        <v>34.5</v>
      </c>
      <c r="F146" s="111">
        <f t="shared" si="28"/>
        <v>3.5409593240373143</v>
      </c>
      <c r="G146" s="93">
        <v>7.4423700000000004</v>
      </c>
      <c r="H146" s="93">
        <v>11000000000</v>
      </c>
      <c r="I146" s="94">
        <v>11551.5</v>
      </c>
      <c r="J146" s="95">
        <v>9.3545700000000007</v>
      </c>
      <c r="K146" s="96">
        <v>0.53</v>
      </c>
      <c r="L146" s="109">
        <v>9.0299996999999994</v>
      </c>
      <c r="M146" s="111">
        <f t="shared" si="29"/>
        <v>2.2005523342063023</v>
      </c>
      <c r="N146" s="112">
        <v>1.0444</v>
      </c>
      <c r="O146" s="113">
        <f t="shared" si="30"/>
        <v>4.3442557842836724E-2</v>
      </c>
      <c r="P146" s="109">
        <v>415</v>
      </c>
      <c r="Q146" s="111">
        <f t="shared" si="31"/>
        <v>6.0282785202306979</v>
      </c>
      <c r="R146" s="93">
        <v>22</v>
      </c>
      <c r="S146" s="114">
        <v>87.7</v>
      </c>
      <c r="T146" s="113">
        <f t="shared" si="32"/>
        <v>4.4739218993781371</v>
      </c>
      <c r="U146" s="112">
        <v>5.4</v>
      </c>
      <c r="V146" s="113">
        <f t="shared" si="33"/>
        <v>1.6863989535702288</v>
      </c>
      <c r="W146" s="115">
        <v>663.5</v>
      </c>
      <c r="X146" s="101">
        <f t="shared" si="34"/>
        <v>6.4975288537722626</v>
      </c>
      <c r="Y146" s="116">
        <v>2806</v>
      </c>
      <c r="Z146" s="102">
        <v>121637</v>
      </c>
      <c r="AA146" s="235">
        <v>0.46</v>
      </c>
      <c r="AB146" s="117">
        <f t="shared" si="35"/>
        <v>-0.77652878949899629</v>
      </c>
      <c r="AC146" s="115">
        <v>100</v>
      </c>
      <c r="AD146" s="117">
        <f t="shared" si="36"/>
        <v>4.6051701859880918</v>
      </c>
      <c r="AE146" s="109">
        <v>4982.5775999999996</v>
      </c>
      <c r="AF146" s="111">
        <f t="shared" si="37"/>
        <v>8.5137026264764568</v>
      </c>
      <c r="AG146" s="118">
        <v>29.5</v>
      </c>
      <c r="AH146" s="119">
        <v>9.0299999999999994</v>
      </c>
      <c r="AI146" s="120">
        <f t="shared" si="38"/>
        <v>2.200552367428894</v>
      </c>
      <c r="AJ146" s="121">
        <v>415</v>
      </c>
      <c r="AK146" s="120">
        <f t="shared" si="39"/>
        <v>6.0282785202306979</v>
      </c>
      <c r="AL146" s="108">
        <v>22</v>
      </c>
      <c r="AM146" s="119">
        <v>4982.58</v>
      </c>
      <c r="AN146" s="120">
        <f t="shared" si="40"/>
        <v>8.5137031081547381</v>
      </c>
      <c r="AO146" s="96">
        <v>151.29499999999999</v>
      </c>
      <c r="AP146" s="94">
        <v>110.148</v>
      </c>
      <c r="AQ146" s="95">
        <v>4.7018300000000002</v>
      </c>
      <c r="AR146" s="94">
        <v>14.7</v>
      </c>
      <c r="AS146" s="95">
        <f t="shared" si="41"/>
        <v>2.6878474937846906</v>
      </c>
      <c r="AT146" s="96">
        <v>69.358000000000004</v>
      </c>
    </row>
    <row r="147" spans="1:46">
      <c r="A147" s="109">
        <v>14</v>
      </c>
      <c r="B147" s="110" t="s">
        <v>27</v>
      </c>
      <c r="C147" s="110" t="s">
        <v>26</v>
      </c>
      <c r="D147" s="111">
        <v>2012</v>
      </c>
      <c r="E147" s="109">
        <v>37.5</v>
      </c>
      <c r="F147" s="111">
        <f t="shared" si="28"/>
        <v>3.6243409329763652</v>
      </c>
      <c r="G147" s="93">
        <v>8.2833199999999998</v>
      </c>
      <c r="H147" s="93">
        <v>11000000000</v>
      </c>
      <c r="I147" s="94">
        <v>11466.1</v>
      </c>
      <c r="J147" s="95">
        <v>9.3471499999999992</v>
      </c>
      <c r="K147" s="96">
        <v>0.47</v>
      </c>
      <c r="L147" s="109">
        <v>8.1809998000000004</v>
      </c>
      <c r="M147" s="111">
        <f t="shared" si="29"/>
        <v>2.1018143680846717</v>
      </c>
      <c r="N147" s="112">
        <v>1.1774</v>
      </c>
      <c r="O147" s="113">
        <f t="shared" si="30"/>
        <v>0.16330861761202392</v>
      </c>
      <c r="P147" s="109">
        <v>405</v>
      </c>
      <c r="Q147" s="111">
        <f t="shared" si="31"/>
        <v>6.0038870671065387</v>
      </c>
      <c r="R147" s="93">
        <v>25.5</v>
      </c>
      <c r="S147" s="114">
        <v>81.5</v>
      </c>
      <c r="T147" s="113">
        <f t="shared" si="32"/>
        <v>4.4006030202468169</v>
      </c>
      <c r="U147" s="112">
        <v>6</v>
      </c>
      <c r="V147" s="113">
        <f t="shared" si="33"/>
        <v>1.791759469228055</v>
      </c>
      <c r="W147" s="115">
        <v>397.6</v>
      </c>
      <c r="X147" s="101">
        <f t="shared" si="34"/>
        <v>5.9854464747824192</v>
      </c>
      <c r="Y147" s="116">
        <v>2452</v>
      </c>
      <c r="Z147" s="102">
        <v>112989</v>
      </c>
      <c r="AA147" s="235">
        <v>0.34</v>
      </c>
      <c r="AB147" s="117">
        <f t="shared" si="35"/>
        <v>-1.0788096613719298</v>
      </c>
      <c r="AC147" s="115">
        <v>96</v>
      </c>
      <c r="AD147" s="117">
        <f t="shared" si="36"/>
        <v>4.5643481914678361</v>
      </c>
      <c r="AE147" s="109">
        <v>5101.1772000000001</v>
      </c>
      <c r="AF147" s="111">
        <f t="shared" si="37"/>
        <v>8.5372266156061762</v>
      </c>
      <c r="AG147" s="118">
        <v>31.4</v>
      </c>
      <c r="AH147" s="119">
        <v>8.1809999999999992</v>
      </c>
      <c r="AI147" s="120">
        <f t="shared" si="38"/>
        <v>2.1018143925315611</v>
      </c>
      <c r="AJ147" s="121">
        <v>405</v>
      </c>
      <c r="AK147" s="120">
        <f t="shared" si="39"/>
        <v>6.0038870671065387</v>
      </c>
      <c r="AL147" s="108">
        <v>25.5</v>
      </c>
      <c r="AM147" s="119">
        <v>5101.18</v>
      </c>
      <c r="AN147" s="120">
        <f t="shared" si="40"/>
        <v>8.5372271644989368</v>
      </c>
      <c r="AO147" s="96">
        <v>154.28899999999999</v>
      </c>
      <c r="AP147" s="94">
        <v>109.581</v>
      </c>
      <c r="AQ147" s="95">
        <v>4.6966599999999996</v>
      </c>
      <c r="AR147" s="94">
        <v>16.5</v>
      </c>
      <c r="AS147" s="95">
        <f t="shared" si="41"/>
        <v>2.8033603809065348</v>
      </c>
      <c r="AT147" s="96">
        <v>69.677999999999997</v>
      </c>
    </row>
    <row r="148" spans="1:46">
      <c r="A148" s="109">
        <v>14</v>
      </c>
      <c r="B148" s="110" t="s">
        <v>27</v>
      </c>
      <c r="C148" s="110" t="s">
        <v>26</v>
      </c>
      <c r="D148" s="111">
        <v>2013</v>
      </c>
      <c r="E148" s="109">
        <v>37.5</v>
      </c>
      <c r="F148" s="111">
        <f t="shared" si="28"/>
        <v>3.6243409329763652</v>
      </c>
      <c r="G148" s="93">
        <v>-2.7490899999999998</v>
      </c>
      <c r="H148" s="93">
        <v>-3700000000</v>
      </c>
      <c r="I148" s="94">
        <v>11705</v>
      </c>
      <c r="J148" s="95">
        <v>9.3677700000000002</v>
      </c>
      <c r="K148" s="96">
        <v>0.47</v>
      </c>
      <c r="L148" s="109">
        <v>9.6619997000000009</v>
      </c>
      <c r="M148" s="111">
        <f t="shared" si="29"/>
        <v>2.2682006350827422</v>
      </c>
      <c r="N148" s="112">
        <v>1.0465</v>
      </c>
      <c r="O148" s="113">
        <f t="shared" si="30"/>
        <v>4.5451262903917357E-2</v>
      </c>
      <c r="P148" s="109">
        <v>379</v>
      </c>
      <c r="Q148" s="111">
        <f t="shared" si="31"/>
        <v>5.9375362050824263</v>
      </c>
      <c r="R148" s="93">
        <v>26.4</v>
      </c>
      <c r="S148" s="114">
        <v>87.7</v>
      </c>
      <c r="T148" s="113">
        <f t="shared" si="32"/>
        <v>4.4739218993781371</v>
      </c>
      <c r="U148" s="112">
        <v>6.1</v>
      </c>
      <c r="V148" s="113">
        <f t="shared" si="33"/>
        <v>1.8082887711792655</v>
      </c>
      <c r="W148" s="115">
        <v>809.7</v>
      </c>
      <c r="X148" s="101">
        <f t="shared" si="34"/>
        <v>6.6966638086920689</v>
      </c>
      <c r="Y148" s="116">
        <v>2142</v>
      </c>
      <c r="Z148" s="102">
        <v>99999</v>
      </c>
      <c r="AA148" s="235">
        <v>0.13</v>
      </c>
      <c r="AB148" s="117">
        <f t="shared" si="35"/>
        <v>-2.0402208285265546</v>
      </c>
      <c r="AC148" s="115">
        <v>94</v>
      </c>
      <c r="AD148" s="117">
        <f t="shared" si="36"/>
        <v>4.5432947822700038</v>
      </c>
      <c r="AE148" s="109">
        <v>5338.21</v>
      </c>
      <c r="AF148" s="111">
        <f t="shared" si="37"/>
        <v>8.5826456697676452</v>
      </c>
      <c r="AG148" s="118">
        <v>30.2</v>
      </c>
      <c r="AH148" s="119">
        <v>9.6620000000000008</v>
      </c>
      <c r="AI148" s="120">
        <f t="shared" si="38"/>
        <v>2.2682006661322149</v>
      </c>
      <c r="AJ148" s="121">
        <v>379</v>
      </c>
      <c r="AK148" s="120">
        <f t="shared" si="39"/>
        <v>5.9375362050824263</v>
      </c>
      <c r="AL148" s="108">
        <v>26.4</v>
      </c>
      <c r="AM148" s="119">
        <v>5338.21</v>
      </c>
      <c r="AN148" s="120">
        <f t="shared" si="40"/>
        <v>8.5826456697676452</v>
      </c>
      <c r="AO148" s="96">
        <v>153.01300000000001</v>
      </c>
      <c r="AP148" s="94">
        <v>109.28</v>
      </c>
      <c r="AQ148" s="95">
        <v>4.6939099999999998</v>
      </c>
      <c r="AR148" s="94">
        <v>17.2</v>
      </c>
      <c r="AS148" s="95">
        <f t="shared" si="41"/>
        <v>2.8449093838194073</v>
      </c>
      <c r="AT148" s="96">
        <v>69.953000000000003</v>
      </c>
    </row>
    <row r="149" spans="1:46">
      <c r="A149" s="109">
        <v>14</v>
      </c>
      <c r="B149" s="110" t="s">
        <v>27</v>
      </c>
      <c r="C149" s="110" t="s">
        <v>26</v>
      </c>
      <c r="D149" s="111">
        <v>2014</v>
      </c>
      <c r="E149" s="109">
        <v>37.799999999999997</v>
      </c>
      <c r="F149" s="111">
        <f t="shared" si="28"/>
        <v>3.6323091026255421</v>
      </c>
      <c r="G149" s="93">
        <v>9.1326400000000003</v>
      </c>
      <c r="H149" s="93">
        <v>13000000000</v>
      </c>
      <c r="I149" s="94">
        <v>12233.3</v>
      </c>
      <c r="J149" s="95">
        <v>9.4119200000000003</v>
      </c>
      <c r="K149" s="96">
        <v>0.43</v>
      </c>
      <c r="L149" s="109">
        <v>12.811</v>
      </c>
      <c r="M149" s="111">
        <f t="shared" si="29"/>
        <v>2.5503041768742967</v>
      </c>
      <c r="N149" s="112">
        <v>0.84870000000000001</v>
      </c>
      <c r="O149" s="113">
        <f t="shared" si="30"/>
        <v>-0.16404951200650586</v>
      </c>
      <c r="P149" s="109">
        <v>384</v>
      </c>
      <c r="Q149" s="111">
        <f t="shared" si="31"/>
        <v>5.9506425525877269</v>
      </c>
      <c r="R149" s="93">
        <v>30.5</v>
      </c>
      <c r="S149" s="114">
        <v>87</v>
      </c>
      <c r="T149" s="113">
        <f t="shared" si="32"/>
        <v>4.4659081186545837</v>
      </c>
      <c r="U149" s="112">
        <v>5.3</v>
      </c>
      <c r="V149" s="113">
        <f t="shared" si="33"/>
        <v>1.6677068205580761</v>
      </c>
      <c r="W149" s="115">
        <v>819.4</v>
      </c>
      <c r="X149" s="101">
        <f t="shared" si="34"/>
        <v>6.7085723651127704</v>
      </c>
      <c r="Y149" s="116">
        <v>1983</v>
      </c>
      <c r="Z149" s="102">
        <v>94592</v>
      </c>
      <c r="AA149" s="235">
        <v>0.28999999999999998</v>
      </c>
      <c r="AB149" s="117">
        <f t="shared" si="35"/>
        <v>-1.2378743560016174</v>
      </c>
      <c r="AC149" s="115">
        <v>99</v>
      </c>
      <c r="AD149" s="117">
        <f t="shared" si="36"/>
        <v>4.5951198501345898</v>
      </c>
      <c r="AE149" s="109">
        <v>5328.9277000000002</v>
      </c>
      <c r="AF149" s="111">
        <f t="shared" si="37"/>
        <v>8.5809053149313357</v>
      </c>
      <c r="AG149" s="118">
        <v>27.5</v>
      </c>
      <c r="AH149" s="119">
        <v>12.811</v>
      </c>
      <c r="AI149" s="120">
        <f t="shared" si="38"/>
        <v>2.5503041768742967</v>
      </c>
      <c r="AJ149" s="121">
        <v>384</v>
      </c>
      <c r="AK149" s="120">
        <f t="shared" si="39"/>
        <v>5.9506425525877269</v>
      </c>
      <c r="AL149" s="108">
        <v>30.5</v>
      </c>
      <c r="AM149" s="119">
        <v>5328.93</v>
      </c>
      <c r="AN149" s="120">
        <f t="shared" si="40"/>
        <v>8.5809057465377752</v>
      </c>
      <c r="AO149" s="96">
        <v>152.81399999999999</v>
      </c>
      <c r="AP149" s="94">
        <v>108.114</v>
      </c>
      <c r="AQ149" s="95">
        <v>4.6831800000000001</v>
      </c>
      <c r="AR149" s="94">
        <v>15.7</v>
      </c>
      <c r="AS149" s="95">
        <f t="shared" si="41"/>
        <v>2.7536607123542622</v>
      </c>
      <c r="AT149" s="96">
        <v>70.227000000000004</v>
      </c>
    </row>
    <row r="150" spans="1:46">
      <c r="A150" s="109">
        <v>14</v>
      </c>
      <c r="B150" s="110" t="s">
        <v>27</v>
      </c>
      <c r="C150" s="110" t="s">
        <v>26</v>
      </c>
      <c r="D150" s="111">
        <v>2015</v>
      </c>
      <c r="E150" s="109">
        <v>39</v>
      </c>
      <c r="F150" s="111">
        <f t="shared" si="28"/>
        <v>3.6635616461296463</v>
      </c>
      <c r="G150" s="93">
        <v>-4.3696999999999999</v>
      </c>
      <c r="H150" s="93">
        <v>-5500000000</v>
      </c>
      <c r="I150" s="94">
        <v>12717</v>
      </c>
      <c r="J150" s="95">
        <v>9.4506999999999994</v>
      </c>
      <c r="K150" s="96">
        <v>0.43</v>
      </c>
      <c r="L150" s="109">
        <v>12.672000000000001</v>
      </c>
      <c r="M150" s="111">
        <f t="shared" si="29"/>
        <v>2.5393948350720699</v>
      </c>
      <c r="N150" s="112">
        <v>0.89539999999999997</v>
      </c>
      <c r="O150" s="113">
        <f t="shared" si="30"/>
        <v>-0.11048473317527192</v>
      </c>
      <c r="P150" s="109">
        <v>391</v>
      </c>
      <c r="Q150" s="111">
        <f t="shared" si="31"/>
        <v>5.9687075599853658</v>
      </c>
      <c r="R150" s="93">
        <v>32.200001</v>
      </c>
      <c r="S150" s="114">
        <v>83.3</v>
      </c>
      <c r="T150" s="113">
        <f t="shared" si="32"/>
        <v>4.4224485491727972</v>
      </c>
      <c r="U150" s="112">
        <v>5.7</v>
      </c>
      <c r="V150" s="113">
        <f t="shared" si="33"/>
        <v>1.7404661748405046</v>
      </c>
      <c r="W150" s="115">
        <v>758</v>
      </c>
      <c r="X150" s="101">
        <f t="shared" si="34"/>
        <v>6.6306833856423717</v>
      </c>
      <c r="Y150" s="116">
        <v>2080</v>
      </c>
      <c r="Z150" s="102">
        <v>102645</v>
      </c>
      <c r="AA150" s="235">
        <v>0.24</v>
      </c>
      <c r="AB150" s="117">
        <f t="shared" si="35"/>
        <v>-1.4271163556401458</v>
      </c>
      <c r="AC150" s="115">
        <v>104</v>
      </c>
      <c r="AD150" s="117">
        <f t="shared" si="36"/>
        <v>4.6443908991413725</v>
      </c>
      <c r="AE150" s="109">
        <v>5554.6635999999999</v>
      </c>
      <c r="AF150" s="111">
        <f t="shared" si="37"/>
        <v>8.6223931421842117</v>
      </c>
      <c r="AG150" s="118">
        <v>26.7</v>
      </c>
      <c r="AH150" s="119">
        <v>12.672000000000001</v>
      </c>
      <c r="AI150" s="120">
        <f t="shared" si="38"/>
        <v>2.5393948350720699</v>
      </c>
      <c r="AJ150" s="121">
        <v>391</v>
      </c>
      <c r="AK150" s="120">
        <f t="shared" si="39"/>
        <v>5.9687075599853658</v>
      </c>
      <c r="AL150" s="108">
        <v>32.200000000000003</v>
      </c>
      <c r="AM150" s="119">
        <v>5554.66</v>
      </c>
      <c r="AN150" s="120">
        <f t="shared" si="40"/>
        <v>8.6223924940799481</v>
      </c>
      <c r="AO150" s="96">
        <v>152.18600000000001</v>
      </c>
      <c r="AP150" s="94">
        <v>107.857</v>
      </c>
      <c r="AQ150" s="95">
        <v>4.6808100000000001</v>
      </c>
      <c r="AR150" s="94">
        <v>15.6</v>
      </c>
      <c r="AS150" s="95">
        <f t="shared" si="41"/>
        <v>2.7472709142554912</v>
      </c>
      <c r="AT150" s="96">
        <v>70.5</v>
      </c>
    </row>
    <row r="151" spans="1:46">
      <c r="A151" s="109">
        <v>14</v>
      </c>
      <c r="B151" s="110" t="s">
        <v>27</v>
      </c>
      <c r="C151" s="110" t="s">
        <v>26</v>
      </c>
      <c r="D151" s="111">
        <v>2016</v>
      </c>
      <c r="E151" s="109">
        <v>37.6</v>
      </c>
      <c r="F151" s="111">
        <f t="shared" si="28"/>
        <v>3.6270040503958487</v>
      </c>
      <c r="G151" s="93">
        <v>54.0032</v>
      </c>
      <c r="H151" s="93">
        <v>69000000000</v>
      </c>
      <c r="I151" s="94">
        <v>13035.4</v>
      </c>
      <c r="J151" s="95">
        <v>9.4754199999999997</v>
      </c>
      <c r="K151" s="96">
        <v>0.43</v>
      </c>
      <c r="L151" s="109">
        <v>12.068</v>
      </c>
      <c r="M151" s="111">
        <f t="shared" si="29"/>
        <v>2.4905573212968148</v>
      </c>
      <c r="N151" s="112">
        <v>0.95579999999999998</v>
      </c>
      <c r="O151" s="113">
        <f t="shared" si="30"/>
        <v>-4.5206592838079228E-2</v>
      </c>
      <c r="P151" s="109">
        <v>407</v>
      </c>
      <c r="Q151" s="111">
        <f t="shared" si="31"/>
        <v>6.0088131854425946</v>
      </c>
      <c r="R151" s="93">
        <v>34.700001</v>
      </c>
      <c r="S151" s="114">
        <v>84</v>
      </c>
      <c r="T151" s="113">
        <f t="shared" si="32"/>
        <v>4.4308167988433134</v>
      </c>
      <c r="U151" s="112">
        <v>6.3</v>
      </c>
      <c r="V151" s="113">
        <f t="shared" si="33"/>
        <v>1.8405496333974869</v>
      </c>
      <c r="W151" s="115">
        <v>112.9</v>
      </c>
      <c r="X151" s="101">
        <f t="shared" si="34"/>
        <v>4.7265024711556167</v>
      </c>
      <c r="Y151" s="116">
        <v>2279</v>
      </c>
      <c r="Z151" s="102">
        <v>110391</v>
      </c>
      <c r="AA151" s="235">
        <v>0.32</v>
      </c>
      <c r="AB151" s="117">
        <f t="shared" si="35"/>
        <v>-1.1394342831883648</v>
      </c>
      <c r="AC151" s="115">
        <v>107</v>
      </c>
      <c r="AD151" s="117">
        <f t="shared" si="36"/>
        <v>4.6728288344619058</v>
      </c>
      <c r="AE151" s="109">
        <v>5612.0268999999998</v>
      </c>
      <c r="AF151" s="111">
        <f t="shared" si="37"/>
        <v>8.6326672345109348</v>
      </c>
      <c r="AG151" s="118">
        <v>28.1</v>
      </c>
      <c r="AH151" s="119">
        <v>12.068</v>
      </c>
      <c r="AI151" s="120">
        <f t="shared" si="38"/>
        <v>2.4905573212968148</v>
      </c>
      <c r="AJ151" s="121">
        <v>407</v>
      </c>
      <c r="AK151" s="120">
        <f t="shared" si="39"/>
        <v>6.0088131854425946</v>
      </c>
      <c r="AL151" s="108">
        <v>34.700000000000003</v>
      </c>
      <c r="AM151" s="119">
        <v>5612.03</v>
      </c>
      <c r="AN151" s="120">
        <f t="shared" si="40"/>
        <v>8.6326677868958743</v>
      </c>
      <c r="AO151" s="96">
        <v>152.24299999999999</v>
      </c>
      <c r="AP151" s="94">
        <v>107.539</v>
      </c>
      <c r="AQ151" s="95">
        <v>4.6778599999999999</v>
      </c>
      <c r="AR151" s="94">
        <v>15.3</v>
      </c>
      <c r="AS151" s="95">
        <f t="shared" si="41"/>
        <v>2.7278528283983898</v>
      </c>
      <c r="AT151" s="96">
        <v>70.778999999999996</v>
      </c>
    </row>
    <row r="152" spans="1:46">
      <c r="A152" s="109">
        <v>14</v>
      </c>
      <c r="B152" s="110" t="s">
        <v>27</v>
      </c>
      <c r="C152" s="110" t="s">
        <v>26</v>
      </c>
      <c r="D152" s="111">
        <v>2017</v>
      </c>
      <c r="E152" s="109">
        <v>38.4</v>
      </c>
      <c r="F152" s="111">
        <f t="shared" si="28"/>
        <v>3.648057459593681</v>
      </c>
      <c r="G152" s="93">
        <v>-8.6448</v>
      </c>
      <c r="H152" s="93">
        <v>-12000000000</v>
      </c>
      <c r="I152" s="94">
        <v>13628.4</v>
      </c>
      <c r="J152" s="95">
        <v>9.5199099999999994</v>
      </c>
      <c r="K152" s="96">
        <v>0.43</v>
      </c>
      <c r="L152" s="109">
        <v>13.926</v>
      </c>
      <c r="M152" s="111">
        <f t="shared" si="29"/>
        <v>2.633757596520355</v>
      </c>
      <c r="N152" s="112">
        <v>0.88939999999999997</v>
      </c>
      <c r="O152" s="113">
        <f t="shared" si="30"/>
        <v>-0.11720820090554102</v>
      </c>
      <c r="P152" s="109">
        <v>390</v>
      </c>
      <c r="Q152" s="111">
        <f t="shared" si="31"/>
        <v>5.9661467391236922</v>
      </c>
      <c r="R152" s="93">
        <v>35</v>
      </c>
      <c r="S152" s="114">
        <v>84.2</v>
      </c>
      <c r="T152" s="113">
        <f t="shared" si="32"/>
        <v>4.4331949212482815</v>
      </c>
      <c r="U152" s="112">
        <v>6.7</v>
      </c>
      <c r="V152" s="113">
        <f t="shared" si="33"/>
        <v>1.9021075263969205</v>
      </c>
      <c r="W152" s="115">
        <v>61.9</v>
      </c>
      <c r="X152" s="101">
        <f t="shared" si="34"/>
        <v>4.1255201796905503</v>
      </c>
      <c r="Y152" s="116">
        <v>2797</v>
      </c>
      <c r="Z152" s="102">
        <v>114922</v>
      </c>
      <c r="AA152" s="235">
        <v>0.1</v>
      </c>
      <c r="AB152" s="117">
        <f t="shared" si="35"/>
        <v>-2.3025850929940455</v>
      </c>
      <c r="AC152" s="115">
        <v>109</v>
      </c>
      <c r="AD152" s="117">
        <f t="shared" si="36"/>
        <v>4.6913478822291435</v>
      </c>
      <c r="AE152" s="109">
        <v>5472.4209000000001</v>
      </c>
      <c r="AF152" s="111">
        <f t="shared" si="37"/>
        <v>8.6074763752039321</v>
      </c>
      <c r="AG152" s="118">
        <v>29.6</v>
      </c>
      <c r="AH152" s="119">
        <v>13.926</v>
      </c>
      <c r="AI152" s="120">
        <f t="shared" si="38"/>
        <v>2.633757596520355</v>
      </c>
      <c r="AJ152" s="121">
        <v>390</v>
      </c>
      <c r="AK152" s="120">
        <f t="shared" si="39"/>
        <v>5.9661467391236922</v>
      </c>
      <c r="AL152" s="108">
        <v>35</v>
      </c>
      <c r="AM152" s="119">
        <v>5472.42</v>
      </c>
      <c r="AN152" s="120">
        <f t="shared" si="40"/>
        <v>8.6074762107428846</v>
      </c>
      <c r="AO152" s="96">
        <v>154.65100000000001</v>
      </c>
      <c r="AP152" s="94">
        <v>107.254</v>
      </c>
      <c r="AQ152" s="95">
        <v>4.6752000000000002</v>
      </c>
      <c r="AR152" s="94">
        <v>14.6</v>
      </c>
      <c r="AS152" s="95">
        <f t="shared" si="41"/>
        <v>2.6810215287142909</v>
      </c>
      <c r="AT152" s="96">
        <v>71.061999999999998</v>
      </c>
    </row>
    <row r="153" spans="1:46">
      <c r="A153" s="109">
        <v>14</v>
      </c>
      <c r="B153" s="110" t="s">
        <v>27</v>
      </c>
      <c r="C153" s="110" t="s">
        <v>26</v>
      </c>
      <c r="D153" s="111">
        <v>2018</v>
      </c>
      <c r="E153" s="109">
        <v>38.4</v>
      </c>
      <c r="F153" s="111">
        <f t="shared" si="28"/>
        <v>3.648057459593681</v>
      </c>
      <c r="G153" s="93">
        <v>-40.262900000000002</v>
      </c>
      <c r="H153" s="93">
        <v>-65000000000</v>
      </c>
      <c r="I153" s="94">
        <v>14377.4</v>
      </c>
      <c r="J153" s="95">
        <v>9.5734100000000009</v>
      </c>
      <c r="K153" s="96">
        <v>0.43</v>
      </c>
      <c r="L153" s="109">
        <v>15.906000000000001</v>
      </c>
      <c r="M153" s="111">
        <f t="shared" si="29"/>
        <v>2.7666963965349436</v>
      </c>
      <c r="N153" s="112">
        <v>0.81920000000000004</v>
      </c>
      <c r="O153" s="113">
        <f t="shared" si="30"/>
        <v>-0.19942702469689366</v>
      </c>
      <c r="P153" s="109">
        <v>398</v>
      </c>
      <c r="Q153" s="111">
        <f t="shared" si="31"/>
        <v>5.9864520052844377</v>
      </c>
      <c r="R153" s="93">
        <v>37.400002000000001</v>
      </c>
      <c r="S153" s="114">
        <v>83.5</v>
      </c>
      <c r="T153" s="113">
        <f t="shared" si="32"/>
        <v>4.42484663185681</v>
      </c>
      <c r="U153" s="112">
        <v>6.9</v>
      </c>
      <c r="V153" s="113">
        <f t="shared" si="33"/>
        <v>1.9315214116032138</v>
      </c>
      <c r="W153" s="115">
        <v>18</v>
      </c>
      <c r="X153" s="101">
        <f t="shared" si="34"/>
        <v>2.8903717578961645</v>
      </c>
      <c r="Y153" s="116">
        <v>3391</v>
      </c>
      <c r="Z153" s="102">
        <v>119781</v>
      </c>
      <c r="AA153" s="235">
        <v>0.2</v>
      </c>
      <c r="AB153" s="117">
        <f t="shared" si="35"/>
        <v>-1.6094379124341003</v>
      </c>
      <c r="AC153" s="115">
        <v>113</v>
      </c>
      <c r="AD153" s="117">
        <f t="shared" si="36"/>
        <v>4.7273878187123408</v>
      </c>
      <c r="AE153" s="109">
        <v>5177.5141999999996</v>
      </c>
      <c r="AF153" s="111">
        <f t="shared" si="37"/>
        <v>8.5520803359023851</v>
      </c>
      <c r="AG153" s="118">
        <v>29.5</v>
      </c>
      <c r="AH153" s="119">
        <v>15.906000000000001</v>
      </c>
      <c r="AI153" s="120">
        <f t="shared" si="38"/>
        <v>2.7666963965349436</v>
      </c>
      <c r="AJ153" s="121">
        <v>398</v>
      </c>
      <c r="AK153" s="120">
        <f t="shared" si="39"/>
        <v>5.9864520052844377</v>
      </c>
      <c r="AL153" s="108">
        <v>37.4</v>
      </c>
      <c r="AM153" s="119">
        <v>5177.51</v>
      </c>
      <c r="AN153" s="120">
        <f t="shared" si="40"/>
        <v>8.5520795247019645</v>
      </c>
      <c r="AO153" s="96">
        <v>152.863</v>
      </c>
      <c r="AP153" s="94">
        <v>107.11799999999999</v>
      </c>
      <c r="AQ153" s="95">
        <v>4.6739300000000004</v>
      </c>
      <c r="AR153" s="94">
        <v>13.6</v>
      </c>
      <c r="AS153" s="95">
        <f t="shared" si="41"/>
        <v>2.6100697927420065</v>
      </c>
      <c r="AT153" s="96">
        <v>71.350999999999999</v>
      </c>
    </row>
    <row r="154" spans="1:46">
      <c r="A154" s="109">
        <v>14</v>
      </c>
      <c r="B154" s="110" t="s">
        <v>27</v>
      </c>
      <c r="C154" s="110" t="s">
        <v>26</v>
      </c>
      <c r="D154" s="111">
        <v>2019</v>
      </c>
      <c r="E154" s="109">
        <v>39.200000000000003</v>
      </c>
      <c r="F154" s="111">
        <f t="shared" si="28"/>
        <v>3.6686767467964168</v>
      </c>
      <c r="G154" s="93">
        <v>59.910400000000003</v>
      </c>
      <c r="H154" s="93">
        <v>98000000000</v>
      </c>
      <c r="I154" s="94">
        <v>15083.6</v>
      </c>
      <c r="J154" s="95">
        <v>9.6213599999999992</v>
      </c>
      <c r="K154" s="96">
        <v>0.44</v>
      </c>
      <c r="L154" s="109">
        <v>16.698</v>
      </c>
      <c r="M154" s="111">
        <f t="shared" si="29"/>
        <v>2.8152889517718087</v>
      </c>
      <c r="N154" s="112">
        <v>0.82740000000000002</v>
      </c>
      <c r="O154" s="113">
        <f t="shared" si="30"/>
        <v>-0.1894670249548259</v>
      </c>
      <c r="P154" s="109">
        <v>409</v>
      </c>
      <c r="Q154" s="111">
        <f t="shared" si="31"/>
        <v>6.0137151560428022</v>
      </c>
      <c r="R154" s="93">
        <v>35.900002000000001</v>
      </c>
      <c r="S154" s="114">
        <v>83.7</v>
      </c>
      <c r="T154" s="113">
        <f t="shared" si="32"/>
        <v>4.4272389774954295</v>
      </c>
      <c r="U154" s="112">
        <v>5.5</v>
      </c>
      <c r="V154" s="113">
        <f t="shared" si="33"/>
        <v>1.7047480922384253</v>
      </c>
      <c r="W154" s="115">
        <v>7.2</v>
      </c>
      <c r="X154" s="101">
        <f t="shared" si="34"/>
        <v>1.9740810260220096</v>
      </c>
      <c r="Y154" s="116">
        <v>2702</v>
      </c>
      <c r="Z154" s="102">
        <v>109768</v>
      </c>
      <c r="AA154" s="235">
        <v>0.31</v>
      </c>
      <c r="AB154" s="117">
        <f t="shared" si="35"/>
        <v>-1.1711829815029451</v>
      </c>
      <c r="AC154" s="115">
        <v>113</v>
      </c>
      <c r="AD154" s="117">
        <f t="shared" si="36"/>
        <v>4.7273878187123408</v>
      </c>
      <c r="AE154" s="109">
        <v>4882.6073999999999</v>
      </c>
      <c r="AF154" s="111">
        <f t="shared" si="37"/>
        <v>8.4934346594367085</v>
      </c>
      <c r="AG154" s="118">
        <v>27.1</v>
      </c>
      <c r="AH154" s="119">
        <v>16.698</v>
      </c>
      <c r="AI154" s="120">
        <f t="shared" si="38"/>
        <v>2.8152889517718087</v>
      </c>
      <c r="AJ154" s="121">
        <v>409</v>
      </c>
      <c r="AK154" s="120">
        <f t="shared" si="39"/>
        <v>6.0137151560428022</v>
      </c>
      <c r="AL154" s="108">
        <v>35.9</v>
      </c>
      <c r="AM154" s="119">
        <v>0</v>
      </c>
      <c r="AN154" s="120">
        <v>0</v>
      </c>
      <c r="AO154" s="96">
        <v>148.99700000000001</v>
      </c>
      <c r="AP154" s="94">
        <v>107.069</v>
      </c>
      <c r="AQ154" s="95">
        <v>4.6734799999999996</v>
      </c>
      <c r="AR154" s="94">
        <v>13.6</v>
      </c>
      <c r="AS154" s="95">
        <f t="shared" si="41"/>
        <v>2.6100697927420065</v>
      </c>
      <c r="AT154" s="96">
        <v>71.644000000000005</v>
      </c>
    </row>
    <row r="155" spans="1:46">
      <c r="A155" s="109">
        <v>14</v>
      </c>
      <c r="B155" s="110" t="s">
        <v>27</v>
      </c>
      <c r="C155" s="110" t="s">
        <v>26</v>
      </c>
      <c r="D155" s="111">
        <v>2020</v>
      </c>
      <c r="E155" s="109">
        <v>39.9</v>
      </c>
      <c r="F155" s="111">
        <f t="shared" si="28"/>
        <v>3.6863763238958178</v>
      </c>
      <c r="G155" s="93">
        <v>106.428</v>
      </c>
      <c r="H155" s="93">
        <v>170000000000</v>
      </c>
      <c r="I155" s="94">
        <v>14437.8</v>
      </c>
      <c r="J155" s="95">
        <v>9.57761</v>
      </c>
      <c r="K155" s="96">
        <v>0.47</v>
      </c>
      <c r="L155" s="109">
        <v>14.297000000000001</v>
      </c>
      <c r="M155" s="111">
        <f t="shared" si="29"/>
        <v>2.6600497250470272</v>
      </c>
      <c r="N155" s="112">
        <v>0.91420000000000001</v>
      </c>
      <c r="O155" s="113">
        <f t="shared" si="30"/>
        <v>-8.970591308449305E-2</v>
      </c>
      <c r="P155" s="109">
        <v>424</v>
      </c>
      <c r="Q155" s="111">
        <f t="shared" si="31"/>
        <v>6.0497334552319577</v>
      </c>
      <c r="R155" s="93">
        <v>32</v>
      </c>
      <c r="S155" s="114">
        <v>81.900000000000006</v>
      </c>
      <c r="T155" s="113">
        <f t="shared" si="32"/>
        <v>4.4054989908590239</v>
      </c>
      <c r="U155" s="112">
        <v>5.0999999999999996</v>
      </c>
      <c r="V155" s="113">
        <f t="shared" si="33"/>
        <v>1.62924053973028</v>
      </c>
      <c r="W155" s="115">
        <v>648.1</v>
      </c>
      <c r="X155" s="101">
        <f t="shared" si="34"/>
        <v>6.4740450054336707</v>
      </c>
      <c r="Y155" s="116">
        <v>2510</v>
      </c>
      <c r="Z155" s="102">
        <v>105907</v>
      </c>
      <c r="AA155" s="235">
        <v>0</v>
      </c>
      <c r="AB155" s="117">
        <v>0</v>
      </c>
      <c r="AC155" s="115">
        <v>111</v>
      </c>
      <c r="AD155" s="117">
        <f t="shared" si="36"/>
        <v>4.7095302013123339</v>
      </c>
      <c r="AE155" s="109">
        <v>4587.7007000000003</v>
      </c>
      <c r="AF155" s="111">
        <f t="shared" si="37"/>
        <v>8.4311342407246528</v>
      </c>
      <c r="AG155" s="118">
        <v>26.8</v>
      </c>
      <c r="AH155" s="119">
        <v>14.297000000000001</v>
      </c>
      <c r="AI155" s="120">
        <f t="shared" si="38"/>
        <v>2.6600497250470272</v>
      </c>
      <c r="AJ155" s="121">
        <v>424</v>
      </c>
      <c r="AK155" s="120">
        <f t="shared" si="39"/>
        <v>6.0497334552319577</v>
      </c>
      <c r="AL155" s="108">
        <v>32</v>
      </c>
      <c r="AM155" s="119">
        <v>0</v>
      </c>
      <c r="AN155" s="120">
        <v>0</v>
      </c>
      <c r="AO155" s="96">
        <v>150.471</v>
      </c>
      <c r="AP155" s="94">
        <v>106.839</v>
      </c>
      <c r="AQ155" s="95">
        <v>4.6713300000000002</v>
      </c>
      <c r="AR155" s="94">
        <v>14.8</v>
      </c>
      <c r="AS155" s="95">
        <f t="shared" si="41"/>
        <v>2.6946271807700692</v>
      </c>
      <c r="AT155" s="96">
        <v>71.941999999999993</v>
      </c>
    </row>
    <row r="156" spans="1:46">
      <c r="A156" s="109">
        <v>15</v>
      </c>
      <c r="B156" s="110" t="s">
        <v>25</v>
      </c>
      <c r="C156" s="110" t="s">
        <v>24</v>
      </c>
      <c r="D156" s="111">
        <v>2010</v>
      </c>
      <c r="E156" s="109">
        <v>18.5</v>
      </c>
      <c r="F156" s="111">
        <f t="shared" si="28"/>
        <v>2.917770732084279</v>
      </c>
      <c r="G156" s="93">
        <v>17.004899999999999</v>
      </c>
      <c r="H156" s="93">
        <v>38000000000</v>
      </c>
      <c r="I156" s="94">
        <v>47040.4</v>
      </c>
      <c r="J156" s="95">
        <v>10.758800000000001</v>
      </c>
      <c r="K156" s="96">
        <v>0.73</v>
      </c>
      <c r="L156" s="109">
        <v>16.177</v>
      </c>
      <c r="M156" s="111">
        <f t="shared" si="29"/>
        <v>2.7835904803475571</v>
      </c>
      <c r="N156" s="112">
        <v>1.7444</v>
      </c>
      <c r="O156" s="113">
        <f t="shared" si="30"/>
        <v>0.55641065698647429</v>
      </c>
      <c r="P156" s="109">
        <v>461</v>
      </c>
      <c r="Q156" s="111">
        <f t="shared" si="31"/>
        <v>6.1333980429966486</v>
      </c>
      <c r="R156" s="93">
        <v>35.700001</v>
      </c>
      <c r="S156" s="114">
        <v>80.3</v>
      </c>
      <c r="T156" s="113">
        <f t="shared" si="32"/>
        <v>4.3857696209527157</v>
      </c>
      <c r="U156" s="112">
        <v>1.9</v>
      </c>
      <c r="V156" s="113">
        <f t="shared" si="33"/>
        <v>0.64185388617239469</v>
      </c>
      <c r="W156" s="115">
        <v>185.4</v>
      </c>
      <c r="X156" s="101">
        <f t="shared" si="34"/>
        <v>5.2225156531317545</v>
      </c>
      <c r="Y156" s="116">
        <v>10761</v>
      </c>
      <c r="Z156" s="102">
        <v>22354</v>
      </c>
      <c r="AA156" s="235">
        <v>0.46</v>
      </c>
      <c r="AB156" s="117">
        <f t="shared" si="35"/>
        <v>-0.77652878949899629</v>
      </c>
      <c r="AC156" s="115">
        <v>100</v>
      </c>
      <c r="AD156" s="117">
        <f t="shared" si="36"/>
        <v>4.6051701859880918</v>
      </c>
      <c r="AE156" s="109">
        <v>11844.579</v>
      </c>
      <c r="AF156" s="111">
        <f t="shared" si="37"/>
        <v>9.3796255735382754</v>
      </c>
      <c r="AG156" s="118">
        <v>28.5</v>
      </c>
      <c r="AH156" s="119">
        <v>16.177</v>
      </c>
      <c r="AI156" s="120">
        <f t="shared" si="38"/>
        <v>2.7835904803475571</v>
      </c>
      <c r="AJ156" s="121">
        <v>461</v>
      </c>
      <c r="AK156" s="120">
        <f t="shared" si="39"/>
        <v>6.1333980429966486</v>
      </c>
      <c r="AL156" s="108">
        <v>35.700000000000003</v>
      </c>
      <c r="AM156" s="119">
        <v>11844.6</v>
      </c>
      <c r="AN156" s="120">
        <f t="shared" si="40"/>
        <v>9.379627346499678</v>
      </c>
      <c r="AO156" s="96">
        <v>79.632599999999996</v>
      </c>
      <c r="AP156" s="94">
        <v>66.194699999999997</v>
      </c>
      <c r="AQ156" s="95">
        <v>4.1925999999999997</v>
      </c>
      <c r="AR156" s="94">
        <v>5.3</v>
      </c>
      <c r="AS156" s="95">
        <f t="shared" si="41"/>
        <v>1.6677068205580761</v>
      </c>
      <c r="AT156" s="96">
        <v>61.542000000000002</v>
      </c>
    </row>
    <row r="157" spans="1:46">
      <c r="A157" s="109">
        <v>15</v>
      </c>
      <c r="B157" s="110" t="s">
        <v>25</v>
      </c>
      <c r="C157" s="110" t="s">
        <v>24</v>
      </c>
      <c r="D157" s="111">
        <v>2011</v>
      </c>
      <c r="E157" s="109">
        <v>18.5</v>
      </c>
      <c r="F157" s="111">
        <f t="shared" si="28"/>
        <v>2.917770732084279</v>
      </c>
      <c r="G157" s="93">
        <v>9.8200099999999999</v>
      </c>
      <c r="H157" s="93">
        <v>24000000000</v>
      </c>
      <c r="I157" s="94">
        <v>47607.9</v>
      </c>
      <c r="J157" s="95">
        <v>10.770799999999999</v>
      </c>
      <c r="K157" s="96">
        <v>0.66</v>
      </c>
      <c r="L157" s="109">
        <v>15.039</v>
      </c>
      <c r="M157" s="111">
        <f t="shared" si="29"/>
        <v>2.7106468269494761</v>
      </c>
      <c r="N157" s="112">
        <v>2.0495000000000001</v>
      </c>
      <c r="O157" s="113">
        <f t="shared" si="30"/>
        <v>0.71759586096225525</v>
      </c>
      <c r="P157" s="109">
        <v>468</v>
      </c>
      <c r="Q157" s="111">
        <f t="shared" si="31"/>
        <v>6.1484682959176471</v>
      </c>
      <c r="R157" s="93">
        <v>36.099997999999999</v>
      </c>
      <c r="S157" s="114">
        <v>82.1</v>
      </c>
      <c r="T157" s="113">
        <f t="shared" si="32"/>
        <v>4.4079380164583828</v>
      </c>
      <c r="U157" s="112">
        <v>2.2000000000000002</v>
      </c>
      <c r="V157" s="113">
        <f t="shared" si="33"/>
        <v>0.78845736036427028</v>
      </c>
      <c r="W157" s="115">
        <v>14.2</v>
      </c>
      <c r="X157" s="101">
        <f t="shared" si="34"/>
        <v>2.653241964607215</v>
      </c>
      <c r="Y157" s="116">
        <v>10647</v>
      </c>
      <c r="Z157" s="102">
        <v>22818</v>
      </c>
      <c r="AA157" s="235">
        <v>0.82</v>
      </c>
      <c r="AB157" s="117">
        <f t="shared" si="35"/>
        <v>-0.19845093872383832</v>
      </c>
      <c r="AC157" s="115">
        <v>104</v>
      </c>
      <c r="AD157" s="117">
        <f t="shared" si="36"/>
        <v>4.6443908991413725</v>
      </c>
      <c r="AE157" s="109">
        <v>11850.786</v>
      </c>
      <c r="AF157" s="111">
        <f t="shared" si="37"/>
        <v>9.3801494734775233</v>
      </c>
      <c r="AG157" s="118">
        <v>31.3</v>
      </c>
      <c r="AH157" s="119">
        <v>15.039</v>
      </c>
      <c r="AI157" s="120">
        <f t="shared" si="38"/>
        <v>2.7106468269494761</v>
      </c>
      <c r="AJ157" s="121">
        <v>468</v>
      </c>
      <c r="AK157" s="120">
        <f t="shared" si="39"/>
        <v>6.1484682959176471</v>
      </c>
      <c r="AL157" s="108">
        <v>36.1</v>
      </c>
      <c r="AM157" s="119">
        <v>11850.8</v>
      </c>
      <c r="AN157" s="120">
        <f t="shared" si="40"/>
        <v>9.3801506548330664</v>
      </c>
      <c r="AO157" s="96">
        <v>79.700100000000006</v>
      </c>
      <c r="AP157" s="94">
        <v>66.483999999999995</v>
      </c>
      <c r="AQ157" s="95">
        <v>4.1969599999999998</v>
      </c>
      <c r="AR157" s="94">
        <v>7</v>
      </c>
      <c r="AS157" s="95">
        <f t="shared" si="41"/>
        <v>1.9459101490553132</v>
      </c>
      <c r="AT157" s="96">
        <v>61.741999999999997</v>
      </c>
    </row>
    <row r="158" spans="1:46">
      <c r="A158" s="109">
        <v>15</v>
      </c>
      <c r="B158" s="110" t="s">
        <v>25</v>
      </c>
      <c r="C158" s="110" t="s">
        <v>24</v>
      </c>
      <c r="D158" s="111">
        <v>2012</v>
      </c>
      <c r="E158" s="109">
        <v>20.5</v>
      </c>
      <c r="F158" s="111">
        <f t="shared" si="28"/>
        <v>3.0204248861443626</v>
      </c>
      <c r="G158" s="93">
        <v>25.56</v>
      </c>
      <c r="H158" s="93">
        <v>58000000000</v>
      </c>
      <c r="I158" s="94">
        <v>47217.4</v>
      </c>
      <c r="J158" s="95">
        <v>10.762499999999999</v>
      </c>
      <c r="K158" s="96">
        <v>0.68</v>
      </c>
      <c r="L158" s="109">
        <v>15.635</v>
      </c>
      <c r="M158" s="111">
        <f t="shared" si="29"/>
        <v>2.7495119909098045</v>
      </c>
      <c r="N158" s="112">
        <v>2.0381</v>
      </c>
      <c r="O158" s="113">
        <f t="shared" si="30"/>
        <v>0.71201800131019677</v>
      </c>
      <c r="P158" s="109">
        <v>457</v>
      </c>
      <c r="Q158" s="111">
        <f t="shared" si="31"/>
        <v>6.1246833908942051</v>
      </c>
      <c r="R158" s="93">
        <v>36.599997999999999</v>
      </c>
      <c r="S158" s="114">
        <v>83.4</v>
      </c>
      <c r="T158" s="113">
        <f t="shared" si="32"/>
        <v>4.423648309364701</v>
      </c>
      <c r="U158" s="112">
        <v>1.9</v>
      </c>
      <c r="V158" s="113">
        <f t="shared" si="33"/>
        <v>0.64185388617239469</v>
      </c>
      <c r="W158" s="115">
        <v>2.2999999999999998</v>
      </c>
      <c r="X158" s="101">
        <f t="shared" si="34"/>
        <v>0.83290912293510388</v>
      </c>
      <c r="Y158" s="116">
        <v>10676</v>
      </c>
      <c r="Z158" s="102">
        <v>23458</v>
      </c>
      <c r="AA158" s="235">
        <v>0.3</v>
      </c>
      <c r="AB158" s="117">
        <f t="shared" si="35"/>
        <v>-1.2039728043259361</v>
      </c>
      <c r="AC158" s="115">
        <v>105</v>
      </c>
      <c r="AD158" s="117">
        <f t="shared" si="36"/>
        <v>4.6539603501575231</v>
      </c>
      <c r="AE158" s="109">
        <v>11901.032999999999</v>
      </c>
      <c r="AF158" s="111">
        <f t="shared" si="37"/>
        <v>9.3843804820548247</v>
      </c>
      <c r="AG158" s="118">
        <v>30.9</v>
      </c>
      <c r="AH158" s="119">
        <v>15.635</v>
      </c>
      <c r="AI158" s="120">
        <f t="shared" si="38"/>
        <v>2.7495119909098045</v>
      </c>
      <c r="AJ158" s="121">
        <v>457</v>
      </c>
      <c r="AK158" s="120">
        <f t="shared" si="39"/>
        <v>6.1246833908942051</v>
      </c>
      <c r="AL158" s="108">
        <v>36.6</v>
      </c>
      <c r="AM158" s="119">
        <v>11901</v>
      </c>
      <c r="AN158" s="120">
        <v>0</v>
      </c>
      <c r="AO158" s="96">
        <v>78.999099999999999</v>
      </c>
      <c r="AP158" s="94">
        <v>66.766300000000001</v>
      </c>
      <c r="AQ158" s="95">
        <v>4.2012</v>
      </c>
      <c r="AR158" s="94">
        <v>6.9</v>
      </c>
      <c r="AS158" s="95">
        <f t="shared" si="41"/>
        <v>1.9315214116032138</v>
      </c>
      <c r="AT158" s="96">
        <v>61.942</v>
      </c>
    </row>
    <row r="159" spans="1:46">
      <c r="A159" s="109">
        <v>15</v>
      </c>
      <c r="B159" s="110" t="s">
        <v>25</v>
      </c>
      <c r="C159" s="110" t="s">
        <v>24</v>
      </c>
      <c r="D159" s="111">
        <v>2013</v>
      </c>
      <c r="E159" s="109">
        <v>20.5</v>
      </c>
      <c r="F159" s="111">
        <f t="shared" si="28"/>
        <v>3.0204248861443626</v>
      </c>
      <c r="G159" s="93">
        <v>29.815000000000001</v>
      </c>
      <c r="H159" s="93">
        <v>73000000000</v>
      </c>
      <c r="I159" s="94">
        <v>47999.1</v>
      </c>
      <c r="J159" s="95">
        <v>10.7789</v>
      </c>
      <c r="K159" s="96">
        <v>0.71</v>
      </c>
      <c r="L159" s="109">
        <v>17.295000000000002</v>
      </c>
      <c r="M159" s="111">
        <f t="shared" si="29"/>
        <v>2.8504174423891322</v>
      </c>
      <c r="N159" s="112">
        <v>1.9456</v>
      </c>
      <c r="O159" s="113">
        <f t="shared" si="30"/>
        <v>0.66557041278971085</v>
      </c>
      <c r="P159" s="109">
        <v>454</v>
      </c>
      <c r="Q159" s="111">
        <f t="shared" si="31"/>
        <v>6.1180971980413483</v>
      </c>
      <c r="R159" s="93">
        <v>38.199998999999998</v>
      </c>
      <c r="S159" s="114">
        <v>83.3</v>
      </c>
      <c r="T159" s="113">
        <f t="shared" si="32"/>
        <v>4.4224485491727972</v>
      </c>
      <c r="U159" s="112">
        <v>1.9</v>
      </c>
      <c r="V159" s="113">
        <f t="shared" si="33"/>
        <v>0.64185388617239469</v>
      </c>
      <c r="W159" s="115">
        <v>19.100000000000001</v>
      </c>
      <c r="X159" s="101">
        <f t="shared" si="34"/>
        <v>2.9496883350525844</v>
      </c>
      <c r="Y159" s="116">
        <v>10732</v>
      </c>
      <c r="Z159" s="102">
        <v>24219</v>
      </c>
      <c r="AA159" s="235">
        <v>0.53</v>
      </c>
      <c r="AB159" s="117">
        <f t="shared" si="35"/>
        <v>-0.6348782724359695</v>
      </c>
      <c r="AC159" s="115">
        <v>102</v>
      </c>
      <c r="AD159" s="117">
        <f t="shared" si="36"/>
        <v>4.6249728132842707</v>
      </c>
      <c r="AE159" s="109">
        <v>12312.768</v>
      </c>
      <c r="AF159" s="111">
        <f t="shared" si="37"/>
        <v>9.4183920517409199</v>
      </c>
      <c r="AG159" s="118">
        <v>30.9</v>
      </c>
      <c r="AH159" s="119">
        <v>17.295000000000002</v>
      </c>
      <c r="AI159" s="120">
        <f t="shared" si="38"/>
        <v>2.8504174423891322</v>
      </c>
      <c r="AJ159" s="121">
        <v>454</v>
      </c>
      <c r="AK159" s="120">
        <f t="shared" si="39"/>
        <v>6.1180971980413483</v>
      </c>
      <c r="AL159" s="108"/>
      <c r="AM159" s="119">
        <v>12312.8</v>
      </c>
      <c r="AN159" s="120">
        <f t="shared" si="40"/>
        <v>9.4183946506657445</v>
      </c>
      <c r="AO159" s="96">
        <v>77.587299999999999</v>
      </c>
      <c r="AP159" s="94">
        <v>67.118799999999993</v>
      </c>
      <c r="AQ159" s="95">
        <v>4.2064599999999999</v>
      </c>
      <c r="AR159" s="94">
        <v>7.7</v>
      </c>
      <c r="AS159" s="95">
        <f t="shared" si="41"/>
        <v>2.0412203288596382</v>
      </c>
      <c r="AT159" s="96">
        <v>62.140999999999998</v>
      </c>
    </row>
    <row r="160" spans="1:46">
      <c r="A160" s="109">
        <v>15</v>
      </c>
      <c r="B160" s="110" t="s">
        <v>25</v>
      </c>
      <c r="C160" s="110" t="s">
        <v>24</v>
      </c>
      <c r="D160" s="111">
        <v>2014</v>
      </c>
      <c r="E160" s="109">
        <v>20.2</v>
      </c>
      <c r="F160" s="111">
        <f t="shared" si="28"/>
        <v>3.0056826044071592</v>
      </c>
      <c r="G160" s="93">
        <v>39.321199999999997</v>
      </c>
      <c r="H160" s="93">
        <v>100000000000</v>
      </c>
      <c r="I160" s="94">
        <v>52098.1</v>
      </c>
      <c r="J160" s="95">
        <v>10.860900000000001</v>
      </c>
      <c r="K160" s="96">
        <v>0.7</v>
      </c>
      <c r="L160" s="109">
        <v>16.541</v>
      </c>
      <c r="M160" s="111">
        <f t="shared" si="29"/>
        <v>2.8058421472600843</v>
      </c>
      <c r="N160" s="112">
        <v>2.1812999999999998</v>
      </c>
      <c r="O160" s="113">
        <f t="shared" si="30"/>
        <v>0.77992102934198371</v>
      </c>
      <c r="P160" s="109">
        <v>430</v>
      </c>
      <c r="Q160" s="111">
        <f t="shared" si="31"/>
        <v>6.0637852086876078</v>
      </c>
      <c r="R160" s="93">
        <v>39.799999</v>
      </c>
      <c r="S160" s="114">
        <v>83.7</v>
      </c>
      <c r="T160" s="113">
        <f t="shared" si="32"/>
        <v>4.4272389774954295</v>
      </c>
      <c r="U160" s="112">
        <v>2.2000000000000002</v>
      </c>
      <c r="V160" s="113">
        <f t="shared" si="33"/>
        <v>0.78845736036427028</v>
      </c>
      <c r="W160" s="115">
        <v>128.80000000000001</v>
      </c>
      <c r="X160" s="101">
        <f t="shared" si="34"/>
        <v>4.8582608136702534</v>
      </c>
      <c r="Y160" s="116">
        <v>10702</v>
      </c>
      <c r="Z160" s="102">
        <v>26019</v>
      </c>
      <c r="AA160" s="235">
        <v>0.83</v>
      </c>
      <c r="AB160" s="117">
        <f t="shared" si="35"/>
        <v>-0.18632957819149348</v>
      </c>
      <c r="AC160" s="115">
        <v>108</v>
      </c>
      <c r="AD160" s="117">
        <f t="shared" si="36"/>
        <v>4.6821312271242199</v>
      </c>
      <c r="AE160" s="109">
        <v>13099.977999999999</v>
      </c>
      <c r="AF160" s="111">
        <f t="shared" si="37"/>
        <v>9.4803658297985205</v>
      </c>
      <c r="AG160" s="118">
        <v>31.1</v>
      </c>
      <c r="AH160" s="119">
        <v>16.541</v>
      </c>
      <c r="AI160" s="120">
        <f t="shared" si="38"/>
        <v>2.8058421472600843</v>
      </c>
      <c r="AJ160" s="121">
        <v>430</v>
      </c>
      <c r="AK160" s="120">
        <f t="shared" si="39"/>
        <v>6.0637852086876078</v>
      </c>
      <c r="AL160" s="108">
        <v>39.799999999999997</v>
      </c>
      <c r="AM160" s="119">
        <v>13100</v>
      </c>
      <c r="AN160" s="120">
        <f t="shared" si="40"/>
        <v>9.480367509189243</v>
      </c>
      <c r="AO160" s="96">
        <v>76.117999999999995</v>
      </c>
      <c r="AP160" s="94">
        <v>67.6113</v>
      </c>
      <c r="AQ160" s="95">
        <v>4.2137700000000002</v>
      </c>
      <c r="AR160" s="94">
        <v>8.8000000000000007</v>
      </c>
      <c r="AS160" s="95">
        <f t="shared" si="41"/>
        <v>2.174751721484161</v>
      </c>
      <c r="AT160" s="96">
        <v>62.34</v>
      </c>
    </row>
    <row r="161" spans="1:46">
      <c r="A161" s="109">
        <v>15</v>
      </c>
      <c r="B161" s="110" t="s">
        <v>25</v>
      </c>
      <c r="C161" s="110" t="s">
        <v>24</v>
      </c>
      <c r="D161" s="111">
        <v>2015</v>
      </c>
      <c r="E161" s="109">
        <v>21</v>
      </c>
      <c r="F161" s="111">
        <f t="shared" si="28"/>
        <v>3.044522437723423</v>
      </c>
      <c r="G161" s="93">
        <v>74.745199999999997</v>
      </c>
      <c r="H161" s="93">
        <v>230000000000</v>
      </c>
      <c r="I161" s="94">
        <v>64311.8</v>
      </c>
      <c r="J161" s="95">
        <v>11.0715</v>
      </c>
      <c r="K161" s="96">
        <v>0.67</v>
      </c>
      <c r="L161" s="109">
        <v>13.846</v>
      </c>
      <c r="M161" s="111">
        <f t="shared" si="29"/>
        <v>2.6279963822558337</v>
      </c>
      <c r="N161" s="112">
        <v>2.6347</v>
      </c>
      <c r="O161" s="113">
        <f t="shared" si="30"/>
        <v>0.96876932351928569</v>
      </c>
      <c r="P161" s="109">
        <v>403</v>
      </c>
      <c r="Q161" s="111">
        <f t="shared" si="31"/>
        <v>5.9989365619466826</v>
      </c>
      <c r="R161" s="93">
        <v>40.25</v>
      </c>
      <c r="S161" s="114">
        <v>83.2</v>
      </c>
      <c r="T161" s="113">
        <f t="shared" si="32"/>
        <v>4.4212473478271628</v>
      </c>
      <c r="U161" s="112">
        <v>2.1</v>
      </c>
      <c r="V161" s="113">
        <f t="shared" si="33"/>
        <v>0.74193734472937733</v>
      </c>
      <c r="W161" s="115">
        <v>127</v>
      </c>
      <c r="X161" s="101">
        <f t="shared" si="34"/>
        <v>4.8441870864585912</v>
      </c>
      <c r="Y161" s="116">
        <v>10955</v>
      </c>
      <c r="Z161" s="102">
        <v>27163</v>
      </c>
      <c r="AA161" s="235">
        <v>0.31</v>
      </c>
      <c r="AB161" s="117">
        <f t="shared" si="35"/>
        <v>-1.1711829815029451</v>
      </c>
      <c r="AC161" s="115">
        <v>104</v>
      </c>
      <c r="AD161" s="117">
        <f t="shared" si="36"/>
        <v>4.6443908991413725</v>
      </c>
      <c r="AE161" s="109">
        <v>13499.369000000001</v>
      </c>
      <c r="AF161" s="111">
        <f t="shared" si="37"/>
        <v>9.5103982225933983</v>
      </c>
      <c r="AG161" s="118">
        <v>32.1</v>
      </c>
      <c r="AH161" s="119">
        <v>13.846</v>
      </c>
      <c r="AI161" s="120">
        <f t="shared" si="38"/>
        <v>2.6279963822558337</v>
      </c>
      <c r="AJ161" s="121">
        <v>403</v>
      </c>
      <c r="AK161" s="120">
        <f t="shared" si="39"/>
        <v>5.9989365619466826</v>
      </c>
      <c r="AL161" s="108"/>
      <c r="AM161" s="119">
        <v>13499.4</v>
      </c>
      <c r="AN161" s="120">
        <f t="shared" si="40"/>
        <v>9.510400518994393</v>
      </c>
      <c r="AO161" s="96">
        <v>66.251199999999997</v>
      </c>
      <c r="AP161" s="94">
        <v>68.253100000000003</v>
      </c>
      <c r="AQ161" s="95">
        <v>4.2232200000000004</v>
      </c>
      <c r="AR161" s="94">
        <v>9.5</v>
      </c>
      <c r="AS161" s="95">
        <f t="shared" si="41"/>
        <v>2.2512917986064953</v>
      </c>
      <c r="AT161" s="96">
        <v>62.537999999999997</v>
      </c>
    </row>
    <row r="162" spans="1:46">
      <c r="A162" s="109">
        <v>15</v>
      </c>
      <c r="B162" s="110" t="s">
        <v>25</v>
      </c>
      <c r="C162" s="110" t="s">
        <v>24</v>
      </c>
      <c r="D162" s="111">
        <v>2016</v>
      </c>
      <c r="E162" s="109">
        <v>20.2</v>
      </c>
      <c r="F162" s="111">
        <f t="shared" si="28"/>
        <v>3.0056826044071592</v>
      </c>
      <c r="G162" s="93">
        <v>26.099599999999999</v>
      </c>
      <c r="H162" s="93">
        <v>80000000000</v>
      </c>
      <c r="I162" s="94">
        <v>64367.4</v>
      </c>
      <c r="J162" s="95">
        <v>11.0724</v>
      </c>
      <c r="K162" s="96">
        <v>0.67</v>
      </c>
      <c r="L162" s="109">
        <v>16.716000000000001</v>
      </c>
      <c r="M162" s="111">
        <f t="shared" si="29"/>
        <v>2.8163663445856688</v>
      </c>
      <c r="N162" s="112">
        <v>2.4965999999999999</v>
      </c>
      <c r="O162" s="113">
        <f t="shared" si="30"/>
        <v>0.91492980623481357</v>
      </c>
      <c r="P162" s="109">
        <v>382</v>
      </c>
      <c r="Q162" s="111">
        <f t="shared" si="31"/>
        <v>5.9454206086065753</v>
      </c>
      <c r="R162" s="93">
        <v>40.700001</v>
      </c>
      <c r="S162" s="114">
        <v>85.1</v>
      </c>
      <c r="T162" s="113">
        <f t="shared" si="32"/>
        <v>4.4438270355793286</v>
      </c>
      <c r="U162" s="112">
        <v>2</v>
      </c>
      <c r="V162" s="113">
        <f t="shared" si="33"/>
        <v>0.69314718055994529</v>
      </c>
      <c r="W162" s="115">
        <v>88.3</v>
      </c>
      <c r="X162" s="101">
        <f t="shared" si="34"/>
        <v>4.4807401076099147</v>
      </c>
      <c r="Y162" s="116">
        <v>10950</v>
      </c>
      <c r="Z162" s="102">
        <v>28227</v>
      </c>
      <c r="AA162" s="235">
        <v>1.04</v>
      </c>
      <c r="AB162" s="117">
        <f t="shared" si="35"/>
        <v>3.9220713153281329E-2</v>
      </c>
      <c r="AC162" s="115">
        <v>99</v>
      </c>
      <c r="AD162" s="117">
        <f t="shared" si="36"/>
        <v>4.5951198501345898</v>
      </c>
      <c r="AE162" s="109">
        <v>13548.052</v>
      </c>
      <c r="AF162" s="111">
        <f t="shared" si="37"/>
        <v>9.5139980521351983</v>
      </c>
      <c r="AG162" s="118">
        <v>29.9</v>
      </c>
      <c r="AH162" s="119">
        <v>16.716000000000001</v>
      </c>
      <c r="AI162" s="120">
        <f t="shared" si="38"/>
        <v>2.8163663445856688</v>
      </c>
      <c r="AJ162" s="121">
        <v>382</v>
      </c>
      <c r="AK162" s="120">
        <f t="shared" si="39"/>
        <v>5.9454206086065753</v>
      </c>
      <c r="AL162" s="108">
        <v>40.700000000000003</v>
      </c>
      <c r="AM162" s="119">
        <v>13548.1</v>
      </c>
      <c r="AN162" s="120">
        <f t="shared" si="40"/>
        <v>9.5140015950736938</v>
      </c>
      <c r="AO162" s="96">
        <v>69.357500000000002</v>
      </c>
      <c r="AP162" s="94">
        <v>69.027900000000002</v>
      </c>
      <c r="AQ162" s="95">
        <v>4.2345100000000002</v>
      </c>
      <c r="AR162" s="94">
        <v>8.6</v>
      </c>
      <c r="AS162" s="95">
        <f t="shared" si="41"/>
        <v>2.1517622032594619</v>
      </c>
      <c r="AT162" s="96">
        <v>62.737000000000002</v>
      </c>
    </row>
    <row r="163" spans="1:46">
      <c r="A163" s="109">
        <v>15</v>
      </c>
      <c r="B163" s="110" t="s">
        <v>25</v>
      </c>
      <c r="C163" s="110" t="s">
        <v>24</v>
      </c>
      <c r="D163" s="111">
        <v>2017</v>
      </c>
      <c r="E163" s="109">
        <v>21</v>
      </c>
      <c r="F163" s="111">
        <f t="shared" si="28"/>
        <v>3.044522437723423</v>
      </c>
      <c r="G163" s="93">
        <v>20.406700000000001</v>
      </c>
      <c r="H163" s="93">
        <v>71000000000</v>
      </c>
      <c r="I163" s="94">
        <v>70069.100000000006</v>
      </c>
      <c r="J163" s="95">
        <v>11.1572</v>
      </c>
      <c r="K163" s="96">
        <v>0.69</v>
      </c>
      <c r="L163" s="109">
        <v>17.326000000000001</v>
      </c>
      <c r="M163" s="111">
        <f t="shared" si="29"/>
        <v>2.8522082634679484</v>
      </c>
      <c r="N163" s="112">
        <v>2.593</v>
      </c>
      <c r="O163" s="113">
        <f t="shared" si="30"/>
        <v>0.95281550655652736</v>
      </c>
      <c r="P163" s="109">
        <v>402</v>
      </c>
      <c r="Q163" s="111">
        <f t="shared" si="31"/>
        <v>5.9964520886190211</v>
      </c>
      <c r="R163" s="93">
        <v>40.400002000000001</v>
      </c>
      <c r="S163" s="114">
        <v>83.8</v>
      </c>
      <c r="T163" s="113">
        <f t="shared" si="32"/>
        <v>4.4284330074880369</v>
      </c>
      <c r="U163" s="112">
        <v>1.9</v>
      </c>
      <c r="V163" s="113">
        <f t="shared" si="33"/>
        <v>0.64185388617239469</v>
      </c>
      <c r="W163" s="115">
        <v>21.3</v>
      </c>
      <c r="X163" s="101">
        <f t="shared" si="34"/>
        <v>3.0587070727153796</v>
      </c>
      <c r="Y163" s="116">
        <v>11210</v>
      </c>
      <c r="Z163" s="102">
        <v>30489</v>
      </c>
      <c r="AA163" s="235">
        <v>0.78</v>
      </c>
      <c r="AB163" s="117">
        <f t="shared" si="35"/>
        <v>-0.24846135929849961</v>
      </c>
      <c r="AC163" s="115">
        <v>105</v>
      </c>
      <c r="AD163" s="117">
        <f t="shared" si="36"/>
        <v>4.6539603501575231</v>
      </c>
      <c r="AE163" s="109">
        <v>12963.296</v>
      </c>
      <c r="AF163" s="111">
        <f t="shared" si="37"/>
        <v>9.4698772585598192</v>
      </c>
      <c r="AG163" s="118">
        <v>29.8</v>
      </c>
      <c r="AH163" s="119">
        <v>17.326000000000001</v>
      </c>
      <c r="AI163" s="120">
        <f t="shared" si="38"/>
        <v>2.8522082634679484</v>
      </c>
      <c r="AJ163" s="121">
        <v>402</v>
      </c>
      <c r="AK163" s="120">
        <f t="shared" si="39"/>
        <v>5.9964520886190211</v>
      </c>
      <c r="AL163" s="108">
        <v>40.4</v>
      </c>
      <c r="AM163" s="119">
        <v>12963.3</v>
      </c>
      <c r="AN163" s="120">
        <f t="shared" si="40"/>
        <v>9.4698775671232731</v>
      </c>
      <c r="AO163" s="96">
        <v>66.150800000000004</v>
      </c>
      <c r="AP163" s="94">
        <v>69.783500000000004</v>
      </c>
      <c r="AQ163" s="95">
        <v>4.2454000000000001</v>
      </c>
      <c r="AR163" s="94">
        <v>10.1</v>
      </c>
      <c r="AS163" s="95">
        <f t="shared" si="41"/>
        <v>2.3125354238472138</v>
      </c>
      <c r="AT163" s="96">
        <v>62.947000000000003</v>
      </c>
    </row>
    <row r="164" spans="1:46">
      <c r="A164" s="109">
        <v>15</v>
      </c>
      <c r="B164" s="110" t="s">
        <v>25</v>
      </c>
      <c r="C164" s="110" t="s">
        <v>24</v>
      </c>
      <c r="D164" s="111">
        <v>2018</v>
      </c>
      <c r="E164" s="109">
        <v>21.3</v>
      </c>
      <c r="F164" s="111">
        <f t="shared" si="28"/>
        <v>3.0587070727153796</v>
      </c>
      <c r="G164" s="93">
        <v>20.3766</v>
      </c>
      <c r="H164" s="93">
        <v>81000000000</v>
      </c>
      <c r="I164" s="94">
        <v>74427.600000000006</v>
      </c>
      <c r="J164" s="95">
        <v>11.217599999999999</v>
      </c>
      <c r="K164" s="96">
        <v>0.67</v>
      </c>
      <c r="L164" s="109">
        <v>17.277000000000001</v>
      </c>
      <c r="M164" s="111">
        <f t="shared" si="29"/>
        <v>2.8493761371926452</v>
      </c>
      <c r="N164" s="112">
        <v>2.6223999999999998</v>
      </c>
      <c r="O164" s="113">
        <f t="shared" si="30"/>
        <v>0.96408992900742818</v>
      </c>
      <c r="P164" s="109">
        <v>379</v>
      </c>
      <c r="Q164" s="111">
        <f t="shared" si="31"/>
        <v>5.9375362050824263</v>
      </c>
      <c r="R164" s="93">
        <v>37.700001</v>
      </c>
      <c r="S164" s="114">
        <v>82.9</v>
      </c>
      <c r="T164" s="113">
        <f t="shared" si="32"/>
        <v>4.4176350621412492</v>
      </c>
      <c r="U164" s="112">
        <v>1.9</v>
      </c>
      <c r="V164" s="113">
        <f t="shared" si="33"/>
        <v>0.64185388617239469</v>
      </c>
      <c r="W164" s="115">
        <v>8.9</v>
      </c>
      <c r="X164" s="101">
        <f t="shared" si="34"/>
        <v>2.1860512767380942</v>
      </c>
      <c r="Y164" s="116">
        <v>11297</v>
      </c>
      <c r="Z164" s="102">
        <v>30721</v>
      </c>
      <c r="AA164" s="235">
        <v>0.38</v>
      </c>
      <c r="AB164" s="117">
        <f t="shared" si="35"/>
        <v>-0.96758402626170559</v>
      </c>
      <c r="AC164" s="115">
        <v>99</v>
      </c>
      <c r="AD164" s="117">
        <f t="shared" si="36"/>
        <v>4.5951198501345898</v>
      </c>
      <c r="AE164" s="109">
        <v>10273.424000000001</v>
      </c>
      <c r="AF164" s="111">
        <f t="shared" si="37"/>
        <v>9.2373156456050811</v>
      </c>
      <c r="AG164" s="118">
        <v>30.7</v>
      </c>
      <c r="AH164" s="119">
        <v>17.277000000000001</v>
      </c>
      <c r="AI164" s="120">
        <f t="shared" si="38"/>
        <v>2.8493761371926452</v>
      </c>
      <c r="AJ164" s="121">
        <v>379</v>
      </c>
      <c r="AK164" s="120">
        <f t="shared" si="39"/>
        <v>5.9375362050824263</v>
      </c>
      <c r="AL164" s="108">
        <v>37.700000000000003</v>
      </c>
      <c r="AM164" s="119">
        <v>10273.4</v>
      </c>
      <c r="AN164" s="120">
        <f t="shared" si="40"/>
        <v>9.2373133094776083</v>
      </c>
      <c r="AO164" s="96">
        <v>68.897499999999994</v>
      </c>
      <c r="AP164" s="94">
        <v>70.653499999999994</v>
      </c>
      <c r="AQ164" s="95">
        <v>4.25779</v>
      </c>
      <c r="AR164" s="94">
        <v>10.8</v>
      </c>
      <c r="AS164" s="95">
        <f t="shared" si="41"/>
        <v>2.379546134130174</v>
      </c>
      <c r="AT164" s="96">
        <v>63.17</v>
      </c>
    </row>
    <row r="165" spans="1:46">
      <c r="A165" s="109">
        <v>15</v>
      </c>
      <c r="B165" s="110" t="s">
        <v>25</v>
      </c>
      <c r="C165" s="110" t="s">
        <v>24</v>
      </c>
      <c r="D165" s="111">
        <v>2019</v>
      </c>
      <c r="E165" s="109">
        <v>22</v>
      </c>
      <c r="F165" s="111">
        <f t="shared" si="28"/>
        <v>3.0910424533583161</v>
      </c>
      <c r="G165" s="93">
        <v>7.6763199999999996</v>
      </c>
      <c r="H165" s="93">
        <v>31000000000</v>
      </c>
      <c r="I165" s="94">
        <v>77117.2</v>
      </c>
      <c r="J165" s="95">
        <v>11.2531</v>
      </c>
      <c r="K165" s="96">
        <v>0.66</v>
      </c>
      <c r="L165" s="109">
        <v>21.285</v>
      </c>
      <c r="M165" s="111">
        <f t="shared" si="29"/>
        <v>3.0580025992801159</v>
      </c>
      <c r="N165" s="112">
        <v>2.6993</v>
      </c>
      <c r="O165" s="113">
        <f t="shared" si="30"/>
        <v>0.9929924801375325</v>
      </c>
      <c r="P165" s="109">
        <v>386</v>
      </c>
      <c r="Q165" s="111">
        <f t="shared" si="31"/>
        <v>5.955837369464831</v>
      </c>
      <c r="R165" s="93">
        <v>37.400002000000001</v>
      </c>
      <c r="S165" s="114">
        <v>84.9</v>
      </c>
      <c r="T165" s="113">
        <f t="shared" si="32"/>
        <v>4.4414740933173018</v>
      </c>
      <c r="U165" s="112">
        <v>1.8</v>
      </c>
      <c r="V165" s="113">
        <f t="shared" si="33"/>
        <v>0.58778666490211906</v>
      </c>
      <c r="W165" s="115">
        <v>4.4000000000000004</v>
      </c>
      <c r="X165" s="101">
        <f t="shared" si="34"/>
        <v>1.4816045409242156</v>
      </c>
      <c r="Y165" s="116">
        <v>11692</v>
      </c>
      <c r="Z165" s="102">
        <v>32165</v>
      </c>
      <c r="AA165" s="235">
        <v>1.1000000000000001</v>
      </c>
      <c r="AB165" s="117">
        <f t="shared" si="35"/>
        <v>9.5310179804324935E-2</v>
      </c>
      <c r="AC165" s="115">
        <v>95</v>
      </c>
      <c r="AD165" s="117">
        <f t="shared" si="36"/>
        <v>4.5538768916005408</v>
      </c>
      <c r="AE165" s="109">
        <v>7583.5518000000002</v>
      </c>
      <c r="AF165" s="111">
        <f t="shared" si="37"/>
        <v>8.9337369440872312</v>
      </c>
      <c r="AG165" s="118">
        <v>28.6</v>
      </c>
      <c r="AH165" s="119">
        <v>21.285</v>
      </c>
      <c r="AI165" s="120">
        <f t="shared" si="38"/>
        <v>3.0580025992801159</v>
      </c>
      <c r="AJ165" s="121">
        <v>386</v>
      </c>
      <c r="AK165" s="120">
        <f t="shared" si="39"/>
        <v>5.955837369464831</v>
      </c>
      <c r="AL165" s="108">
        <v>37.4</v>
      </c>
      <c r="AM165" s="119">
        <v>0</v>
      </c>
      <c r="AN165" s="120">
        <v>0</v>
      </c>
      <c r="AO165" s="96">
        <v>66.497799999999998</v>
      </c>
      <c r="AP165" s="94">
        <v>71.626400000000004</v>
      </c>
      <c r="AQ165" s="95">
        <v>4.2714600000000003</v>
      </c>
      <c r="AR165" s="94">
        <v>12.3</v>
      </c>
      <c r="AS165" s="95">
        <f t="shared" si="41"/>
        <v>2.5095992623783721</v>
      </c>
      <c r="AT165" s="96">
        <v>63.405000000000001</v>
      </c>
    </row>
    <row r="166" spans="1:46">
      <c r="A166" s="109">
        <v>15</v>
      </c>
      <c r="B166" s="110" t="s">
        <v>25</v>
      </c>
      <c r="C166" s="110" t="s">
        <v>24</v>
      </c>
      <c r="D166" s="111">
        <v>2020</v>
      </c>
      <c r="E166" s="109">
        <v>22.6</v>
      </c>
      <c r="F166" s="111">
        <f t="shared" si="28"/>
        <v>3.1179499062782403</v>
      </c>
      <c r="G166" s="93">
        <v>8.0833300000000001</v>
      </c>
      <c r="H166" s="93">
        <v>35000000000</v>
      </c>
      <c r="I166" s="94">
        <v>81791.100000000006</v>
      </c>
      <c r="J166" s="95">
        <v>11.3119</v>
      </c>
      <c r="K166" s="96">
        <v>0.64</v>
      </c>
      <c r="L166" s="109">
        <v>18.585999999999999</v>
      </c>
      <c r="M166" s="111">
        <f t="shared" si="29"/>
        <v>2.9224086091351476</v>
      </c>
      <c r="N166" s="112">
        <v>3.0655999999999999</v>
      </c>
      <c r="O166" s="113">
        <f t="shared" si="30"/>
        <v>1.1202433087944044</v>
      </c>
      <c r="P166" s="109">
        <v>379</v>
      </c>
      <c r="Q166" s="111">
        <f t="shared" si="31"/>
        <v>5.9375362050824263</v>
      </c>
      <c r="R166" s="93">
        <v>40.799999</v>
      </c>
      <c r="S166" s="114">
        <v>84.8</v>
      </c>
      <c r="T166" s="113">
        <f t="shared" si="32"/>
        <v>4.4402955427978572</v>
      </c>
      <c r="U166" s="112">
        <v>1.8</v>
      </c>
      <c r="V166" s="113">
        <f t="shared" si="33"/>
        <v>0.58778666490211906</v>
      </c>
      <c r="W166" s="115">
        <v>442.7</v>
      </c>
      <c r="X166" s="101">
        <f t="shared" si="34"/>
        <v>6.0928923397380954</v>
      </c>
      <c r="Y166" s="116">
        <v>11866</v>
      </c>
      <c r="Z166" s="102">
        <v>33250</v>
      </c>
      <c r="AA166" s="235">
        <v>0.77</v>
      </c>
      <c r="AB166" s="117">
        <f t="shared" si="35"/>
        <v>-0.26136476413440751</v>
      </c>
      <c r="AC166" s="115">
        <v>84</v>
      </c>
      <c r="AD166" s="117">
        <f t="shared" si="36"/>
        <v>4.4308167988433134</v>
      </c>
      <c r="AE166" s="109">
        <v>4893.6796999999997</v>
      </c>
      <c r="AF166" s="111">
        <f t="shared" si="37"/>
        <v>8.4956997943741186</v>
      </c>
      <c r="AG166" s="118">
        <v>29.3</v>
      </c>
      <c r="AH166" s="119">
        <v>18.585999999999999</v>
      </c>
      <c r="AI166" s="120">
        <f t="shared" si="38"/>
        <v>2.9224086091351476</v>
      </c>
      <c r="AJ166" s="121">
        <v>379</v>
      </c>
      <c r="AK166" s="120">
        <f t="shared" si="39"/>
        <v>5.9375362050824263</v>
      </c>
      <c r="AL166" s="108">
        <v>40.799999999999997</v>
      </c>
      <c r="AM166" s="119">
        <v>0</v>
      </c>
      <c r="AN166" s="120">
        <v>0</v>
      </c>
      <c r="AO166" s="96">
        <v>64.121700000000004</v>
      </c>
      <c r="AP166" s="94">
        <v>72.3673</v>
      </c>
      <c r="AQ166" s="95">
        <v>4.2817499999999997</v>
      </c>
      <c r="AR166" s="94">
        <v>13.7</v>
      </c>
      <c r="AS166" s="95">
        <f t="shared" si="41"/>
        <v>2.6173958328340792</v>
      </c>
      <c r="AT166" s="96">
        <v>63.652999999999999</v>
      </c>
    </row>
    <row r="167" spans="1:46">
      <c r="A167" s="109">
        <v>16</v>
      </c>
      <c r="B167" s="110" t="s">
        <v>23</v>
      </c>
      <c r="C167" s="110" t="s">
        <v>22</v>
      </c>
      <c r="D167" s="111">
        <v>2010</v>
      </c>
      <c r="E167" s="109">
        <v>15.5</v>
      </c>
      <c r="F167" s="111">
        <f t="shared" si="28"/>
        <v>2.7408400239252009</v>
      </c>
      <c r="G167" s="93">
        <v>0.462974</v>
      </c>
      <c r="H167" s="93">
        <v>9900000000</v>
      </c>
      <c r="I167" s="94">
        <v>32220.5</v>
      </c>
      <c r="J167" s="95">
        <v>10.3804</v>
      </c>
      <c r="K167" s="96">
        <v>0.76</v>
      </c>
      <c r="L167" s="109">
        <v>15.068</v>
      </c>
      <c r="M167" s="111">
        <f t="shared" si="29"/>
        <v>2.7125732898297947</v>
      </c>
      <c r="N167" s="112">
        <v>2.4975000000000001</v>
      </c>
      <c r="O167" s="113">
        <f t="shared" si="30"/>
        <v>0.91529023154057154</v>
      </c>
      <c r="P167" s="109">
        <v>730</v>
      </c>
      <c r="Q167" s="111">
        <f t="shared" si="31"/>
        <v>6.5930445341424369</v>
      </c>
      <c r="R167" s="93">
        <v>31</v>
      </c>
      <c r="S167" s="114">
        <v>86.2</v>
      </c>
      <c r="T167" s="113">
        <f t="shared" si="32"/>
        <v>4.4566701776696478</v>
      </c>
      <c r="U167" s="112">
        <v>11.6</v>
      </c>
      <c r="V167" s="113">
        <f t="shared" si="33"/>
        <v>2.451005098112319</v>
      </c>
      <c r="W167" s="115">
        <v>11746.9</v>
      </c>
      <c r="X167" s="101">
        <f t="shared" si="34"/>
        <v>9.3713446549758697</v>
      </c>
      <c r="Y167" s="116">
        <v>29708</v>
      </c>
      <c r="Z167" s="102">
        <v>576050</v>
      </c>
      <c r="AA167" s="235">
        <v>0.48</v>
      </c>
      <c r="AB167" s="117">
        <f t="shared" si="35"/>
        <v>-0.73396917508020043</v>
      </c>
      <c r="AC167" s="115">
        <v>100</v>
      </c>
      <c r="AD167" s="117">
        <f t="shared" si="36"/>
        <v>4.6051701859880918</v>
      </c>
      <c r="AE167" s="109">
        <v>6411.5766999999996</v>
      </c>
      <c r="AF167" s="111">
        <f t="shared" si="37"/>
        <v>8.7658604947068177</v>
      </c>
      <c r="AG167" s="118">
        <v>41.7</v>
      </c>
      <c r="AH167" s="119">
        <v>15.068</v>
      </c>
      <c r="AI167" s="120">
        <f t="shared" si="38"/>
        <v>2.7125732898297947</v>
      </c>
      <c r="AJ167" s="121">
        <v>730</v>
      </c>
      <c r="AK167" s="120">
        <f t="shared" si="39"/>
        <v>6.5930445341424369</v>
      </c>
      <c r="AL167" s="108">
        <v>31</v>
      </c>
      <c r="AM167" s="119">
        <v>6411.58</v>
      </c>
      <c r="AN167" s="120">
        <f t="shared" si="40"/>
        <v>8.765861009400675</v>
      </c>
      <c r="AO167" s="96">
        <v>43.560699999999997</v>
      </c>
      <c r="AP167" s="94">
        <v>200.453</v>
      </c>
      <c r="AQ167" s="95">
        <v>5.3005800000000001</v>
      </c>
      <c r="AR167" s="94">
        <v>12.8</v>
      </c>
      <c r="AS167" s="95">
        <f t="shared" si="41"/>
        <v>2.5494451709255714</v>
      </c>
      <c r="AT167" s="96">
        <v>68.326999999999998</v>
      </c>
    </row>
    <row r="168" spans="1:46">
      <c r="A168" s="109">
        <v>16</v>
      </c>
      <c r="B168" s="110" t="s">
        <v>23</v>
      </c>
      <c r="C168" s="110" t="s">
        <v>22</v>
      </c>
      <c r="D168" s="111">
        <v>2011</v>
      </c>
      <c r="E168" s="109">
        <v>15.5</v>
      </c>
      <c r="F168" s="111">
        <f t="shared" si="28"/>
        <v>2.7408400239252009</v>
      </c>
      <c r="G168" s="93">
        <v>1.49397</v>
      </c>
      <c r="H168" s="93">
        <v>34000000000</v>
      </c>
      <c r="I168" s="94">
        <v>32388.799999999999</v>
      </c>
      <c r="J168" s="95">
        <v>10.3856</v>
      </c>
      <c r="K168" s="96">
        <v>0.74</v>
      </c>
      <c r="L168" s="109">
        <v>15.186</v>
      </c>
      <c r="M168" s="111">
        <f t="shared" si="29"/>
        <v>2.7203739507910418</v>
      </c>
      <c r="N168" s="112">
        <v>2.4862000000000002</v>
      </c>
      <c r="O168" s="113">
        <f t="shared" si="30"/>
        <v>0.91075544037547806</v>
      </c>
      <c r="P168" s="109">
        <v>737</v>
      </c>
      <c r="Q168" s="111">
        <f t="shared" si="31"/>
        <v>6.6025878921893364</v>
      </c>
      <c r="R168" s="93">
        <v>35.5</v>
      </c>
      <c r="S168" s="114">
        <v>93.1</v>
      </c>
      <c r="T168" s="113">
        <f t="shared" si="32"/>
        <v>4.5336741842830213</v>
      </c>
      <c r="U168" s="112">
        <v>11.6</v>
      </c>
      <c r="V168" s="113">
        <f t="shared" si="33"/>
        <v>2.451005098112319</v>
      </c>
      <c r="W168" s="115">
        <v>17080.5</v>
      </c>
      <c r="X168" s="101">
        <f t="shared" si="34"/>
        <v>9.7456927409187699</v>
      </c>
      <c r="Y168" s="116">
        <v>29112</v>
      </c>
      <c r="Z168" s="102">
        <v>560435</v>
      </c>
      <c r="AA168" s="235">
        <v>0.5</v>
      </c>
      <c r="AB168" s="117">
        <f t="shared" si="35"/>
        <v>-0.69314718055994529</v>
      </c>
      <c r="AC168" s="115">
        <v>99</v>
      </c>
      <c r="AD168" s="117">
        <f t="shared" si="36"/>
        <v>4.5951198501345898</v>
      </c>
      <c r="AE168" s="109">
        <v>5861.2676000000001</v>
      </c>
      <c r="AF168" s="111">
        <f t="shared" si="37"/>
        <v>8.6761211731717331</v>
      </c>
      <c r="AG168" s="118">
        <v>40.5</v>
      </c>
      <c r="AH168" s="119">
        <v>15.186</v>
      </c>
      <c r="AI168" s="120">
        <f t="shared" si="38"/>
        <v>2.7203739507910418</v>
      </c>
      <c r="AJ168" s="121">
        <v>737</v>
      </c>
      <c r="AK168" s="120">
        <f t="shared" si="39"/>
        <v>6.6025878921893364</v>
      </c>
      <c r="AL168" s="108">
        <v>35.5</v>
      </c>
      <c r="AM168" s="119">
        <v>5861.27</v>
      </c>
      <c r="AN168" s="120">
        <f t="shared" si="40"/>
        <v>8.6761215826393911</v>
      </c>
      <c r="AO168" s="96">
        <v>46.903199999999998</v>
      </c>
      <c r="AP168" s="94">
        <v>200.798</v>
      </c>
      <c r="AQ168" s="95">
        <v>5.3022999999999998</v>
      </c>
      <c r="AR168" s="94">
        <v>11.9</v>
      </c>
      <c r="AS168" s="95">
        <f t="shared" si="41"/>
        <v>2.4765384001174837</v>
      </c>
      <c r="AT168" s="96">
        <v>68.444000000000003</v>
      </c>
    </row>
    <row r="169" spans="1:46">
      <c r="A169" s="109">
        <v>16</v>
      </c>
      <c r="B169" s="110" t="s">
        <v>23</v>
      </c>
      <c r="C169" s="110" t="s">
        <v>22</v>
      </c>
      <c r="D169" s="111">
        <v>2012</v>
      </c>
      <c r="E169" s="109">
        <v>17</v>
      </c>
      <c r="F169" s="111">
        <f t="shared" si="28"/>
        <v>2.8332133440562162</v>
      </c>
      <c r="G169" s="93">
        <v>1.6639999999999999E-3</v>
      </c>
      <c r="H169" s="93">
        <v>35000000</v>
      </c>
      <c r="I169" s="94">
        <v>31292.1</v>
      </c>
      <c r="J169" s="95">
        <v>10.351100000000001</v>
      </c>
      <c r="K169" s="96">
        <v>0.76</v>
      </c>
      <c r="L169" s="109">
        <v>12.48</v>
      </c>
      <c r="M169" s="111">
        <f t="shared" si="29"/>
        <v>2.5241273629412815</v>
      </c>
      <c r="N169" s="112">
        <v>2.827</v>
      </c>
      <c r="O169" s="113">
        <f t="shared" si="30"/>
        <v>1.0392160787114533</v>
      </c>
      <c r="P169" s="109">
        <v>731</v>
      </c>
      <c r="Q169" s="111">
        <f t="shared" si="31"/>
        <v>6.5944134597497781</v>
      </c>
      <c r="R169" s="93">
        <v>38.400002000000001</v>
      </c>
      <c r="S169" s="114">
        <v>80</v>
      </c>
      <c r="T169" s="113">
        <f t="shared" si="32"/>
        <v>4.3820266346738812</v>
      </c>
      <c r="U169" s="112">
        <v>13.9</v>
      </c>
      <c r="V169" s="113">
        <f t="shared" si="33"/>
        <v>2.631888840136646</v>
      </c>
      <c r="W169" s="115">
        <v>12917.7</v>
      </c>
      <c r="X169" s="101">
        <f t="shared" si="34"/>
        <v>9.4663537429135545</v>
      </c>
      <c r="Y169" s="116">
        <v>30461</v>
      </c>
      <c r="Z169" s="102">
        <v>573325</v>
      </c>
      <c r="AA169" s="235">
        <v>0.56000000000000005</v>
      </c>
      <c r="AB169" s="117">
        <f t="shared" si="35"/>
        <v>-0.57981849525294205</v>
      </c>
      <c r="AC169" s="115">
        <v>97</v>
      </c>
      <c r="AD169" s="117">
        <f t="shared" si="36"/>
        <v>4.5747109785033828</v>
      </c>
      <c r="AE169" s="109">
        <v>5547.0946999999996</v>
      </c>
      <c r="AF169" s="111">
        <f t="shared" si="37"/>
        <v>8.6210295922008324</v>
      </c>
      <c r="AG169" s="118">
        <v>42.8</v>
      </c>
      <c r="AH169" s="119">
        <v>12.48</v>
      </c>
      <c r="AI169" s="120">
        <f t="shared" si="38"/>
        <v>2.5241273629412815</v>
      </c>
      <c r="AJ169" s="121">
        <v>731</v>
      </c>
      <c r="AK169" s="120">
        <f t="shared" si="39"/>
        <v>6.5944134597497781</v>
      </c>
      <c r="AL169" s="108">
        <v>38.4</v>
      </c>
      <c r="AM169" s="119">
        <v>5547.09</v>
      </c>
      <c r="AN169" s="120">
        <f t="shared" si="40"/>
        <v>8.62102874491009</v>
      </c>
      <c r="AO169" s="96">
        <v>47.184899999999999</v>
      </c>
      <c r="AP169" s="94">
        <v>201.34</v>
      </c>
      <c r="AQ169" s="95">
        <v>5.3049900000000001</v>
      </c>
      <c r="AR169" s="94">
        <v>14.4</v>
      </c>
      <c r="AS169" s="95">
        <f t="shared" si="41"/>
        <v>2.6672282065819548</v>
      </c>
      <c r="AT169" s="96">
        <v>68.683999999999997</v>
      </c>
    </row>
    <row r="170" spans="1:46">
      <c r="A170" s="109">
        <v>16</v>
      </c>
      <c r="B170" s="110" t="s">
        <v>23</v>
      </c>
      <c r="C170" s="110" t="s">
        <v>22</v>
      </c>
      <c r="D170" s="111">
        <v>2013</v>
      </c>
      <c r="E170" s="109">
        <v>17</v>
      </c>
      <c r="F170" s="111">
        <f t="shared" si="28"/>
        <v>2.8332133440562162</v>
      </c>
      <c r="G170" s="93">
        <v>0.90707700000000002</v>
      </c>
      <c r="H170" s="93">
        <v>20000000000</v>
      </c>
      <c r="I170" s="94">
        <v>30369.1</v>
      </c>
      <c r="J170" s="95">
        <v>10.321199999999999</v>
      </c>
      <c r="K170" s="96">
        <v>0.74</v>
      </c>
      <c r="L170" s="109">
        <v>11.032999999999999</v>
      </c>
      <c r="M170" s="111">
        <f t="shared" si="29"/>
        <v>2.4008907817781688</v>
      </c>
      <c r="N170" s="112">
        <v>3.2759</v>
      </c>
      <c r="O170" s="113">
        <f t="shared" si="30"/>
        <v>1.1865926404943998</v>
      </c>
      <c r="P170" s="109">
        <v>792</v>
      </c>
      <c r="Q170" s="111">
        <f t="shared" si="31"/>
        <v>6.674561391814426</v>
      </c>
      <c r="R170" s="93">
        <v>39.400002000000001</v>
      </c>
      <c r="S170" s="114">
        <v>88</v>
      </c>
      <c r="T170" s="113">
        <f t="shared" si="32"/>
        <v>4.4773368144782069</v>
      </c>
      <c r="U170" s="112">
        <v>16</v>
      </c>
      <c r="V170" s="113">
        <f t="shared" si="33"/>
        <v>2.7725887222397811</v>
      </c>
      <c r="W170" s="115">
        <v>8994.7000000000007</v>
      </c>
      <c r="X170" s="101">
        <f t="shared" si="34"/>
        <v>9.1043907939663029</v>
      </c>
      <c r="Y170" s="116">
        <v>31567</v>
      </c>
      <c r="Z170" s="102">
        <v>579522</v>
      </c>
      <c r="AA170" s="235">
        <v>0.45</v>
      </c>
      <c r="AB170" s="117">
        <f t="shared" si="35"/>
        <v>-0.79850769621777162</v>
      </c>
      <c r="AC170" s="115">
        <v>95</v>
      </c>
      <c r="AD170" s="117">
        <f t="shared" si="36"/>
        <v>4.5538768916005408</v>
      </c>
      <c r="AE170" s="109">
        <v>5611.8940000000002</v>
      </c>
      <c r="AF170" s="111">
        <f t="shared" si="37"/>
        <v>8.6326435529470338</v>
      </c>
      <c r="AG170" s="118">
        <v>46.5</v>
      </c>
      <c r="AH170" s="119">
        <v>11.032999999999999</v>
      </c>
      <c r="AI170" s="120">
        <f t="shared" si="38"/>
        <v>2.4008907817781688</v>
      </c>
      <c r="AJ170" s="121">
        <v>792</v>
      </c>
      <c r="AK170" s="120">
        <f t="shared" si="39"/>
        <v>6.674561391814426</v>
      </c>
      <c r="AL170" s="108">
        <v>39.4</v>
      </c>
      <c r="AM170" s="119">
        <v>5611.89</v>
      </c>
      <c r="AN170" s="120">
        <f t="shared" si="40"/>
        <v>8.6326428401749418</v>
      </c>
      <c r="AO170" s="96">
        <v>46.335799999999999</v>
      </c>
      <c r="AP170" s="94">
        <v>203.68700000000001</v>
      </c>
      <c r="AQ170" s="95">
        <v>5.3165899999999997</v>
      </c>
      <c r="AR170" s="94">
        <v>16.3</v>
      </c>
      <c r="AS170" s="95">
        <f t="shared" si="41"/>
        <v>2.7911651078127169</v>
      </c>
      <c r="AT170" s="96">
        <v>68.978999999999999</v>
      </c>
    </row>
    <row r="171" spans="1:46">
      <c r="A171" s="109">
        <v>16</v>
      </c>
      <c r="B171" s="110" t="s">
        <v>23</v>
      </c>
      <c r="C171" s="110" t="s">
        <v>22</v>
      </c>
      <c r="D171" s="111">
        <v>2014</v>
      </c>
      <c r="E171" s="109">
        <v>17.100000000000001</v>
      </c>
      <c r="F171" s="111">
        <f t="shared" si="28"/>
        <v>2.8390784635086144</v>
      </c>
      <c r="G171" s="93">
        <v>0.78374299999999997</v>
      </c>
      <c r="H171" s="93">
        <v>17000000000</v>
      </c>
      <c r="I171" s="94">
        <v>30091.3</v>
      </c>
      <c r="J171" s="95">
        <v>10.311999999999999</v>
      </c>
      <c r="K171" s="96">
        <v>0.76</v>
      </c>
      <c r="L171" s="109">
        <v>10.63</v>
      </c>
      <c r="M171" s="111">
        <f t="shared" si="29"/>
        <v>2.3636801923538568</v>
      </c>
      <c r="N171" s="112">
        <v>3.2945000000000002</v>
      </c>
      <c r="O171" s="113">
        <f t="shared" si="30"/>
        <v>1.1922544113717375</v>
      </c>
      <c r="P171" s="109">
        <v>772</v>
      </c>
      <c r="Q171" s="111">
        <f t="shared" si="31"/>
        <v>6.6489845500247764</v>
      </c>
      <c r="R171" s="93">
        <v>41.599997999999999</v>
      </c>
      <c r="S171" s="114">
        <v>82.3</v>
      </c>
      <c r="T171" s="113">
        <f t="shared" si="32"/>
        <v>4.4103711076830239</v>
      </c>
      <c r="U171" s="112">
        <v>16.100000000000001</v>
      </c>
      <c r="V171" s="113">
        <f t="shared" si="33"/>
        <v>2.7788192719904172</v>
      </c>
      <c r="W171" s="115">
        <v>8011.5</v>
      </c>
      <c r="X171" s="101">
        <f t="shared" si="34"/>
        <v>8.9886332884479341</v>
      </c>
      <c r="Y171" s="116">
        <v>36383</v>
      </c>
      <c r="Z171" s="102">
        <v>596574</v>
      </c>
      <c r="AA171" s="235">
        <v>0.31</v>
      </c>
      <c r="AB171" s="117">
        <f t="shared" si="35"/>
        <v>-1.1711829815029451</v>
      </c>
      <c r="AC171" s="115">
        <v>102</v>
      </c>
      <c r="AD171" s="117">
        <f t="shared" si="36"/>
        <v>4.6249728132842707</v>
      </c>
      <c r="AE171" s="109">
        <v>5580.9321</v>
      </c>
      <c r="AF171" s="111">
        <f t="shared" si="37"/>
        <v>8.6271110844359793</v>
      </c>
      <c r="AG171" s="118">
        <v>46.5</v>
      </c>
      <c r="AH171" s="119">
        <v>10.63</v>
      </c>
      <c r="AI171" s="120">
        <f t="shared" si="38"/>
        <v>2.3636801923538568</v>
      </c>
      <c r="AJ171" s="121">
        <v>772</v>
      </c>
      <c r="AK171" s="120">
        <f t="shared" si="39"/>
        <v>6.6489845500247764</v>
      </c>
      <c r="AL171" s="108">
        <v>41.6</v>
      </c>
      <c r="AM171" s="119">
        <v>5580.93</v>
      </c>
      <c r="AN171" s="120">
        <f t="shared" si="40"/>
        <v>8.6271107081546781</v>
      </c>
      <c r="AO171" s="96">
        <v>46.206800000000001</v>
      </c>
      <c r="AP171" s="94">
        <v>205.565</v>
      </c>
      <c r="AQ171" s="95">
        <v>5.3257599999999998</v>
      </c>
      <c r="AR171" s="94">
        <v>17.100000000000001</v>
      </c>
      <c r="AS171" s="95">
        <f t="shared" si="41"/>
        <v>2.8390784635086144</v>
      </c>
      <c r="AT171" s="96">
        <v>69.272000000000006</v>
      </c>
    </row>
    <row r="172" spans="1:46">
      <c r="A172" s="109">
        <v>16</v>
      </c>
      <c r="B172" s="110" t="s">
        <v>23</v>
      </c>
      <c r="C172" s="110" t="s">
        <v>22</v>
      </c>
      <c r="D172" s="111">
        <v>2015</v>
      </c>
      <c r="E172" s="109">
        <v>17.899999999999999</v>
      </c>
      <c r="F172" s="111">
        <f t="shared" si="28"/>
        <v>2.884800712846709</v>
      </c>
      <c r="G172" s="93">
        <v>0.72088600000000003</v>
      </c>
      <c r="H172" s="93">
        <v>13000000000</v>
      </c>
      <c r="I172" s="94">
        <v>30387.1</v>
      </c>
      <c r="J172" s="95">
        <v>10.3218</v>
      </c>
      <c r="K172" s="96">
        <v>0.78</v>
      </c>
      <c r="L172" s="109">
        <v>10.603999999999999</v>
      </c>
      <c r="M172" s="111">
        <f t="shared" si="29"/>
        <v>2.361231288426779</v>
      </c>
      <c r="N172" s="112">
        <v>3.4283999999999999</v>
      </c>
      <c r="O172" s="113">
        <f t="shared" si="30"/>
        <v>1.2320936800425906</v>
      </c>
      <c r="P172" s="109">
        <v>718</v>
      </c>
      <c r="Q172" s="111">
        <f t="shared" si="31"/>
        <v>6.576469569048224</v>
      </c>
      <c r="R172" s="93">
        <v>44.299999</v>
      </c>
      <c r="S172" s="114">
        <v>85.7</v>
      </c>
      <c r="T172" s="113">
        <f t="shared" si="32"/>
        <v>4.4508528256037341</v>
      </c>
      <c r="U172" s="112">
        <v>17.2</v>
      </c>
      <c r="V172" s="113">
        <f t="shared" si="33"/>
        <v>2.8449093838194073</v>
      </c>
      <c r="W172" s="115">
        <v>10095.6</v>
      </c>
      <c r="X172" s="101">
        <f t="shared" si="34"/>
        <v>9.2198549643447674</v>
      </c>
      <c r="Y172" s="116">
        <v>37476</v>
      </c>
      <c r="Z172" s="102">
        <v>603247</v>
      </c>
      <c r="AA172" s="235">
        <v>0.34</v>
      </c>
      <c r="AB172" s="117">
        <f t="shared" si="35"/>
        <v>-1.0788096613719298</v>
      </c>
      <c r="AC172" s="115">
        <v>102</v>
      </c>
      <c r="AD172" s="117">
        <f t="shared" si="36"/>
        <v>4.6249728132842707</v>
      </c>
      <c r="AE172" s="109">
        <v>5581.1864999999998</v>
      </c>
      <c r="AF172" s="111">
        <f t="shared" si="37"/>
        <v>8.6271566671804667</v>
      </c>
      <c r="AG172" s="118">
        <v>48.6</v>
      </c>
      <c r="AH172" s="119">
        <v>10.603999999999999</v>
      </c>
      <c r="AI172" s="120">
        <f t="shared" si="38"/>
        <v>2.361231288426779</v>
      </c>
      <c r="AJ172" s="121">
        <v>718</v>
      </c>
      <c r="AK172" s="120">
        <f t="shared" si="39"/>
        <v>6.576469569048224</v>
      </c>
      <c r="AL172" s="108">
        <v>44.3</v>
      </c>
      <c r="AM172" s="119">
        <v>5581.19</v>
      </c>
      <c r="AN172" s="120">
        <f t="shared" si="40"/>
        <v>8.6271572942870698</v>
      </c>
      <c r="AO172" s="96">
        <v>47.030200000000001</v>
      </c>
      <c r="AP172" s="94">
        <v>205.36699999999999</v>
      </c>
      <c r="AQ172" s="95">
        <v>5.3247999999999998</v>
      </c>
      <c r="AR172" s="94">
        <v>16.600000000000001</v>
      </c>
      <c r="AS172" s="95">
        <f t="shared" si="41"/>
        <v>2.8094026953624978</v>
      </c>
      <c r="AT172" s="96">
        <v>69.564999999999998</v>
      </c>
    </row>
    <row r="173" spans="1:46">
      <c r="A173" s="109">
        <v>16</v>
      </c>
      <c r="B173" s="110" t="s">
        <v>23</v>
      </c>
      <c r="C173" s="110" t="s">
        <v>22</v>
      </c>
      <c r="D173" s="111">
        <v>2016</v>
      </c>
      <c r="E173" s="109">
        <v>17.100000000000001</v>
      </c>
      <c r="F173" s="111">
        <f t="shared" si="28"/>
        <v>2.8390784635086144</v>
      </c>
      <c r="G173" s="93">
        <v>1.3595699999999999</v>
      </c>
      <c r="H173" s="93">
        <v>26000000000</v>
      </c>
      <c r="I173" s="94">
        <v>30815.1</v>
      </c>
      <c r="J173" s="95">
        <v>10.335800000000001</v>
      </c>
      <c r="K173" s="96">
        <v>0.76</v>
      </c>
      <c r="L173" s="109">
        <v>10.526999999999999</v>
      </c>
      <c r="M173" s="111">
        <f t="shared" si="29"/>
        <v>2.3539433852691878</v>
      </c>
      <c r="N173" s="112">
        <v>3.4605999999999999</v>
      </c>
      <c r="O173" s="113">
        <f t="shared" si="30"/>
        <v>1.241441984440411</v>
      </c>
      <c r="P173" s="109">
        <v>651</v>
      </c>
      <c r="Q173" s="111">
        <f t="shared" si="31"/>
        <v>6.4785096422085688</v>
      </c>
      <c r="R173" s="93">
        <v>45.900002000000001</v>
      </c>
      <c r="S173" s="114">
        <v>86</v>
      </c>
      <c r="T173" s="113">
        <f t="shared" si="32"/>
        <v>4.4543472962535073</v>
      </c>
      <c r="U173" s="112">
        <v>17.8</v>
      </c>
      <c r="V173" s="113">
        <f t="shared" si="33"/>
        <v>2.8791984572980396</v>
      </c>
      <c r="W173" s="115">
        <v>8945.6</v>
      </c>
      <c r="X173" s="101">
        <f t="shared" si="34"/>
        <v>9.0989170702723801</v>
      </c>
      <c r="Y173" s="116">
        <v>38378</v>
      </c>
      <c r="Z173" s="102">
        <v>612645</v>
      </c>
      <c r="AA173" s="235">
        <v>0.48</v>
      </c>
      <c r="AB173" s="117">
        <f t="shared" si="35"/>
        <v>-0.73396917508020043</v>
      </c>
      <c r="AC173" s="115">
        <v>103</v>
      </c>
      <c r="AD173" s="117">
        <f t="shared" si="36"/>
        <v>4.6347289882296359</v>
      </c>
      <c r="AE173" s="109">
        <v>5476.9458000000004</v>
      </c>
      <c r="AF173" s="111">
        <f t="shared" si="37"/>
        <v>8.6083028888063282</v>
      </c>
      <c r="AG173" s="118">
        <v>48.9</v>
      </c>
      <c r="AH173" s="119">
        <v>10.526999999999999</v>
      </c>
      <c r="AI173" s="120">
        <f t="shared" si="38"/>
        <v>2.3539433852691878</v>
      </c>
      <c r="AJ173" s="121">
        <v>651</v>
      </c>
      <c r="AK173" s="120">
        <f t="shared" si="39"/>
        <v>6.4785096422085688</v>
      </c>
      <c r="AL173" s="108">
        <v>45.9</v>
      </c>
      <c r="AM173" s="119">
        <v>5476.95</v>
      </c>
      <c r="AN173" s="120">
        <f t="shared" si="40"/>
        <v>8.6083036556567851</v>
      </c>
      <c r="AO173" s="96">
        <v>46.024099999999997</v>
      </c>
      <c r="AP173" s="94">
        <v>205.018</v>
      </c>
      <c r="AQ173" s="95">
        <v>5.3231000000000002</v>
      </c>
      <c r="AR173" s="94">
        <v>16.100000000000001</v>
      </c>
      <c r="AS173" s="95">
        <f t="shared" si="41"/>
        <v>2.7788192719904172</v>
      </c>
      <c r="AT173" s="96">
        <v>69.855000000000004</v>
      </c>
    </row>
    <row r="174" spans="1:46">
      <c r="A174" s="109">
        <v>16</v>
      </c>
      <c r="B174" s="110" t="s">
        <v>23</v>
      </c>
      <c r="C174" s="110" t="s">
        <v>22</v>
      </c>
      <c r="D174" s="111">
        <v>2017</v>
      </c>
      <c r="E174" s="109">
        <v>17.7</v>
      </c>
      <c r="F174" s="111">
        <f t="shared" si="28"/>
        <v>2.8735646395797834</v>
      </c>
      <c r="G174" s="93">
        <v>0.44334200000000001</v>
      </c>
      <c r="H174" s="93">
        <v>8700000000</v>
      </c>
      <c r="I174" s="94">
        <v>31356.2</v>
      </c>
      <c r="J174" s="95">
        <v>10.353199999999999</v>
      </c>
      <c r="K174" s="96">
        <v>0.79</v>
      </c>
      <c r="L174" s="109">
        <v>10.391999999999999</v>
      </c>
      <c r="M174" s="111">
        <f t="shared" si="29"/>
        <v>2.3410362793682982</v>
      </c>
      <c r="N174" s="112">
        <v>3.5396999999999998</v>
      </c>
      <c r="O174" s="113">
        <f t="shared" si="30"/>
        <v>1.2640419777918461</v>
      </c>
      <c r="P174" s="109">
        <v>624</v>
      </c>
      <c r="Q174" s="111">
        <f t="shared" si="31"/>
        <v>6.4361503683694279</v>
      </c>
      <c r="R174" s="93">
        <v>47.799999</v>
      </c>
      <c r="S174" s="114">
        <v>88.9</v>
      </c>
      <c r="T174" s="113">
        <f t="shared" si="32"/>
        <v>4.4875121425198587</v>
      </c>
      <c r="U174" s="112">
        <v>18.399999999999999</v>
      </c>
      <c r="V174" s="113">
        <f t="shared" si="33"/>
        <v>2.91235066461494</v>
      </c>
      <c r="W174" s="115">
        <v>8232.5</v>
      </c>
      <c r="X174" s="101">
        <f t="shared" si="34"/>
        <v>9.0158450142505195</v>
      </c>
      <c r="Y174" s="116">
        <v>36657</v>
      </c>
      <c r="Z174" s="102">
        <v>591196</v>
      </c>
      <c r="AA174" s="235">
        <v>0.47</v>
      </c>
      <c r="AB174" s="117">
        <f t="shared" si="35"/>
        <v>-0.75502258427803282</v>
      </c>
      <c r="AC174" s="115">
        <v>108</v>
      </c>
      <c r="AD174" s="117">
        <f t="shared" si="36"/>
        <v>4.6821312271242199</v>
      </c>
      <c r="AE174" s="109">
        <v>5370.5537000000004</v>
      </c>
      <c r="AF174" s="111">
        <f t="shared" si="37"/>
        <v>8.5886862920570994</v>
      </c>
      <c r="AG174" s="118">
        <v>50.8</v>
      </c>
      <c r="AH174" s="119">
        <v>10.391999999999999</v>
      </c>
      <c r="AI174" s="120">
        <f t="shared" si="38"/>
        <v>2.3410362793682982</v>
      </c>
      <c r="AJ174" s="121">
        <v>624</v>
      </c>
      <c r="AK174" s="120">
        <f t="shared" si="39"/>
        <v>6.4361503683694279</v>
      </c>
      <c r="AL174" s="108">
        <v>47.8</v>
      </c>
      <c r="AM174" s="119">
        <v>5370.55</v>
      </c>
      <c r="AN174" s="120">
        <f t="shared" si="40"/>
        <v>8.5886856031148628</v>
      </c>
      <c r="AO174" s="96">
        <v>48.740499999999997</v>
      </c>
      <c r="AP174" s="94">
        <v>204.71100000000001</v>
      </c>
      <c r="AQ174" s="95">
        <v>5.3216000000000001</v>
      </c>
      <c r="AR174" s="94">
        <v>16.399999999999999</v>
      </c>
      <c r="AS174" s="95">
        <f t="shared" si="41"/>
        <v>2.7972813348301528</v>
      </c>
      <c r="AT174" s="96">
        <v>70.144000000000005</v>
      </c>
    </row>
    <row r="175" spans="1:46">
      <c r="A175" s="109">
        <v>16</v>
      </c>
      <c r="B175" s="110" t="s">
        <v>23</v>
      </c>
      <c r="C175" s="110" t="s">
        <v>22</v>
      </c>
      <c r="D175" s="111">
        <v>2018</v>
      </c>
      <c r="E175" s="109">
        <v>17.899999999999999</v>
      </c>
      <c r="F175" s="111">
        <f t="shared" si="28"/>
        <v>2.884800712846709</v>
      </c>
      <c r="G175" s="93">
        <v>2.1076999999999999</v>
      </c>
      <c r="H175" s="93">
        <v>44000000000</v>
      </c>
      <c r="I175" s="94">
        <v>31675.599999999999</v>
      </c>
      <c r="J175" s="95">
        <v>10.363300000000001</v>
      </c>
      <c r="K175" s="96">
        <v>0.77</v>
      </c>
      <c r="L175" s="109">
        <v>10.772</v>
      </c>
      <c r="M175" s="111">
        <f t="shared" si="29"/>
        <v>2.3769501749493527</v>
      </c>
      <c r="N175" s="112">
        <v>3.5268999999999999</v>
      </c>
      <c r="O175" s="113">
        <f t="shared" si="30"/>
        <v>1.2604192981442857</v>
      </c>
      <c r="P175" s="109">
        <v>616</v>
      </c>
      <c r="Q175" s="111">
        <f t="shared" si="31"/>
        <v>6.4232469635335194</v>
      </c>
      <c r="R175" s="93">
        <v>49.799999</v>
      </c>
      <c r="S175" s="114">
        <v>84.3</v>
      </c>
      <c r="T175" s="113">
        <f t="shared" si="32"/>
        <v>4.4343818650078095</v>
      </c>
      <c r="U175" s="112">
        <v>18.8</v>
      </c>
      <c r="V175" s="113">
        <f t="shared" si="33"/>
        <v>2.9338568698359038</v>
      </c>
      <c r="W175" s="115">
        <v>5439.6</v>
      </c>
      <c r="X175" s="101">
        <f t="shared" si="34"/>
        <v>8.6014608077348047</v>
      </c>
      <c r="Y175" s="116">
        <v>37725</v>
      </c>
      <c r="Z175" s="102">
        <v>585644</v>
      </c>
      <c r="AA175" s="235">
        <v>0.39</v>
      </c>
      <c r="AB175" s="117">
        <f t="shared" si="35"/>
        <v>-0.94160853985844495</v>
      </c>
      <c r="AC175" s="115">
        <v>104</v>
      </c>
      <c r="AD175" s="117">
        <f t="shared" si="36"/>
        <v>4.6443908991413725</v>
      </c>
      <c r="AE175" s="109">
        <v>4917.8227999999999</v>
      </c>
      <c r="AF175" s="111">
        <f t="shared" si="37"/>
        <v>8.5006211912201373</v>
      </c>
      <c r="AG175" s="118">
        <v>50.6</v>
      </c>
      <c r="AH175" s="119">
        <v>10.772</v>
      </c>
      <c r="AI175" s="120">
        <f t="shared" si="38"/>
        <v>2.3769501749493527</v>
      </c>
      <c r="AJ175" s="121">
        <v>616</v>
      </c>
      <c r="AK175" s="120">
        <f t="shared" si="39"/>
        <v>6.4232469635335194</v>
      </c>
      <c r="AL175" s="108">
        <v>49.8</v>
      </c>
      <c r="AM175" s="119">
        <v>4917.82</v>
      </c>
      <c r="AN175" s="120">
        <f t="shared" si="40"/>
        <v>8.5006206218623301</v>
      </c>
      <c r="AO175" s="96">
        <v>50.145200000000003</v>
      </c>
      <c r="AP175" s="94">
        <v>204.322</v>
      </c>
      <c r="AQ175" s="95">
        <v>5.3197000000000001</v>
      </c>
      <c r="AR175" s="94">
        <v>17.100000000000001</v>
      </c>
      <c r="AS175" s="95">
        <f t="shared" si="41"/>
        <v>2.8390784635086144</v>
      </c>
      <c r="AT175" s="96">
        <v>70.438000000000002</v>
      </c>
    </row>
    <row r="176" spans="1:46">
      <c r="A176" s="109">
        <v>16</v>
      </c>
      <c r="B176" s="110" t="s">
        <v>23</v>
      </c>
      <c r="C176" s="110" t="s">
        <v>22</v>
      </c>
      <c r="D176" s="111">
        <v>2019</v>
      </c>
      <c r="E176" s="109">
        <v>18.2</v>
      </c>
      <c r="F176" s="111">
        <f t="shared" si="28"/>
        <v>2.9014215940827497</v>
      </c>
      <c r="G176" s="93">
        <v>1.77067</v>
      </c>
      <c r="H176" s="93">
        <v>36000000000</v>
      </c>
      <c r="I176" s="94">
        <v>32180.400000000001</v>
      </c>
      <c r="J176" s="95">
        <v>10.379099999999999</v>
      </c>
      <c r="K176" s="96">
        <v>0.77</v>
      </c>
      <c r="L176" s="109">
        <v>10.547000000000001</v>
      </c>
      <c r="M176" s="111">
        <f t="shared" si="29"/>
        <v>2.3558414592944774</v>
      </c>
      <c r="N176" s="112">
        <v>3.4611999999999998</v>
      </c>
      <c r="O176" s="113">
        <f t="shared" si="30"/>
        <v>1.2416153497504467</v>
      </c>
      <c r="P176" s="109">
        <v>585</v>
      </c>
      <c r="Q176" s="111">
        <f t="shared" si="31"/>
        <v>6.3716118472318568</v>
      </c>
      <c r="R176" s="93">
        <v>51.400002000000001</v>
      </c>
      <c r="S176" s="114">
        <v>82.2</v>
      </c>
      <c r="T176" s="113">
        <f t="shared" si="32"/>
        <v>4.4091553020621346</v>
      </c>
      <c r="U176" s="112">
        <v>18.8</v>
      </c>
      <c r="V176" s="113">
        <f t="shared" si="33"/>
        <v>2.9338568698359038</v>
      </c>
      <c r="W176" s="115">
        <v>5429</v>
      </c>
      <c r="X176" s="101">
        <f t="shared" si="34"/>
        <v>8.5995102339054519</v>
      </c>
      <c r="Y176" s="116">
        <v>42931</v>
      </c>
      <c r="Z176" s="102">
        <v>644581</v>
      </c>
      <c r="AA176" s="235">
        <v>0.81</v>
      </c>
      <c r="AB176" s="117">
        <f t="shared" si="35"/>
        <v>-0.21072103131565253</v>
      </c>
      <c r="AC176" s="115">
        <v>106</v>
      </c>
      <c r="AD176" s="117">
        <f t="shared" si="36"/>
        <v>4.6634390941120669</v>
      </c>
      <c r="AE176" s="109">
        <v>4465.0918000000001</v>
      </c>
      <c r="AF176" s="111">
        <f t="shared" si="37"/>
        <v>8.4040450530096624</v>
      </c>
      <c r="AG176" s="118">
        <v>48.9</v>
      </c>
      <c r="AH176" s="119">
        <v>10.547000000000001</v>
      </c>
      <c r="AI176" s="120">
        <f t="shared" si="38"/>
        <v>2.3558414592944774</v>
      </c>
      <c r="AJ176" s="121">
        <v>585</v>
      </c>
      <c r="AK176" s="120">
        <f t="shared" si="39"/>
        <v>6.3716118472318568</v>
      </c>
      <c r="AL176" s="108">
        <v>51.4</v>
      </c>
      <c r="AM176" s="119">
        <v>0</v>
      </c>
      <c r="AN176" s="120">
        <v>0</v>
      </c>
      <c r="AO176" s="96">
        <v>50.144599999999997</v>
      </c>
      <c r="AP176" s="94">
        <v>201.98099999999999</v>
      </c>
      <c r="AQ176" s="95">
        <v>5.3081699999999996</v>
      </c>
      <c r="AR176" s="94">
        <v>17.3</v>
      </c>
      <c r="AS176" s="95">
        <f t="shared" si="41"/>
        <v>2.8507065015037334</v>
      </c>
      <c r="AT176" s="96">
        <v>70.736000000000004</v>
      </c>
    </row>
    <row r="177" spans="1:46">
      <c r="A177" s="109">
        <v>16</v>
      </c>
      <c r="B177" s="110" t="s">
        <v>23</v>
      </c>
      <c r="C177" s="110" t="s">
        <v>22</v>
      </c>
      <c r="D177" s="111">
        <v>2020</v>
      </c>
      <c r="E177" s="109">
        <v>18.7</v>
      </c>
      <c r="F177" s="111">
        <f t="shared" si="28"/>
        <v>2.9285235238605409</v>
      </c>
      <c r="G177" s="93">
        <v>-0.89387000000000005</v>
      </c>
      <c r="H177" s="93">
        <v>-17000000000</v>
      </c>
      <c r="I177" s="94">
        <v>29469.8</v>
      </c>
      <c r="J177" s="95">
        <v>10.2911</v>
      </c>
      <c r="K177" s="96">
        <v>0.79</v>
      </c>
      <c r="L177" s="109">
        <v>9.6020002000000009</v>
      </c>
      <c r="M177" s="111">
        <f t="shared" si="29"/>
        <v>2.2619714309377423</v>
      </c>
      <c r="N177" s="112">
        <v>3.4285999999999999</v>
      </c>
      <c r="O177" s="113">
        <f t="shared" si="30"/>
        <v>1.2321520145912437</v>
      </c>
      <c r="P177" s="109">
        <v>554</v>
      </c>
      <c r="Q177" s="111">
        <f t="shared" si="31"/>
        <v>6.3171646867472839</v>
      </c>
      <c r="R177" s="93">
        <v>51.400002000000001</v>
      </c>
      <c r="S177" s="114">
        <v>86.4</v>
      </c>
      <c r="T177" s="113">
        <f t="shared" si="32"/>
        <v>4.4589876758100102</v>
      </c>
      <c r="U177" s="112">
        <v>2.6</v>
      </c>
      <c r="V177" s="113">
        <f t="shared" si="33"/>
        <v>0.95551144502743635</v>
      </c>
      <c r="W177" s="115">
        <v>6243.2</v>
      </c>
      <c r="X177" s="101">
        <f t="shared" si="34"/>
        <v>8.7392481504287929</v>
      </c>
      <c r="Y177" s="116">
        <v>42737</v>
      </c>
      <c r="Z177" s="102">
        <v>617149</v>
      </c>
      <c r="AA177" s="235">
        <v>0.36</v>
      </c>
      <c r="AB177" s="117">
        <f t="shared" si="35"/>
        <v>-1.0216512475319814</v>
      </c>
      <c r="AC177" s="115">
        <v>101</v>
      </c>
      <c r="AD177" s="117">
        <f t="shared" si="36"/>
        <v>4.6151205168412597</v>
      </c>
      <c r="AE177" s="109">
        <v>4012.3607999999999</v>
      </c>
      <c r="AF177" s="111">
        <f t="shared" si="37"/>
        <v>8.29713507524772</v>
      </c>
      <c r="AG177" s="118">
        <v>46.5</v>
      </c>
      <c r="AH177" s="119">
        <v>9.6020000000000003</v>
      </c>
      <c r="AI177" s="120">
        <f t="shared" si="38"/>
        <v>2.2619714101087487</v>
      </c>
      <c r="AJ177" s="121">
        <v>0</v>
      </c>
      <c r="AK177" s="120">
        <v>0</v>
      </c>
      <c r="AL177" s="108">
        <v>51.4</v>
      </c>
      <c r="AM177" s="119">
        <v>0</v>
      </c>
      <c r="AN177" s="120">
        <v>0</v>
      </c>
      <c r="AO177" s="96">
        <v>48.580199999999998</v>
      </c>
      <c r="AP177" s="94">
        <v>200.999</v>
      </c>
      <c r="AQ177" s="95">
        <v>5.3033000000000001</v>
      </c>
      <c r="AR177" s="94">
        <v>18.7</v>
      </c>
      <c r="AS177" s="95">
        <f t="shared" si="41"/>
        <v>2.9285235238605409</v>
      </c>
      <c r="AT177" s="96">
        <v>71.039000000000001</v>
      </c>
    </row>
    <row r="178" spans="1:46">
      <c r="A178" s="109">
        <v>17</v>
      </c>
      <c r="B178" s="110" t="s">
        <v>21</v>
      </c>
      <c r="C178" s="110" t="s">
        <v>20</v>
      </c>
      <c r="D178" s="111">
        <v>2010</v>
      </c>
      <c r="E178" s="109">
        <v>24.5</v>
      </c>
      <c r="F178" s="111">
        <f t="shared" si="28"/>
        <v>3.1986731175506815</v>
      </c>
      <c r="G178" s="93">
        <v>3.0097</v>
      </c>
      <c r="H178" s="93">
        <v>1100000000</v>
      </c>
      <c r="I178" s="94">
        <v>10884.1</v>
      </c>
      <c r="J178" s="95">
        <v>9.2950599999999994</v>
      </c>
      <c r="K178" s="96">
        <v>0.25</v>
      </c>
      <c r="L178" s="109">
        <v>13.795</v>
      </c>
      <c r="M178" s="111">
        <f t="shared" si="29"/>
        <v>2.6243062076692496</v>
      </c>
      <c r="N178" s="112">
        <v>0.80610000000000004</v>
      </c>
      <c r="O178" s="113">
        <f t="shared" si="30"/>
        <v>-0.21554747469258176</v>
      </c>
      <c r="P178" s="109">
        <v>516</v>
      </c>
      <c r="Q178" s="111">
        <f t="shared" si="31"/>
        <v>6.2461067654815627</v>
      </c>
      <c r="R178" s="93">
        <v>4.9000000999999997</v>
      </c>
      <c r="S178" s="114">
        <v>72.400000000000006</v>
      </c>
      <c r="T178" s="113">
        <f t="shared" si="32"/>
        <v>4.282206299391671</v>
      </c>
      <c r="U178" s="112">
        <v>3.9</v>
      </c>
      <c r="V178" s="113">
        <f t="shared" si="33"/>
        <v>1.3609765531356006</v>
      </c>
      <c r="W178" s="115">
        <v>123.3</v>
      </c>
      <c r="X178" s="101">
        <f t="shared" si="34"/>
        <v>4.8146204101702983</v>
      </c>
      <c r="Y178" s="116">
        <v>313</v>
      </c>
      <c r="Z178" s="102">
        <v>27198</v>
      </c>
      <c r="AA178" s="235">
        <v>0.65</v>
      </c>
      <c r="AB178" s="117">
        <f t="shared" si="35"/>
        <v>-0.43078291609245423</v>
      </c>
      <c r="AC178" s="115">
        <v>100</v>
      </c>
      <c r="AD178" s="117">
        <f t="shared" si="36"/>
        <v>4.6051701859880918</v>
      </c>
      <c r="AE178" s="109">
        <v>6380.5742</v>
      </c>
      <c r="AF178" s="111">
        <f t="shared" si="37"/>
        <v>8.7610133722890779</v>
      </c>
      <c r="AG178" s="118">
        <v>41</v>
      </c>
      <c r="AH178" s="119">
        <v>13.795</v>
      </c>
      <c r="AI178" s="120">
        <f t="shared" si="38"/>
        <v>2.6243062076692496</v>
      </c>
      <c r="AJ178" s="121">
        <v>516</v>
      </c>
      <c r="AK178" s="120">
        <f t="shared" si="39"/>
        <v>6.2461067654815627</v>
      </c>
      <c r="AL178" s="108">
        <v>4.9000000000000004</v>
      </c>
      <c r="AM178" s="119">
        <v>6380.57</v>
      </c>
      <c r="AN178" s="120">
        <f t="shared" si="40"/>
        <v>8.7610127140408949</v>
      </c>
      <c r="AO178" s="96">
        <v>120.506</v>
      </c>
      <c r="AP178" s="94">
        <v>49.418100000000003</v>
      </c>
      <c r="AQ178" s="95">
        <v>3.9003199999999998</v>
      </c>
      <c r="AR178" s="94">
        <v>21.5</v>
      </c>
      <c r="AS178" s="95">
        <f t="shared" si="41"/>
        <v>3.068052935133617</v>
      </c>
      <c r="AT178" s="96">
        <v>66.757000000000005</v>
      </c>
    </row>
    <row r="179" spans="1:46">
      <c r="A179" s="109">
        <v>17</v>
      </c>
      <c r="B179" s="110" t="s">
        <v>21</v>
      </c>
      <c r="C179" s="110" t="s">
        <v>20</v>
      </c>
      <c r="D179" s="111">
        <v>2011</v>
      </c>
      <c r="E179" s="109">
        <v>26</v>
      </c>
      <c r="F179" s="111">
        <f t="shared" si="28"/>
        <v>3.2580965380214821</v>
      </c>
      <c r="G179" s="93">
        <v>4.3550899999999997</v>
      </c>
      <c r="H179" s="93">
        <v>1900000000</v>
      </c>
      <c r="I179" s="94">
        <v>11836.7</v>
      </c>
      <c r="J179" s="95">
        <v>9.3789599999999993</v>
      </c>
      <c r="K179" s="96">
        <v>0.23</v>
      </c>
      <c r="L179" s="109">
        <v>15.941000000000001</v>
      </c>
      <c r="M179" s="111">
        <f t="shared" si="29"/>
        <v>2.7688944066515098</v>
      </c>
      <c r="N179" s="112">
        <v>0.78800000000000003</v>
      </c>
      <c r="O179" s="113">
        <f t="shared" si="30"/>
        <v>-0.23825718912425789</v>
      </c>
      <c r="P179" s="109">
        <v>523</v>
      </c>
      <c r="Q179" s="111">
        <f t="shared" si="31"/>
        <v>6.2595814640649232</v>
      </c>
      <c r="R179" s="93">
        <v>20</v>
      </c>
      <c r="S179" s="114">
        <v>70.3</v>
      </c>
      <c r="T179" s="113">
        <f t="shared" si="32"/>
        <v>4.2527717988166192</v>
      </c>
      <c r="U179" s="112">
        <v>3.6</v>
      </c>
      <c r="V179" s="113">
        <f t="shared" si="33"/>
        <v>1.2809338454620642</v>
      </c>
      <c r="W179" s="115">
        <v>347.2</v>
      </c>
      <c r="X179" s="101">
        <f t="shared" si="34"/>
        <v>5.8499009827861954</v>
      </c>
      <c r="Y179" s="116">
        <v>390</v>
      </c>
      <c r="Z179" s="102">
        <v>29071</v>
      </c>
      <c r="AA179" s="235">
        <v>0.5</v>
      </c>
      <c r="AB179" s="117">
        <f t="shared" si="35"/>
        <v>-0.69314718055994529</v>
      </c>
      <c r="AC179" s="115">
        <v>100</v>
      </c>
      <c r="AD179" s="117">
        <f t="shared" si="36"/>
        <v>4.6051701859880918</v>
      </c>
      <c r="AE179" s="109">
        <v>6053.3266999999996</v>
      </c>
      <c r="AF179" s="111">
        <f t="shared" si="37"/>
        <v>8.7083632676715954</v>
      </c>
      <c r="AG179" s="118">
        <v>40.299999999999997</v>
      </c>
      <c r="AH179" s="119">
        <v>15.941000000000001</v>
      </c>
      <c r="AI179" s="120">
        <f t="shared" si="38"/>
        <v>2.7688944066515098</v>
      </c>
      <c r="AJ179" s="121">
        <v>523</v>
      </c>
      <c r="AK179" s="120">
        <f t="shared" si="39"/>
        <v>6.2595814640649232</v>
      </c>
      <c r="AL179" s="108">
        <v>20</v>
      </c>
      <c r="AM179" s="119">
        <v>6053.33</v>
      </c>
      <c r="AN179" s="120">
        <f t="shared" si="40"/>
        <v>8.7083638128262297</v>
      </c>
      <c r="AO179" s="96">
        <v>138.52199999999999</v>
      </c>
      <c r="AP179" s="94">
        <v>48.315300000000001</v>
      </c>
      <c r="AQ179" s="95">
        <v>3.8777499999999998</v>
      </c>
      <c r="AR179" s="94">
        <v>22.7</v>
      </c>
      <c r="AS179" s="95">
        <f t="shared" si="41"/>
        <v>3.122364924487357</v>
      </c>
      <c r="AT179" s="96">
        <v>66.741</v>
      </c>
    </row>
    <row r="180" spans="1:46">
      <c r="A180" s="109">
        <v>17</v>
      </c>
      <c r="B180" s="110" t="s">
        <v>21</v>
      </c>
      <c r="C180" s="110" t="s">
        <v>20</v>
      </c>
      <c r="D180" s="111">
        <v>2012</v>
      </c>
      <c r="E180" s="109">
        <v>27</v>
      </c>
      <c r="F180" s="111">
        <f t="shared" si="28"/>
        <v>3.2958368660043291</v>
      </c>
      <c r="G180" s="93">
        <v>1.5855600000000001</v>
      </c>
      <c r="H180" s="93">
        <v>680000000</v>
      </c>
      <c r="I180" s="94">
        <v>12522.3</v>
      </c>
      <c r="J180" s="95">
        <v>9.4352699999999992</v>
      </c>
      <c r="K180" s="96">
        <v>0.23</v>
      </c>
      <c r="L180" s="109">
        <v>14.603999999999999</v>
      </c>
      <c r="M180" s="111">
        <f t="shared" si="29"/>
        <v>2.6812954637933903</v>
      </c>
      <c r="N180" s="112">
        <v>0.89180000000000004</v>
      </c>
      <c r="O180" s="113">
        <f t="shared" si="30"/>
        <v>-0.11451338678876073</v>
      </c>
      <c r="P180" s="109">
        <v>523</v>
      </c>
      <c r="Q180" s="111">
        <f t="shared" si="31"/>
        <v>6.2595814640649232</v>
      </c>
      <c r="R180" s="93">
        <v>23.5</v>
      </c>
      <c r="S180" s="114">
        <v>68.7</v>
      </c>
      <c r="T180" s="113">
        <f t="shared" si="32"/>
        <v>4.2297491992283041</v>
      </c>
      <c r="U180" s="112">
        <v>3.8</v>
      </c>
      <c r="V180" s="113">
        <f t="shared" si="33"/>
        <v>1.33500106673234</v>
      </c>
      <c r="W180" s="115">
        <v>358.9</v>
      </c>
      <c r="X180" s="101">
        <f t="shared" si="34"/>
        <v>5.8830437981535617</v>
      </c>
      <c r="Y180" s="116">
        <v>459</v>
      </c>
      <c r="Z180" s="102">
        <v>30335</v>
      </c>
      <c r="AA180" s="235">
        <v>0.38</v>
      </c>
      <c r="AB180" s="117">
        <f t="shared" si="35"/>
        <v>-0.96758402626170559</v>
      </c>
      <c r="AC180" s="115">
        <v>107</v>
      </c>
      <c r="AD180" s="117">
        <f t="shared" si="36"/>
        <v>4.6728288344619058</v>
      </c>
      <c r="AE180" s="109">
        <v>6359.7129000000004</v>
      </c>
      <c r="AF180" s="111">
        <f t="shared" si="37"/>
        <v>8.7577385138058261</v>
      </c>
      <c r="AG180" s="118">
        <v>41.8</v>
      </c>
      <c r="AH180" s="119">
        <v>14.603999999999999</v>
      </c>
      <c r="AI180" s="120">
        <f t="shared" si="38"/>
        <v>2.6812954637933903</v>
      </c>
      <c r="AJ180" s="121">
        <v>523</v>
      </c>
      <c r="AK180" s="120">
        <f t="shared" si="39"/>
        <v>6.2595814640649232</v>
      </c>
      <c r="AL180" s="108">
        <v>23.5</v>
      </c>
      <c r="AM180" s="119">
        <v>6359.71</v>
      </c>
      <c r="AN180" s="120">
        <f t="shared" si="40"/>
        <v>8.757738057810295</v>
      </c>
      <c r="AO180" s="96">
        <v>144.17400000000001</v>
      </c>
      <c r="AP180" s="94">
        <v>47.671599999999998</v>
      </c>
      <c r="AQ180" s="95">
        <v>3.8643399999999999</v>
      </c>
      <c r="AR180" s="94">
        <v>23.9</v>
      </c>
      <c r="AS180" s="95">
        <f t="shared" si="41"/>
        <v>3.1738784589374651</v>
      </c>
      <c r="AT180" s="96">
        <v>66.864000000000004</v>
      </c>
    </row>
    <row r="181" spans="1:46">
      <c r="A181" s="109">
        <v>17</v>
      </c>
      <c r="B181" s="110" t="s">
        <v>21</v>
      </c>
      <c r="C181" s="110" t="s">
        <v>20</v>
      </c>
      <c r="D181" s="111">
        <v>2013</v>
      </c>
      <c r="E181" s="109">
        <v>27</v>
      </c>
      <c r="F181" s="111">
        <f t="shared" si="28"/>
        <v>3.2958368660043291</v>
      </c>
      <c r="G181" s="93">
        <v>1.66004</v>
      </c>
      <c r="H181" s="93">
        <v>770000000</v>
      </c>
      <c r="I181" s="94">
        <v>13161.6</v>
      </c>
      <c r="J181" s="95">
        <v>9.4850600000000007</v>
      </c>
      <c r="K181" s="96">
        <v>0.22</v>
      </c>
      <c r="L181" s="109">
        <v>17.415001</v>
      </c>
      <c r="M181" s="111">
        <f t="shared" si="29"/>
        <v>2.8573319612397259</v>
      </c>
      <c r="N181" s="112">
        <v>0.76290000000000002</v>
      </c>
      <c r="O181" s="113">
        <f t="shared" si="30"/>
        <v>-0.27062831788595337</v>
      </c>
      <c r="P181" s="109">
        <v>539</v>
      </c>
      <c r="Q181" s="111">
        <f t="shared" si="31"/>
        <v>6.2897155709089976</v>
      </c>
      <c r="R181" s="93">
        <v>27.799999</v>
      </c>
      <c r="S181" s="114">
        <v>69.5</v>
      </c>
      <c r="T181" s="113">
        <f t="shared" si="32"/>
        <v>4.2413267525707461</v>
      </c>
      <c r="U181" s="112">
        <v>3.1</v>
      </c>
      <c r="V181" s="113">
        <f t="shared" si="33"/>
        <v>1.1314021114911006</v>
      </c>
      <c r="W181" s="115">
        <v>363.2</v>
      </c>
      <c r="X181" s="101">
        <f t="shared" si="34"/>
        <v>5.8949536467271386</v>
      </c>
      <c r="Y181" s="116">
        <v>476</v>
      </c>
      <c r="Z181" s="102">
        <v>33120</v>
      </c>
      <c r="AA181" s="235">
        <v>0.34</v>
      </c>
      <c r="AB181" s="117">
        <f t="shared" si="35"/>
        <v>-1.0788096613719298</v>
      </c>
      <c r="AC181" s="115">
        <v>104</v>
      </c>
      <c r="AD181" s="117">
        <f t="shared" si="36"/>
        <v>4.6443908991413725</v>
      </c>
      <c r="AE181" s="109">
        <v>6645.5801000000001</v>
      </c>
      <c r="AF181" s="111">
        <f t="shared" si="37"/>
        <v>8.8017072660578766</v>
      </c>
      <c r="AG181" s="118">
        <v>38.6</v>
      </c>
      <c r="AH181" s="119">
        <v>17.414999999999999</v>
      </c>
      <c r="AI181" s="120">
        <f t="shared" si="38"/>
        <v>2.8573319038179643</v>
      </c>
      <c r="AJ181" s="121">
        <v>539</v>
      </c>
      <c r="AK181" s="120">
        <f t="shared" si="39"/>
        <v>6.2897155709089976</v>
      </c>
      <c r="AL181" s="108">
        <v>27.8</v>
      </c>
      <c r="AM181" s="119">
        <v>6645.58</v>
      </c>
      <c r="AN181" s="120">
        <f t="shared" si="40"/>
        <v>8.8017072510102814</v>
      </c>
      <c r="AO181" s="96">
        <v>145.56899999999999</v>
      </c>
      <c r="AP181" s="94">
        <v>47.190899999999999</v>
      </c>
      <c r="AQ181" s="95">
        <v>3.8542000000000001</v>
      </c>
      <c r="AR181" s="94">
        <v>26.3</v>
      </c>
      <c r="AS181" s="95">
        <f t="shared" si="41"/>
        <v>3.2695689391837188</v>
      </c>
      <c r="AT181" s="96">
        <v>66.986000000000004</v>
      </c>
    </row>
    <row r="182" spans="1:46">
      <c r="A182" s="109">
        <v>17</v>
      </c>
      <c r="B182" s="110" t="s">
        <v>21</v>
      </c>
      <c r="C182" s="110" t="s">
        <v>20</v>
      </c>
      <c r="D182" s="111">
        <v>2014</v>
      </c>
      <c r="E182" s="109">
        <v>26.6</v>
      </c>
      <c r="F182" s="111">
        <f t="shared" si="28"/>
        <v>3.2809112157876537</v>
      </c>
      <c r="G182" s="93">
        <v>0.739699</v>
      </c>
      <c r="H182" s="93">
        <v>360000000</v>
      </c>
      <c r="I182" s="94">
        <v>13776.1</v>
      </c>
      <c r="J182" s="95">
        <v>9.5306899999999999</v>
      </c>
      <c r="K182" s="96">
        <v>0.21</v>
      </c>
      <c r="L182" s="109">
        <v>17.320999</v>
      </c>
      <c r="M182" s="111">
        <f t="shared" si="29"/>
        <v>2.8519195804547541</v>
      </c>
      <c r="N182" s="112">
        <v>0.84140000000000004</v>
      </c>
      <c r="O182" s="113">
        <f t="shared" si="30"/>
        <v>-0.1726881078257165</v>
      </c>
      <c r="P182" s="109">
        <v>544</v>
      </c>
      <c r="Q182" s="111">
        <f t="shared" si="31"/>
        <v>6.2989492468559423</v>
      </c>
      <c r="R182" s="93">
        <v>30.5</v>
      </c>
      <c r="S182" s="114">
        <v>75.7</v>
      </c>
      <c r="T182" s="113">
        <f t="shared" si="32"/>
        <v>4.3267781604434035</v>
      </c>
      <c r="U182" s="112">
        <v>3.7</v>
      </c>
      <c r="V182" s="113">
        <f t="shared" si="33"/>
        <v>1.3083328196501789</v>
      </c>
      <c r="W182" s="115">
        <v>475.7</v>
      </c>
      <c r="X182" s="101">
        <f t="shared" si="34"/>
        <v>6.1647874034382362</v>
      </c>
      <c r="Y182" s="116">
        <v>556</v>
      </c>
      <c r="Z182" s="102">
        <v>34685</v>
      </c>
      <c r="AA182" s="235">
        <v>0</v>
      </c>
      <c r="AB182" s="117">
        <v>0</v>
      </c>
      <c r="AC182" s="115">
        <v>104</v>
      </c>
      <c r="AD182" s="117">
        <f t="shared" si="36"/>
        <v>4.6443908991413725</v>
      </c>
      <c r="AE182" s="109">
        <v>6605.3950000000004</v>
      </c>
      <c r="AF182" s="111">
        <f t="shared" si="37"/>
        <v>8.7956420183476958</v>
      </c>
      <c r="AG182" s="118">
        <v>39.9</v>
      </c>
      <c r="AH182" s="119">
        <v>17.321000000000002</v>
      </c>
      <c r="AI182" s="120">
        <f t="shared" si="38"/>
        <v>2.8519196381881433</v>
      </c>
      <c r="AJ182" s="121">
        <v>544</v>
      </c>
      <c r="AK182" s="120">
        <f t="shared" si="39"/>
        <v>6.2989492468559423</v>
      </c>
      <c r="AL182" s="108">
        <v>30.5</v>
      </c>
      <c r="AM182" s="119">
        <v>6605.4</v>
      </c>
      <c r="AN182" s="120">
        <f t="shared" si="40"/>
        <v>8.7956427753044117</v>
      </c>
      <c r="AO182" s="96">
        <v>138.03100000000001</v>
      </c>
      <c r="AP182" s="94">
        <v>46.805500000000002</v>
      </c>
      <c r="AQ182" s="95">
        <v>3.8460000000000001</v>
      </c>
      <c r="AR182" s="94">
        <v>27.7</v>
      </c>
      <c r="AS182" s="95">
        <f t="shared" si="41"/>
        <v>3.3214324131932926</v>
      </c>
      <c r="AT182" s="96">
        <v>67.108000000000004</v>
      </c>
    </row>
    <row r="183" spans="1:46">
      <c r="A183" s="109">
        <v>17</v>
      </c>
      <c r="B183" s="110" t="s">
        <v>21</v>
      </c>
      <c r="C183" s="110" t="s">
        <v>20</v>
      </c>
      <c r="D183" s="111">
        <v>2015</v>
      </c>
      <c r="E183" s="109">
        <v>27.5</v>
      </c>
      <c r="F183" s="111">
        <f t="shared" si="28"/>
        <v>3.3141860046725258</v>
      </c>
      <c r="G183" s="93">
        <v>2.4962200000000001</v>
      </c>
      <c r="H183" s="93">
        <v>1000000000</v>
      </c>
      <c r="I183" s="94">
        <v>14300.3</v>
      </c>
      <c r="J183" s="95">
        <v>9.5680300000000003</v>
      </c>
      <c r="K183" s="96">
        <v>0.21</v>
      </c>
      <c r="L183" s="109">
        <v>16.568000999999999</v>
      </c>
      <c r="M183" s="111">
        <f t="shared" si="29"/>
        <v>2.8074731844505965</v>
      </c>
      <c r="N183" s="112">
        <v>0.85860000000000003</v>
      </c>
      <c r="O183" s="113">
        <f t="shared" si="30"/>
        <v>-0.15245212319167678</v>
      </c>
      <c r="P183" s="109">
        <v>557</v>
      </c>
      <c r="Q183" s="111">
        <f t="shared" si="31"/>
        <v>6.3225652399272843</v>
      </c>
      <c r="R183" s="93">
        <v>33.200001</v>
      </c>
      <c r="S183" s="114">
        <v>80.7</v>
      </c>
      <c r="T183" s="113">
        <f t="shared" si="32"/>
        <v>4.3907385752759032</v>
      </c>
      <c r="U183" s="112">
        <v>4.0999999999999996</v>
      </c>
      <c r="V183" s="113">
        <f t="shared" si="33"/>
        <v>1.410986973710262</v>
      </c>
      <c r="W183" s="115">
        <v>213.5</v>
      </c>
      <c r="X183" s="101">
        <f t="shared" si="34"/>
        <v>5.3636368326686794</v>
      </c>
      <c r="Y183" s="116">
        <v>591</v>
      </c>
      <c r="Z183" s="102">
        <v>34866</v>
      </c>
      <c r="AA183" s="235">
        <v>0</v>
      </c>
      <c r="AB183" s="117">
        <v>0</v>
      </c>
      <c r="AC183" s="115">
        <v>101</v>
      </c>
      <c r="AD183" s="117">
        <f t="shared" si="36"/>
        <v>4.6151205168412597</v>
      </c>
      <c r="AE183" s="109">
        <v>6935.4277000000002</v>
      </c>
      <c r="AF183" s="111">
        <f t="shared" si="37"/>
        <v>8.8443980035220893</v>
      </c>
      <c r="AG183" s="118">
        <v>40.700000000000003</v>
      </c>
      <c r="AH183" s="119">
        <v>16.568000000000001</v>
      </c>
      <c r="AI183" s="120">
        <f t="shared" si="38"/>
        <v>2.8074731240932831</v>
      </c>
      <c r="AJ183" s="121">
        <v>557</v>
      </c>
      <c r="AK183" s="120">
        <f t="shared" si="39"/>
        <v>6.3225652399272843</v>
      </c>
      <c r="AL183" s="108">
        <v>33.200000000000003</v>
      </c>
      <c r="AM183" s="119">
        <v>6935.43</v>
      </c>
      <c r="AN183" s="120">
        <f t="shared" si="40"/>
        <v>8.8443983351526256</v>
      </c>
      <c r="AO183" s="96">
        <v>128.899</v>
      </c>
      <c r="AP183" s="94">
        <v>46.3673</v>
      </c>
      <c r="AQ183" s="95">
        <v>3.8365900000000002</v>
      </c>
      <c r="AR183" s="94">
        <v>29</v>
      </c>
      <c r="AS183" s="95">
        <f t="shared" si="41"/>
        <v>3.3672958299864741</v>
      </c>
      <c r="AT183" s="96">
        <v>67.23</v>
      </c>
    </row>
    <row r="184" spans="1:46">
      <c r="A184" s="109">
        <v>17</v>
      </c>
      <c r="B184" s="110" t="s">
        <v>21</v>
      </c>
      <c r="C184" s="110" t="s">
        <v>20</v>
      </c>
      <c r="D184" s="111">
        <v>2016</v>
      </c>
      <c r="E184" s="109">
        <v>26.6</v>
      </c>
      <c r="F184" s="111">
        <f t="shared" si="28"/>
        <v>3.2809112157876537</v>
      </c>
      <c r="G184" s="93">
        <v>2.74031</v>
      </c>
      <c r="H184" s="93">
        <v>1200000000</v>
      </c>
      <c r="I184" s="94">
        <v>14870.1</v>
      </c>
      <c r="J184" s="95">
        <v>9.6071100000000005</v>
      </c>
      <c r="K184" s="96">
        <v>0.21</v>
      </c>
      <c r="L184" s="109">
        <v>17.969000000000001</v>
      </c>
      <c r="M184" s="111">
        <f t="shared" si="29"/>
        <v>2.8886480509443166</v>
      </c>
      <c r="N184" s="112">
        <v>0.85009999999999997</v>
      </c>
      <c r="O184" s="113">
        <f t="shared" si="30"/>
        <v>-0.16240128935882392</v>
      </c>
      <c r="P184" s="109">
        <v>554</v>
      </c>
      <c r="Q184" s="111">
        <f t="shared" si="31"/>
        <v>6.3171646867472839</v>
      </c>
      <c r="R184" s="93">
        <v>48</v>
      </c>
      <c r="S184" s="114">
        <v>82.3</v>
      </c>
      <c r="T184" s="113">
        <f t="shared" si="32"/>
        <v>4.4103711076830239</v>
      </c>
      <c r="U184" s="112">
        <v>4.5999999999999996</v>
      </c>
      <c r="V184" s="113">
        <f t="shared" si="33"/>
        <v>1.5260563034950492</v>
      </c>
      <c r="W184" s="115">
        <v>158.1</v>
      </c>
      <c r="X184" s="101">
        <f t="shared" si="34"/>
        <v>5.0632277442154265</v>
      </c>
      <c r="Y184" s="116">
        <v>711</v>
      </c>
      <c r="Z184" s="102">
        <v>35211</v>
      </c>
      <c r="AA184" s="235">
        <v>0</v>
      </c>
      <c r="AB184" s="117">
        <v>0</v>
      </c>
      <c r="AC184" s="115">
        <v>102</v>
      </c>
      <c r="AD184" s="117">
        <f t="shared" si="36"/>
        <v>4.6249728132842707</v>
      </c>
      <c r="AE184" s="109">
        <v>7232.6000999999997</v>
      </c>
      <c r="AF184" s="111">
        <f t="shared" si="37"/>
        <v>8.8863538770586956</v>
      </c>
      <c r="AG184" s="118">
        <v>40.4</v>
      </c>
      <c r="AH184" s="119">
        <v>17.969000000000001</v>
      </c>
      <c r="AI184" s="120">
        <f t="shared" si="38"/>
        <v>2.8886480509443166</v>
      </c>
      <c r="AJ184" s="121">
        <v>554</v>
      </c>
      <c r="AK184" s="120">
        <f t="shared" si="39"/>
        <v>6.3171646867472839</v>
      </c>
      <c r="AL184" s="108">
        <v>48</v>
      </c>
      <c r="AM184" s="119">
        <v>7232.6</v>
      </c>
      <c r="AN184" s="120">
        <f t="shared" si="40"/>
        <v>8.8863538632324097</v>
      </c>
      <c r="AO184" s="96">
        <v>121.911</v>
      </c>
      <c r="AP184" s="94">
        <v>45.787700000000001</v>
      </c>
      <c r="AQ184" s="95">
        <v>3.8240099999999999</v>
      </c>
      <c r="AR184" s="94">
        <v>31.5</v>
      </c>
      <c r="AS184" s="95">
        <f t="shared" si="41"/>
        <v>3.4499875458315872</v>
      </c>
      <c r="AT184" s="96">
        <v>67.366</v>
      </c>
    </row>
    <row r="185" spans="1:46">
      <c r="A185" s="109">
        <v>17</v>
      </c>
      <c r="B185" s="110" t="s">
        <v>21</v>
      </c>
      <c r="C185" s="110" t="s">
        <v>20</v>
      </c>
      <c r="D185" s="111">
        <v>2017</v>
      </c>
      <c r="E185" s="109">
        <v>27.3</v>
      </c>
      <c r="F185" s="111">
        <f t="shared" si="28"/>
        <v>3.3068867021909143</v>
      </c>
      <c r="G185" s="93">
        <v>2.8974600000000001</v>
      </c>
      <c r="H185" s="93">
        <v>1400000000</v>
      </c>
      <c r="I185" s="94">
        <v>15775</v>
      </c>
      <c r="J185" s="95">
        <v>9.6661800000000007</v>
      </c>
      <c r="K185" s="96">
        <v>0.22</v>
      </c>
      <c r="L185" s="109">
        <v>20.277999999999999</v>
      </c>
      <c r="M185" s="111">
        <f t="shared" si="29"/>
        <v>3.009536554530388</v>
      </c>
      <c r="N185" s="112">
        <v>0.79190000000000005</v>
      </c>
      <c r="O185" s="113">
        <f t="shared" si="30"/>
        <v>-0.2333201577657702</v>
      </c>
      <c r="P185" s="109">
        <v>548</v>
      </c>
      <c r="Q185" s="111">
        <f t="shared" si="31"/>
        <v>6.3062752869480159</v>
      </c>
      <c r="R185" s="93">
        <v>48.099997999999999</v>
      </c>
      <c r="S185" s="114">
        <v>82.2</v>
      </c>
      <c r="T185" s="113">
        <f t="shared" si="32"/>
        <v>4.4091553020621346</v>
      </c>
      <c r="U185" s="112">
        <v>4.4000000000000004</v>
      </c>
      <c r="V185" s="113">
        <f t="shared" si="33"/>
        <v>1.4816045409242156</v>
      </c>
      <c r="W185" s="115">
        <v>145.4</v>
      </c>
      <c r="X185" s="101">
        <f t="shared" si="34"/>
        <v>4.9794885650994187</v>
      </c>
      <c r="Y185" s="116">
        <v>822</v>
      </c>
      <c r="Z185" s="102">
        <v>35822</v>
      </c>
      <c r="AA185" s="235">
        <v>0</v>
      </c>
      <c r="AB185" s="117">
        <v>0</v>
      </c>
      <c r="AC185" s="115">
        <v>105</v>
      </c>
      <c r="AD185" s="117">
        <f t="shared" si="36"/>
        <v>4.6539603501575231</v>
      </c>
      <c r="AE185" s="109">
        <v>7385.2573000000002</v>
      </c>
      <c r="AF185" s="111">
        <f t="shared" si="37"/>
        <v>8.9072410352522535</v>
      </c>
      <c r="AG185" s="118">
        <v>39.200000000000003</v>
      </c>
      <c r="AH185" s="119">
        <v>20.277999999999999</v>
      </c>
      <c r="AI185" s="120">
        <f t="shared" si="38"/>
        <v>3.009536554530388</v>
      </c>
      <c r="AJ185" s="121">
        <v>548</v>
      </c>
      <c r="AK185" s="120">
        <f t="shared" si="39"/>
        <v>6.3062752869480159</v>
      </c>
      <c r="AL185" s="108">
        <v>48.1</v>
      </c>
      <c r="AM185" s="119">
        <v>7385.26</v>
      </c>
      <c r="AN185" s="120">
        <f t="shared" si="40"/>
        <v>8.9072414008454075</v>
      </c>
      <c r="AO185" s="96">
        <v>130.15700000000001</v>
      </c>
      <c r="AP185" s="94">
        <v>45.1526</v>
      </c>
      <c r="AQ185" s="95">
        <v>3.8100499999999999</v>
      </c>
      <c r="AR185" s="94">
        <v>33.799999999999997</v>
      </c>
      <c r="AS185" s="95">
        <f t="shared" si="41"/>
        <v>3.520460802488973</v>
      </c>
      <c r="AT185" s="96">
        <v>67.516000000000005</v>
      </c>
    </row>
    <row r="186" spans="1:46">
      <c r="A186" s="109">
        <v>17</v>
      </c>
      <c r="B186" s="110" t="s">
        <v>21</v>
      </c>
      <c r="C186" s="110" t="s">
        <v>20</v>
      </c>
      <c r="D186" s="111">
        <v>2018</v>
      </c>
      <c r="E186" s="109">
        <v>27.2</v>
      </c>
      <c r="F186" s="111">
        <f t="shared" si="28"/>
        <v>3.3032169733019514</v>
      </c>
      <c r="G186" s="93">
        <v>2.3955000000000002</v>
      </c>
      <c r="H186" s="93">
        <v>1300000000</v>
      </c>
      <c r="I186" s="94">
        <v>16709.599999999999</v>
      </c>
      <c r="J186" s="95">
        <v>9.7237399999999994</v>
      </c>
      <c r="K186" s="96">
        <v>0.21</v>
      </c>
      <c r="L186" s="109">
        <v>20.193999999999999</v>
      </c>
      <c r="M186" s="111">
        <f t="shared" si="29"/>
        <v>3.0053855305821293</v>
      </c>
      <c r="N186" s="112">
        <v>0.83740000000000003</v>
      </c>
      <c r="O186" s="113">
        <f t="shared" si="30"/>
        <v>-0.17745342539709405</v>
      </c>
      <c r="P186" s="109">
        <v>539</v>
      </c>
      <c r="Q186" s="111">
        <f t="shared" si="31"/>
        <v>6.2897155709089976</v>
      </c>
      <c r="R186" s="93">
        <v>52.599997999999999</v>
      </c>
      <c r="S186" s="114">
        <v>81.8</v>
      </c>
      <c r="T186" s="113">
        <f t="shared" si="32"/>
        <v>4.4042772436087017</v>
      </c>
      <c r="U186" s="112">
        <v>4.3</v>
      </c>
      <c r="V186" s="113">
        <f t="shared" si="33"/>
        <v>1.4586150226995167</v>
      </c>
      <c r="W186" s="115">
        <v>135</v>
      </c>
      <c r="X186" s="101">
        <f t="shared" si="34"/>
        <v>4.9052747784384296</v>
      </c>
      <c r="Y186" s="116">
        <v>856</v>
      </c>
      <c r="Z186" s="102">
        <v>35808</v>
      </c>
      <c r="AA186" s="235">
        <v>0</v>
      </c>
      <c r="AB186" s="117">
        <v>0</v>
      </c>
      <c r="AC186" s="115">
        <v>108</v>
      </c>
      <c r="AD186" s="117">
        <f t="shared" si="36"/>
        <v>4.6821312271242199</v>
      </c>
      <c r="AE186" s="109">
        <v>8017.2529000000004</v>
      </c>
      <c r="AF186" s="111">
        <f t="shared" si="37"/>
        <v>8.9893511110112883</v>
      </c>
      <c r="AG186" s="118">
        <v>41.4</v>
      </c>
      <c r="AH186" s="119">
        <v>20.193999999999999</v>
      </c>
      <c r="AI186" s="120">
        <f t="shared" si="38"/>
        <v>3.0053855305821293</v>
      </c>
      <c r="AJ186" s="121">
        <v>539</v>
      </c>
      <c r="AK186" s="120">
        <f t="shared" si="39"/>
        <v>6.2897155709089976</v>
      </c>
      <c r="AL186" s="108">
        <v>52.6</v>
      </c>
      <c r="AM186" s="119">
        <v>8017.25</v>
      </c>
      <c r="AN186" s="120">
        <f t="shared" si="40"/>
        <v>8.9893507492913134</v>
      </c>
      <c r="AO186" s="96">
        <v>128.708</v>
      </c>
      <c r="AP186" s="94">
        <v>44.7316</v>
      </c>
      <c r="AQ186" s="95">
        <v>3.8006799999999998</v>
      </c>
      <c r="AR186" s="94">
        <v>33.700000000000003</v>
      </c>
      <c r="AS186" s="95">
        <f t="shared" si="41"/>
        <v>3.5174978373583161</v>
      </c>
      <c r="AT186" s="96">
        <v>67.679000000000002</v>
      </c>
    </row>
    <row r="187" spans="1:46">
      <c r="A187" s="109">
        <v>17</v>
      </c>
      <c r="B187" s="110" t="s">
        <v>21</v>
      </c>
      <c r="C187" s="110" t="s">
        <v>20</v>
      </c>
      <c r="D187" s="111">
        <v>2019</v>
      </c>
      <c r="E187" s="109">
        <v>27.9</v>
      </c>
      <c r="F187" s="111">
        <f t="shared" si="28"/>
        <v>3.3286266888273199</v>
      </c>
      <c r="G187" s="93">
        <v>6.2303499999999996</v>
      </c>
      <c r="H187" s="93">
        <v>3400000000</v>
      </c>
      <c r="I187" s="94">
        <v>17537.5</v>
      </c>
      <c r="J187" s="95">
        <v>9.7721</v>
      </c>
      <c r="K187" s="96">
        <v>0.2</v>
      </c>
      <c r="L187" s="109">
        <v>20.562000000000001</v>
      </c>
      <c r="M187" s="111">
        <f t="shared" si="29"/>
        <v>3.023444712120527</v>
      </c>
      <c r="N187" s="112">
        <v>0.82050000000000001</v>
      </c>
      <c r="O187" s="113">
        <f t="shared" si="30"/>
        <v>-0.19784136845199146</v>
      </c>
      <c r="P187" s="109">
        <v>542</v>
      </c>
      <c r="Q187" s="111">
        <f t="shared" si="31"/>
        <v>6.2952660014396464</v>
      </c>
      <c r="R187" s="93">
        <v>49.700001</v>
      </c>
      <c r="S187" s="114">
        <v>82.7</v>
      </c>
      <c r="T187" s="113">
        <f t="shared" si="32"/>
        <v>4.4152196020296453</v>
      </c>
      <c r="U187" s="112">
        <v>3.9</v>
      </c>
      <c r="V187" s="113">
        <f t="shared" si="33"/>
        <v>1.3609765531356006</v>
      </c>
      <c r="W187" s="115">
        <v>353.4</v>
      </c>
      <c r="X187" s="101">
        <f t="shared" si="34"/>
        <v>5.867600559885596</v>
      </c>
      <c r="Y187" s="116">
        <v>979</v>
      </c>
      <c r="Z187" s="102">
        <v>37606</v>
      </c>
      <c r="AA187" s="235">
        <v>0.54</v>
      </c>
      <c r="AB187" s="117">
        <f t="shared" si="35"/>
        <v>-0.61618613942381695</v>
      </c>
      <c r="AC187" s="115">
        <v>110</v>
      </c>
      <c r="AD187" s="117">
        <f t="shared" si="36"/>
        <v>4.7004803657924166</v>
      </c>
      <c r="AE187" s="109">
        <v>8649.2484999999997</v>
      </c>
      <c r="AF187" s="111">
        <f t="shared" si="37"/>
        <v>9.0652277175390434</v>
      </c>
      <c r="AG187" s="118">
        <v>40.5</v>
      </c>
      <c r="AH187" s="119">
        <v>20.562000000000001</v>
      </c>
      <c r="AI187" s="120">
        <f t="shared" si="38"/>
        <v>3.023444712120527</v>
      </c>
      <c r="AJ187" s="121">
        <v>542</v>
      </c>
      <c r="AK187" s="120">
        <f t="shared" si="39"/>
        <v>6.2952660014396464</v>
      </c>
      <c r="AL187" s="108">
        <v>49.7</v>
      </c>
      <c r="AM187" s="119">
        <v>0</v>
      </c>
      <c r="AN187" s="120">
        <v>0</v>
      </c>
      <c r="AO187" s="96">
        <v>125.01300000000001</v>
      </c>
      <c r="AP187" s="94">
        <v>44.6205</v>
      </c>
      <c r="AQ187" s="95">
        <v>3.79819</v>
      </c>
      <c r="AR187" s="94">
        <v>33.5</v>
      </c>
      <c r="AS187" s="95">
        <f t="shared" si="41"/>
        <v>3.5115454388310208</v>
      </c>
      <c r="AT187" s="96">
        <v>67.855000000000004</v>
      </c>
    </row>
    <row r="188" spans="1:46">
      <c r="A188" s="109">
        <v>17</v>
      </c>
      <c r="B188" s="110" t="s">
        <v>21</v>
      </c>
      <c r="C188" s="110" t="s">
        <v>20</v>
      </c>
      <c r="D188" s="111">
        <v>2020</v>
      </c>
      <c r="E188" s="109">
        <v>28.5</v>
      </c>
      <c r="F188" s="111">
        <f t="shared" si="28"/>
        <v>3.3499040872746049</v>
      </c>
      <c r="G188" s="93">
        <v>7.9434500000000003</v>
      </c>
      <c r="H188" s="93">
        <v>4600000000</v>
      </c>
      <c r="I188" s="94">
        <v>17540.3</v>
      </c>
      <c r="J188" s="95">
        <v>9.7722599999999993</v>
      </c>
      <c r="K188" s="96">
        <v>0.21</v>
      </c>
      <c r="L188" s="109">
        <v>21.863001000000001</v>
      </c>
      <c r="M188" s="111">
        <f t="shared" si="29"/>
        <v>3.0847957560341266</v>
      </c>
      <c r="N188" s="112">
        <v>0.77559999999999996</v>
      </c>
      <c r="O188" s="113">
        <f t="shared" si="30"/>
        <v>-0.25411835561364038</v>
      </c>
      <c r="P188" s="109">
        <v>523</v>
      </c>
      <c r="Q188" s="111">
        <f t="shared" si="31"/>
        <v>6.2595814640649232</v>
      </c>
      <c r="R188" s="93">
        <v>45.299999</v>
      </c>
      <c r="S188" s="114">
        <v>82</v>
      </c>
      <c r="T188" s="113">
        <f t="shared" si="32"/>
        <v>4.4067192472642533</v>
      </c>
      <c r="U188" s="112">
        <v>4</v>
      </c>
      <c r="V188" s="113">
        <f t="shared" si="33"/>
        <v>1.3862943611198906</v>
      </c>
      <c r="W188" s="115">
        <v>406.2</v>
      </c>
      <c r="X188" s="101">
        <f t="shared" si="34"/>
        <v>6.0068456491462845</v>
      </c>
      <c r="Y188" s="116">
        <v>952</v>
      </c>
      <c r="Z188" s="102">
        <v>38335</v>
      </c>
      <c r="AA188" s="235">
        <v>0</v>
      </c>
      <c r="AB188" s="117">
        <v>0</v>
      </c>
      <c r="AC188" s="115">
        <v>112</v>
      </c>
      <c r="AD188" s="117">
        <f t="shared" si="36"/>
        <v>4.7184988712950942</v>
      </c>
      <c r="AE188" s="109">
        <v>9281.2440999999999</v>
      </c>
      <c r="AF188" s="111">
        <f t="shared" si="37"/>
        <v>9.1357508792946724</v>
      </c>
      <c r="AG188" s="118">
        <v>36.700000000000003</v>
      </c>
      <c r="AH188" s="119">
        <v>21.863</v>
      </c>
      <c r="AI188" s="120">
        <f t="shared" si="38"/>
        <v>3.0847957102947507</v>
      </c>
      <c r="AJ188" s="121">
        <v>523</v>
      </c>
      <c r="AK188" s="120">
        <f t="shared" si="39"/>
        <v>6.2595814640649232</v>
      </c>
      <c r="AL188" s="108">
        <v>45.3</v>
      </c>
      <c r="AM188" s="119">
        <v>0</v>
      </c>
      <c r="AN188" s="120">
        <v>0</v>
      </c>
      <c r="AO188" s="96">
        <v>115.19199999999999</v>
      </c>
      <c r="AP188" s="94">
        <v>44.6325</v>
      </c>
      <c r="AQ188" s="95">
        <v>3.7984599999999999</v>
      </c>
      <c r="AR188" s="94">
        <v>31.7</v>
      </c>
      <c r="AS188" s="95">
        <f t="shared" si="41"/>
        <v>3.4563166808832348</v>
      </c>
      <c r="AT188" s="96">
        <v>68.046000000000006</v>
      </c>
    </row>
    <row r="189" spans="1:46">
      <c r="A189" s="109">
        <v>18</v>
      </c>
      <c r="B189" s="110" t="s">
        <v>19</v>
      </c>
      <c r="C189" s="110" t="s">
        <v>18</v>
      </c>
      <c r="D189" s="111">
        <v>2010</v>
      </c>
      <c r="E189" s="109">
        <v>28.5</v>
      </c>
      <c r="F189" s="111">
        <f t="shared" si="28"/>
        <v>3.3499040872746049</v>
      </c>
      <c r="G189" s="93">
        <v>41.364600000000003</v>
      </c>
      <c r="H189" s="93">
        <v>23000000000</v>
      </c>
      <c r="I189" s="94">
        <v>106544</v>
      </c>
      <c r="J189" s="95">
        <v>11.5763</v>
      </c>
      <c r="K189" s="96">
        <v>0.74</v>
      </c>
      <c r="L189" s="109">
        <v>32.488998000000002</v>
      </c>
      <c r="M189" s="111">
        <f t="shared" si="29"/>
        <v>3.4809015089468973</v>
      </c>
      <c r="N189" s="112">
        <v>4.2713000000000001</v>
      </c>
      <c r="O189" s="113">
        <f t="shared" si="30"/>
        <v>1.4519182305538552</v>
      </c>
      <c r="P189" s="109">
        <v>486</v>
      </c>
      <c r="Q189" s="111">
        <f t="shared" si="31"/>
        <v>6.1862086239004936</v>
      </c>
      <c r="R189" s="93">
        <v>46.5</v>
      </c>
      <c r="S189" s="114">
        <v>85.7</v>
      </c>
      <c r="T189" s="113">
        <f t="shared" si="32"/>
        <v>4.4508528256037341</v>
      </c>
      <c r="U189" s="112">
        <v>23.4</v>
      </c>
      <c r="V189" s="113">
        <f t="shared" si="33"/>
        <v>3.1527360223636558</v>
      </c>
      <c r="W189" s="115">
        <v>2510.4</v>
      </c>
      <c r="X189" s="101">
        <f t="shared" si="34"/>
        <v>7.828197381978768</v>
      </c>
      <c r="Y189" s="116">
        <v>522</v>
      </c>
      <c r="Z189" s="102">
        <v>1643</v>
      </c>
      <c r="AA189" s="235">
        <v>3.55</v>
      </c>
      <c r="AB189" s="117">
        <f t="shared" si="35"/>
        <v>1.2669476034873244</v>
      </c>
      <c r="AC189" s="115">
        <v>100</v>
      </c>
      <c r="AD189" s="117">
        <f t="shared" si="36"/>
        <v>4.6051701859880918</v>
      </c>
      <c r="AE189" s="109">
        <v>14304.16</v>
      </c>
      <c r="AF189" s="111">
        <f t="shared" si="37"/>
        <v>9.5683056830330635</v>
      </c>
      <c r="AG189" s="118">
        <v>90.2</v>
      </c>
      <c r="AH189" s="119">
        <v>32.488999999999997</v>
      </c>
      <c r="AI189" s="120">
        <f t="shared" si="38"/>
        <v>3.4809015705061963</v>
      </c>
      <c r="AJ189" s="121">
        <v>486</v>
      </c>
      <c r="AK189" s="120">
        <f t="shared" si="39"/>
        <v>6.1862086239004936</v>
      </c>
      <c r="AL189" s="108">
        <v>46.5</v>
      </c>
      <c r="AM189" s="119">
        <v>14304.2</v>
      </c>
      <c r="AN189" s="120">
        <f t="shared" si="40"/>
        <v>9.5683084794184552</v>
      </c>
      <c r="AO189" s="96">
        <v>79.766599999999997</v>
      </c>
      <c r="AP189" s="94">
        <v>196.916</v>
      </c>
      <c r="AQ189" s="95">
        <v>5.2827799999999998</v>
      </c>
      <c r="AR189" s="94">
        <v>3.7</v>
      </c>
      <c r="AS189" s="95">
        <f t="shared" si="41"/>
        <v>1.3083328196501789</v>
      </c>
      <c r="AT189" s="96">
        <v>88.546999999999997</v>
      </c>
    </row>
    <row r="190" spans="1:46">
      <c r="A190" s="109">
        <v>18</v>
      </c>
      <c r="B190" s="110" t="s">
        <v>19</v>
      </c>
      <c r="C190" s="110" t="s">
        <v>18</v>
      </c>
      <c r="D190" s="111">
        <v>2011</v>
      </c>
      <c r="E190" s="109">
        <v>30</v>
      </c>
      <c r="F190" s="111">
        <f t="shared" si="28"/>
        <v>3.4011973816621555</v>
      </c>
      <c r="G190" s="93">
        <v>17.368600000000001</v>
      </c>
      <c r="H190" s="93">
        <v>11000000000</v>
      </c>
      <c r="I190" s="94">
        <v>105290</v>
      </c>
      <c r="J190" s="95">
        <v>11.564500000000001</v>
      </c>
      <c r="K190" s="96">
        <v>0.72</v>
      </c>
      <c r="L190" s="109">
        <v>32.759998000000003</v>
      </c>
      <c r="M190" s="111">
        <f t="shared" si="29"/>
        <v>3.489208197934806</v>
      </c>
      <c r="N190" s="112">
        <v>4.2560000000000002</v>
      </c>
      <c r="O190" s="113">
        <f t="shared" si="30"/>
        <v>1.4483297520393432</v>
      </c>
      <c r="P190" s="109">
        <v>365</v>
      </c>
      <c r="Q190" s="111">
        <f t="shared" si="31"/>
        <v>5.8998973535824915</v>
      </c>
      <c r="R190" s="93">
        <v>46.400002000000001</v>
      </c>
      <c r="S190" s="114">
        <v>86</v>
      </c>
      <c r="T190" s="113">
        <f t="shared" si="32"/>
        <v>4.4543472962535073</v>
      </c>
      <c r="U190" s="112">
        <v>19.8</v>
      </c>
      <c r="V190" s="113">
        <f t="shared" si="33"/>
        <v>2.9856819377004897</v>
      </c>
      <c r="W190" s="115">
        <v>2139.3000000000002</v>
      </c>
      <c r="X190" s="101">
        <f t="shared" si="34"/>
        <v>7.6682339517023674</v>
      </c>
      <c r="Y190" s="116">
        <v>528</v>
      </c>
      <c r="Z190" s="102">
        <v>1700</v>
      </c>
      <c r="AA190" s="235">
        <v>3.22</v>
      </c>
      <c r="AB190" s="117">
        <f t="shared" si="35"/>
        <v>1.1693813595563169</v>
      </c>
      <c r="AC190" s="115">
        <v>103</v>
      </c>
      <c r="AD190" s="117">
        <f t="shared" si="36"/>
        <v>4.6347289882296359</v>
      </c>
      <c r="AE190" s="109">
        <v>13678.361000000001</v>
      </c>
      <c r="AF190" s="111">
        <f t="shared" si="37"/>
        <v>9.5235703740572362</v>
      </c>
      <c r="AG190" s="118">
        <v>91.9</v>
      </c>
      <c r="AH190" s="119">
        <v>32.76</v>
      </c>
      <c r="AI190" s="120">
        <f t="shared" si="38"/>
        <v>3.4892082589848687</v>
      </c>
      <c r="AJ190" s="121">
        <v>365</v>
      </c>
      <c r="AK190" s="120">
        <f t="shared" si="39"/>
        <v>5.8998973535824915</v>
      </c>
      <c r="AL190" s="108">
        <v>46.4</v>
      </c>
      <c r="AM190" s="119">
        <v>13678.4</v>
      </c>
      <c r="AN190" s="120">
        <f t="shared" si="40"/>
        <v>9.5235732252719689</v>
      </c>
      <c r="AO190" s="96">
        <v>80.598100000000002</v>
      </c>
      <c r="AP190" s="94">
        <v>201.34200000000001</v>
      </c>
      <c r="AQ190" s="95">
        <v>5.3050100000000002</v>
      </c>
      <c r="AR190" s="94">
        <v>3.8</v>
      </c>
      <c r="AS190" s="95">
        <f t="shared" si="41"/>
        <v>1.33500106673234</v>
      </c>
      <c r="AT190" s="96">
        <v>88.906000000000006</v>
      </c>
    </row>
    <row r="191" spans="1:46">
      <c r="A191" s="109">
        <v>18</v>
      </c>
      <c r="B191" s="110" t="s">
        <v>19</v>
      </c>
      <c r="C191" s="110" t="s">
        <v>18</v>
      </c>
      <c r="D191" s="111">
        <v>2012</v>
      </c>
      <c r="E191" s="109">
        <v>31.5</v>
      </c>
      <c r="F191" s="111">
        <f t="shared" si="28"/>
        <v>3.4499875458315872</v>
      </c>
      <c r="G191" s="93">
        <v>-22.412299999999998</v>
      </c>
      <c r="H191" s="93">
        <v>-13000000000</v>
      </c>
      <c r="I191" s="94">
        <v>104488</v>
      </c>
      <c r="J191" s="95">
        <v>11.556800000000001</v>
      </c>
      <c r="K191" s="96">
        <v>0.72</v>
      </c>
      <c r="L191" s="109">
        <v>29.759001000000001</v>
      </c>
      <c r="M191" s="111">
        <f t="shared" si="29"/>
        <v>3.3931316408530678</v>
      </c>
      <c r="N191" s="112">
        <v>4.3634000000000004</v>
      </c>
      <c r="O191" s="113">
        <f t="shared" si="30"/>
        <v>1.4732515699757869</v>
      </c>
      <c r="P191" s="109">
        <v>378</v>
      </c>
      <c r="Q191" s="111">
        <f t="shared" si="31"/>
        <v>5.934894195619588</v>
      </c>
      <c r="R191" s="93">
        <v>47.400002000000001</v>
      </c>
      <c r="S191" s="114">
        <v>86.8</v>
      </c>
      <c r="T191" s="113">
        <f t="shared" si="32"/>
        <v>4.4636066216663046</v>
      </c>
      <c r="U191" s="112">
        <v>17.7</v>
      </c>
      <c r="V191" s="113">
        <f t="shared" si="33"/>
        <v>2.8735646395797834</v>
      </c>
      <c r="W191" s="115">
        <v>2640.2</v>
      </c>
      <c r="X191" s="101">
        <f t="shared" si="34"/>
        <v>7.8786099508466592</v>
      </c>
      <c r="Y191" s="116">
        <v>432</v>
      </c>
      <c r="Z191" s="102">
        <v>1722</v>
      </c>
      <c r="AA191" s="235">
        <v>5.29</v>
      </c>
      <c r="AB191" s="117">
        <f t="shared" si="35"/>
        <v>1.665818245870208</v>
      </c>
      <c r="AC191" s="115">
        <v>108</v>
      </c>
      <c r="AD191" s="117">
        <f t="shared" si="36"/>
        <v>4.6821312271242199</v>
      </c>
      <c r="AE191" s="109">
        <v>13784.6</v>
      </c>
      <c r="AF191" s="111">
        <f t="shared" si="37"/>
        <v>9.5313073059893796</v>
      </c>
      <c r="AG191" s="118">
        <v>87.6</v>
      </c>
      <c r="AH191" s="119">
        <v>29.759</v>
      </c>
      <c r="AI191" s="120">
        <f t="shared" si="38"/>
        <v>3.3931316072497886</v>
      </c>
      <c r="AJ191" s="121">
        <v>378</v>
      </c>
      <c r="AK191" s="120">
        <f t="shared" si="39"/>
        <v>5.934894195619588</v>
      </c>
      <c r="AL191" s="108">
        <v>47.4</v>
      </c>
      <c r="AM191" s="119">
        <v>13784.6</v>
      </c>
      <c r="AN191" s="120">
        <f t="shared" si="40"/>
        <v>9.5313073059893796</v>
      </c>
      <c r="AO191" s="96">
        <v>77.582499999999996</v>
      </c>
      <c r="AP191" s="94">
        <v>206.23599999999999</v>
      </c>
      <c r="AQ191" s="95">
        <v>5.3290199999999999</v>
      </c>
      <c r="AR191" s="94">
        <v>4.2</v>
      </c>
      <c r="AS191" s="95">
        <f t="shared" si="41"/>
        <v>1.4350845252893227</v>
      </c>
      <c r="AT191" s="96">
        <v>89.248999999999995</v>
      </c>
    </row>
    <row r="192" spans="1:46">
      <c r="A192" s="109">
        <v>18</v>
      </c>
      <c r="B192" s="110" t="s">
        <v>19</v>
      </c>
      <c r="C192" s="110" t="s">
        <v>18</v>
      </c>
      <c r="D192" s="111">
        <v>2013</v>
      </c>
      <c r="E192" s="109">
        <v>31.5</v>
      </c>
      <c r="F192" s="111">
        <f t="shared" si="28"/>
        <v>3.4499875458315872</v>
      </c>
      <c r="G192" s="93">
        <v>71.500399999999999</v>
      </c>
      <c r="H192" s="93">
        <v>47000000000</v>
      </c>
      <c r="I192" s="94">
        <v>105339</v>
      </c>
      <c r="J192" s="95">
        <v>11.5649</v>
      </c>
      <c r="K192" s="96">
        <v>0.72</v>
      </c>
      <c r="L192" s="109">
        <v>30.676000999999999</v>
      </c>
      <c r="M192" s="111">
        <f t="shared" si="29"/>
        <v>3.4234806225013865</v>
      </c>
      <c r="N192" s="112">
        <v>4.4683999999999999</v>
      </c>
      <c r="O192" s="113">
        <f t="shared" si="30"/>
        <v>1.4970304027145562</v>
      </c>
      <c r="P192" s="109">
        <v>405</v>
      </c>
      <c r="Q192" s="111">
        <f t="shared" si="31"/>
        <v>6.0038870671065387</v>
      </c>
      <c r="R192" s="93">
        <v>46.299999</v>
      </c>
      <c r="S192" s="114">
        <v>87.6</v>
      </c>
      <c r="T192" s="113">
        <f t="shared" si="32"/>
        <v>4.4727809979423458</v>
      </c>
      <c r="U192" s="112">
        <v>15.2</v>
      </c>
      <c r="V192" s="113">
        <f t="shared" si="33"/>
        <v>2.7212954278522306</v>
      </c>
      <c r="W192" s="115">
        <v>1588.1</v>
      </c>
      <c r="X192" s="101">
        <f t="shared" si="34"/>
        <v>7.3702936121166012</v>
      </c>
      <c r="Y192" s="116">
        <v>466</v>
      </c>
      <c r="Z192" s="102">
        <v>1799</v>
      </c>
      <c r="AA192" s="235">
        <v>6.5</v>
      </c>
      <c r="AB192" s="117">
        <f t="shared" si="35"/>
        <v>1.8718021769015913</v>
      </c>
      <c r="AC192" s="115">
        <v>108</v>
      </c>
      <c r="AD192" s="117">
        <f t="shared" si="36"/>
        <v>4.6821312271242199</v>
      </c>
      <c r="AE192" s="109">
        <v>14971.602999999999</v>
      </c>
      <c r="AF192" s="111">
        <f t="shared" si="37"/>
        <v>9.613910552509255</v>
      </c>
      <c r="AG192" s="118">
        <v>87.2</v>
      </c>
      <c r="AH192" s="119">
        <v>30.675999999999998</v>
      </c>
      <c r="AI192" s="120">
        <f t="shared" si="38"/>
        <v>3.4234805899026126</v>
      </c>
      <c r="AJ192" s="121">
        <v>405</v>
      </c>
      <c r="AK192" s="120">
        <f t="shared" si="39"/>
        <v>6.0038870671065387</v>
      </c>
      <c r="AL192" s="108">
        <v>46.3</v>
      </c>
      <c r="AM192" s="119">
        <v>14971.6</v>
      </c>
      <c r="AN192" s="120">
        <f t="shared" si="40"/>
        <v>9.6139103521298903</v>
      </c>
      <c r="AO192" s="96">
        <v>69.218900000000005</v>
      </c>
      <c r="AP192" s="94">
        <v>211.05799999999999</v>
      </c>
      <c r="AQ192" s="95">
        <v>5.3521299999999998</v>
      </c>
      <c r="AR192" s="94">
        <v>5.7</v>
      </c>
      <c r="AS192" s="95">
        <f t="shared" si="41"/>
        <v>1.7404661748405046</v>
      </c>
      <c r="AT192" s="96">
        <v>89.573999999999998</v>
      </c>
    </row>
    <row r="193" spans="1:46">
      <c r="A193" s="109">
        <v>18</v>
      </c>
      <c r="B193" s="110" t="s">
        <v>19</v>
      </c>
      <c r="C193" s="110" t="s">
        <v>18</v>
      </c>
      <c r="D193" s="111">
        <v>2014</v>
      </c>
      <c r="E193" s="109">
        <v>30.2</v>
      </c>
      <c r="F193" s="111">
        <f t="shared" si="28"/>
        <v>3.4078419243808238</v>
      </c>
      <c r="G193" s="93">
        <v>63.106900000000003</v>
      </c>
      <c r="H193" s="93">
        <v>43000000000</v>
      </c>
      <c r="I193" s="94">
        <v>105584</v>
      </c>
      <c r="J193" s="95">
        <v>11.567299999999999</v>
      </c>
      <c r="K193" s="96">
        <v>0.73</v>
      </c>
      <c r="L193" s="109">
        <v>29.841999000000001</v>
      </c>
      <c r="M193" s="111">
        <f t="shared" si="29"/>
        <v>3.3959167637084109</v>
      </c>
      <c r="N193" s="112">
        <v>4.3621999999999996</v>
      </c>
      <c r="O193" s="113">
        <f t="shared" si="30"/>
        <v>1.4729765172556151</v>
      </c>
      <c r="P193" s="109">
        <v>389</v>
      </c>
      <c r="Q193" s="111">
        <f t="shared" si="31"/>
        <v>5.9635793436184459</v>
      </c>
      <c r="R193" s="93">
        <v>47.700001</v>
      </c>
      <c r="S193" s="114">
        <v>88</v>
      </c>
      <c r="T193" s="113">
        <f t="shared" si="32"/>
        <v>4.4773368144782069</v>
      </c>
      <c r="U193" s="112">
        <v>11.1</v>
      </c>
      <c r="V193" s="113">
        <f t="shared" si="33"/>
        <v>2.4069451083182885</v>
      </c>
      <c r="W193" s="115">
        <v>2134</v>
      </c>
      <c r="X193" s="101">
        <f t="shared" si="34"/>
        <v>7.6657534318616989</v>
      </c>
      <c r="Y193" s="116">
        <v>479</v>
      </c>
      <c r="Z193" s="102">
        <v>1800</v>
      </c>
      <c r="AA193" s="235">
        <v>11.9</v>
      </c>
      <c r="AB193" s="117">
        <f t="shared" si="35"/>
        <v>2.4765384001174837</v>
      </c>
      <c r="AC193" s="115">
        <v>112</v>
      </c>
      <c r="AD193" s="117">
        <f t="shared" si="36"/>
        <v>4.7184988712950942</v>
      </c>
      <c r="AE193" s="109">
        <v>14414.018</v>
      </c>
      <c r="AF193" s="111">
        <f t="shared" si="37"/>
        <v>9.5759564842695095</v>
      </c>
      <c r="AG193" s="118">
        <v>89.3</v>
      </c>
      <c r="AH193" s="119">
        <v>29.841999999999999</v>
      </c>
      <c r="AI193" s="120">
        <f t="shared" si="38"/>
        <v>3.3959167972182298</v>
      </c>
      <c r="AJ193" s="121">
        <v>389</v>
      </c>
      <c r="AK193" s="120">
        <f t="shared" si="39"/>
        <v>5.9635793436184459</v>
      </c>
      <c r="AL193" s="108">
        <v>47.7</v>
      </c>
      <c r="AM193" s="119">
        <v>14414</v>
      </c>
      <c r="AN193" s="120">
        <f t="shared" si="40"/>
        <v>9.5759552354843862</v>
      </c>
      <c r="AO193" s="96">
        <v>66.499700000000004</v>
      </c>
      <c r="AP193" s="94">
        <v>216.09200000000001</v>
      </c>
      <c r="AQ193" s="95">
        <v>5.3757000000000001</v>
      </c>
      <c r="AR193" s="94">
        <v>6.8</v>
      </c>
      <c r="AS193" s="95">
        <f t="shared" si="41"/>
        <v>1.9169226121820611</v>
      </c>
      <c r="AT193" s="96">
        <v>89.884</v>
      </c>
    </row>
    <row r="194" spans="1:46">
      <c r="A194" s="109">
        <v>18</v>
      </c>
      <c r="B194" s="110" t="s">
        <v>19</v>
      </c>
      <c r="C194" s="110" t="s">
        <v>18</v>
      </c>
      <c r="D194" s="111">
        <v>2015</v>
      </c>
      <c r="E194" s="109">
        <v>31.3</v>
      </c>
      <c r="F194" s="111">
        <f t="shared" ref="F194:F257" si="42">LN(E194)</f>
        <v>3.4436180975461075</v>
      </c>
      <c r="G194" s="93">
        <v>53.1357</v>
      </c>
      <c r="H194" s="93">
        <v>32000000000</v>
      </c>
      <c r="I194" s="94">
        <v>105462</v>
      </c>
      <c r="J194" s="95">
        <v>11.5661</v>
      </c>
      <c r="K194" s="96">
        <v>0.72</v>
      </c>
      <c r="L194" s="109">
        <v>33.637999999999998</v>
      </c>
      <c r="M194" s="111">
        <f t="shared" ref="M194:M257" si="43">LN(L194)</f>
        <v>3.515656380305241</v>
      </c>
      <c r="N194" s="112">
        <v>3.8923000000000001</v>
      </c>
      <c r="O194" s="113">
        <f t="shared" ref="O194:O257" si="44">LN(N194)</f>
        <v>1.3590002425453453</v>
      </c>
      <c r="P194" s="109">
        <v>373</v>
      </c>
      <c r="Q194" s="111">
        <f t="shared" ref="Q194:Q257" si="45">LN(P194)</f>
        <v>5.9215784196438159</v>
      </c>
      <c r="R194" s="93">
        <v>47.400002000000001</v>
      </c>
      <c r="S194" s="114">
        <v>86.9</v>
      </c>
      <c r="T194" s="113">
        <f t="shared" ref="T194:T257" si="46">LN(S194)</f>
        <v>4.4647580322713463</v>
      </c>
      <c r="U194" s="112">
        <v>9.6</v>
      </c>
      <c r="V194" s="113">
        <f t="shared" ref="V194:V257" si="47">LN(U194)</f>
        <v>2.2617630984737906</v>
      </c>
      <c r="W194" s="115">
        <v>1899.5</v>
      </c>
      <c r="X194" s="101">
        <f t="shared" ref="X194:X257" si="48">LN(W194)</f>
        <v>7.5493459726276804</v>
      </c>
      <c r="Y194" s="116">
        <v>542</v>
      </c>
      <c r="Z194" s="102">
        <v>1839</v>
      </c>
      <c r="AA194" s="235">
        <v>6.21</v>
      </c>
      <c r="AB194" s="117">
        <f t="shared" ref="AB194:AB257" si="49">LN(AA194)</f>
        <v>1.8261608959453874</v>
      </c>
      <c r="AC194" s="115">
        <v>118</v>
      </c>
      <c r="AD194" s="117">
        <f t="shared" ref="AD194:AD257" si="50">LN(AC194)</f>
        <v>4.7706846244656651</v>
      </c>
      <c r="AE194" s="109">
        <v>14043.027</v>
      </c>
      <c r="AF194" s="111">
        <f t="shared" ref="AF194:AF257" si="51">LN(AE194)</f>
        <v>9.5498812526324297</v>
      </c>
      <c r="AG194" s="118">
        <v>91.2</v>
      </c>
      <c r="AH194" s="119">
        <v>33.637999999999998</v>
      </c>
      <c r="AI194" s="120">
        <f t="shared" ref="AI194:AI257" si="52">LN(AH194)</f>
        <v>3.515656380305241</v>
      </c>
      <c r="AJ194" s="121">
        <v>373</v>
      </c>
      <c r="AK194" s="120">
        <f t="shared" ref="AK194:AK257" si="53">LN(AJ194)</f>
        <v>5.9215784196438159</v>
      </c>
      <c r="AL194" s="108">
        <v>47.4</v>
      </c>
      <c r="AM194" s="119">
        <v>14043</v>
      </c>
      <c r="AN194" s="120">
        <f t="shared" ref="AN194:AN257" si="54">LN(AM194)</f>
        <v>9.5498793299681797</v>
      </c>
      <c r="AO194" s="96">
        <v>67.299700000000001</v>
      </c>
      <c r="AP194" s="94">
        <v>221.25200000000001</v>
      </c>
      <c r="AQ194" s="95">
        <v>5.3993000000000002</v>
      </c>
      <c r="AR194" s="94">
        <v>9.1</v>
      </c>
      <c r="AS194" s="95">
        <f t="shared" ref="AS194:AS257" si="55">LN(AR194)</f>
        <v>2.2082744135228043</v>
      </c>
      <c r="AT194" s="96">
        <v>90.179000000000002</v>
      </c>
    </row>
    <row r="195" spans="1:46">
      <c r="A195" s="109">
        <v>18</v>
      </c>
      <c r="B195" s="110" t="s">
        <v>19</v>
      </c>
      <c r="C195" s="110" t="s">
        <v>18</v>
      </c>
      <c r="D195" s="111">
        <v>2016</v>
      </c>
      <c r="E195" s="109">
        <v>30.6</v>
      </c>
      <c r="F195" s="111">
        <f t="shared" si="42"/>
        <v>3.4210000089583352</v>
      </c>
      <c r="G195" s="93">
        <v>-1.99438</v>
      </c>
      <c r="H195" s="93">
        <v>-1200000000</v>
      </c>
      <c r="I195" s="94">
        <v>108351</v>
      </c>
      <c r="J195" s="95">
        <v>11.5931</v>
      </c>
      <c r="K195" s="96">
        <v>0.74</v>
      </c>
      <c r="L195" s="109">
        <v>30.891000999999999</v>
      </c>
      <c r="M195" s="111">
        <f t="shared" si="43"/>
        <v>3.4304649117146111</v>
      </c>
      <c r="N195" s="112">
        <v>4.0552000000000001</v>
      </c>
      <c r="O195" s="113">
        <f t="shared" si="44"/>
        <v>1.4000000081760027</v>
      </c>
      <c r="P195" s="109">
        <v>387</v>
      </c>
      <c r="Q195" s="111">
        <f t="shared" si="45"/>
        <v>5.9584246930297819</v>
      </c>
      <c r="R195" s="93">
        <v>49.200001</v>
      </c>
      <c r="S195" s="114">
        <v>87.4</v>
      </c>
      <c r="T195" s="113">
        <f t="shared" si="46"/>
        <v>4.4704952826614894</v>
      </c>
      <c r="U195" s="112">
        <v>7.1</v>
      </c>
      <c r="V195" s="113">
        <f t="shared" si="47"/>
        <v>1.9600947840472698</v>
      </c>
      <c r="W195" s="115">
        <v>2087.8000000000002</v>
      </c>
      <c r="X195" s="101">
        <f t="shared" si="48"/>
        <v>7.6438661589741983</v>
      </c>
      <c r="Y195" s="116">
        <v>586</v>
      </c>
      <c r="Z195" s="102">
        <v>1924</v>
      </c>
      <c r="AA195" s="235">
        <v>4.6399999999999997</v>
      </c>
      <c r="AB195" s="117">
        <f t="shared" si="49"/>
        <v>1.5347143662381639</v>
      </c>
      <c r="AC195" s="115">
        <v>118</v>
      </c>
      <c r="AD195" s="117">
        <f t="shared" si="50"/>
        <v>4.7706846244656651</v>
      </c>
      <c r="AE195" s="109">
        <v>13998.786</v>
      </c>
      <c r="AF195" s="111">
        <f t="shared" si="51"/>
        <v>9.5467258905517802</v>
      </c>
      <c r="AG195" s="118">
        <v>90.9</v>
      </c>
      <c r="AH195" s="119">
        <v>30.890999999999998</v>
      </c>
      <c r="AI195" s="120">
        <f t="shared" si="52"/>
        <v>3.4304648793427233</v>
      </c>
      <c r="AJ195" s="121">
        <v>387</v>
      </c>
      <c r="AK195" s="120">
        <f t="shared" si="53"/>
        <v>5.9584246930297819</v>
      </c>
      <c r="AL195" s="108">
        <v>49.2</v>
      </c>
      <c r="AM195" s="119">
        <v>13998.8</v>
      </c>
      <c r="AN195" s="120">
        <f t="shared" si="54"/>
        <v>9.5467268906380021</v>
      </c>
      <c r="AO195" s="96">
        <v>60.542999999999999</v>
      </c>
      <c r="AP195" s="94">
        <v>226.072</v>
      </c>
      <c r="AQ195" s="95">
        <v>5.4208499999999997</v>
      </c>
      <c r="AR195" s="94">
        <v>13.5</v>
      </c>
      <c r="AS195" s="95">
        <f t="shared" si="55"/>
        <v>2.6026896854443837</v>
      </c>
      <c r="AT195" s="96">
        <v>90.46</v>
      </c>
    </row>
    <row r="196" spans="1:46">
      <c r="A196" s="109">
        <v>18</v>
      </c>
      <c r="B196" s="110" t="s">
        <v>19</v>
      </c>
      <c r="C196" s="110" t="s">
        <v>18</v>
      </c>
      <c r="D196" s="111">
        <v>2017</v>
      </c>
      <c r="E196" s="109">
        <v>31.3</v>
      </c>
      <c r="F196" s="111">
        <f t="shared" si="42"/>
        <v>3.4436180975461075</v>
      </c>
      <c r="G196" s="93">
        <v>22.855799999999999</v>
      </c>
      <c r="H196" s="93">
        <v>15000000000</v>
      </c>
      <c r="I196" s="94">
        <v>107142</v>
      </c>
      <c r="J196" s="95">
        <v>11.581899999999999</v>
      </c>
      <c r="K196" s="96">
        <v>0.73</v>
      </c>
      <c r="L196" s="109">
        <v>32.426997999999998</v>
      </c>
      <c r="M196" s="111">
        <f t="shared" si="43"/>
        <v>3.4789913474251759</v>
      </c>
      <c r="N196" s="112">
        <v>3.8776999999999999</v>
      </c>
      <c r="O196" s="113">
        <f t="shared" si="44"/>
        <v>1.3552421943644213</v>
      </c>
      <c r="P196" s="109">
        <v>405</v>
      </c>
      <c r="Q196" s="111">
        <f t="shared" si="45"/>
        <v>6.0038870671065387</v>
      </c>
      <c r="R196" s="93">
        <v>48.900002000000001</v>
      </c>
      <c r="S196" s="114">
        <v>89.1</v>
      </c>
      <c r="T196" s="113">
        <f t="shared" si="46"/>
        <v>4.4897593344767639</v>
      </c>
      <c r="U196" s="112">
        <v>1.6</v>
      </c>
      <c r="V196" s="113">
        <f t="shared" si="47"/>
        <v>0.47000362924573563</v>
      </c>
      <c r="W196" s="115">
        <v>1532.2</v>
      </c>
      <c r="X196" s="101">
        <f t="shared" si="48"/>
        <v>7.3344598900827203</v>
      </c>
      <c r="Y196" s="116">
        <v>657</v>
      </c>
      <c r="Z196" s="102">
        <v>1956</v>
      </c>
      <c r="AA196" s="235">
        <v>9.6300000000000008</v>
      </c>
      <c r="AB196" s="117">
        <f t="shared" si="49"/>
        <v>2.2648832258100344</v>
      </c>
      <c r="AC196" s="115">
        <v>122</v>
      </c>
      <c r="AD196" s="117">
        <f t="shared" si="50"/>
        <v>4.8040210447332568</v>
      </c>
      <c r="AE196" s="109">
        <v>14711.663</v>
      </c>
      <c r="AF196" s="111">
        <f t="shared" si="51"/>
        <v>9.596395859550892</v>
      </c>
      <c r="AG196" s="118">
        <v>91.4</v>
      </c>
      <c r="AH196" s="119">
        <v>32.427</v>
      </c>
      <c r="AI196" s="120">
        <f t="shared" si="52"/>
        <v>3.4789914091021754</v>
      </c>
      <c r="AJ196" s="121">
        <v>405</v>
      </c>
      <c r="AK196" s="120">
        <f t="shared" si="53"/>
        <v>6.0038870671065387</v>
      </c>
      <c r="AL196" s="108">
        <v>48.9</v>
      </c>
      <c r="AM196" s="119">
        <v>14711.7</v>
      </c>
      <c r="AN196" s="120">
        <f t="shared" si="54"/>
        <v>9.5963983745591186</v>
      </c>
      <c r="AO196" s="96">
        <v>58.7973</v>
      </c>
      <c r="AP196" s="94">
        <v>231.63499999999999</v>
      </c>
      <c r="AQ196" s="95">
        <v>5.4451599999999996</v>
      </c>
      <c r="AR196" s="94">
        <v>15.3</v>
      </c>
      <c r="AS196" s="95">
        <f t="shared" si="55"/>
        <v>2.7278528283983898</v>
      </c>
      <c r="AT196" s="96">
        <v>90.727000000000004</v>
      </c>
    </row>
    <row r="197" spans="1:46">
      <c r="A197" s="109">
        <v>18</v>
      </c>
      <c r="B197" s="110" t="s">
        <v>19</v>
      </c>
      <c r="C197" s="110" t="s">
        <v>18</v>
      </c>
      <c r="D197" s="111">
        <v>2018</v>
      </c>
      <c r="E197" s="109">
        <v>31.3</v>
      </c>
      <c r="F197" s="111">
        <f t="shared" si="42"/>
        <v>3.4436180975461075</v>
      </c>
      <c r="G197" s="93">
        <v>30.784500000000001</v>
      </c>
      <c r="H197" s="93">
        <v>22000000000</v>
      </c>
      <c r="I197" s="94">
        <v>106377</v>
      </c>
      <c r="J197" s="95">
        <v>11.5747</v>
      </c>
      <c r="K197" s="96">
        <v>0.73</v>
      </c>
      <c r="L197" s="109">
        <v>28.334999</v>
      </c>
      <c r="M197" s="111">
        <f t="shared" si="43"/>
        <v>3.3440977543295403</v>
      </c>
      <c r="N197" s="112">
        <v>4.1608000000000001</v>
      </c>
      <c r="O197" s="113">
        <f t="shared" si="44"/>
        <v>1.4257073634767257</v>
      </c>
      <c r="P197" s="109">
        <v>419</v>
      </c>
      <c r="Q197" s="111">
        <f t="shared" si="45"/>
        <v>6.0378709199221374</v>
      </c>
      <c r="R197" s="93">
        <v>49</v>
      </c>
      <c r="S197" s="114">
        <v>88</v>
      </c>
      <c r="T197" s="113">
        <f t="shared" si="46"/>
        <v>4.4773368144782069</v>
      </c>
      <c r="U197" s="112">
        <v>1.8</v>
      </c>
      <c r="V197" s="113">
        <f t="shared" si="47"/>
        <v>0.58778666490211906</v>
      </c>
      <c r="W197" s="115">
        <v>1676.6</v>
      </c>
      <c r="X197" s="101">
        <f t="shared" si="48"/>
        <v>7.4245232122037566</v>
      </c>
      <c r="Y197" s="116">
        <v>710</v>
      </c>
      <c r="Z197" s="102">
        <v>2106</v>
      </c>
      <c r="AA197" s="235">
        <v>3.83</v>
      </c>
      <c r="AB197" s="117">
        <f t="shared" si="49"/>
        <v>1.3428648031925547</v>
      </c>
      <c r="AC197" s="115">
        <v>122</v>
      </c>
      <c r="AD197" s="117">
        <f t="shared" si="50"/>
        <v>4.8040210447332568</v>
      </c>
      <c r="AE197" s="109">
        <v>13076.89</v>
      </c>
      <c r="AF197" s="111">
        <f t="shared" si="51"/>
        <v>9.4786018291558989</v>
      </c>
      <c r="AG197" s="118">
        <v>91.2</v>
      </c>
      <c r="AH197" s="119">
        <v>28.335000000000001</v>
      </c>
      <c r="AI197" s="120">
        <f t="shared" si="52"/>
        <v>3.3440977896215824</v>
      </c>
      <c r="AJ197" s="121">
        <v>419</v>
      </c>
      <c r="AK197" s="120">
        <f t="shared" si="53"/>
        <v>6.0378709199221374</v>
      </c>
      <c r="AL197" s="108">
        <v>49</v>
      </c>
      <c r="AM197" s="119">
        <v>13076.9</v>
      </c>
      <c r="AN197" s="120">
        <f t="shared" si="54"/>
        <v>9.4786025938634229</v>
      </c>
      <c r="AO197" s="96">
        <v>57.164499999999997</v>
      </c>
      <c r="AP197" s="94">
        <v>236.14699999999999</v>
      </c>
      <c r="AQ197" s="95">
        <v>5.4644500000000003</v>
      </c>
      <c r="AR197" s="94">
        <v>16</v>
      </c>
      <c r="AS197" s="95">
        <f t="shared" si="55"/>
        <v>2.7725887222397811</v>
      </c>
      <c r="AT197" s="96">
        <v>90.980999999999995</v>
      </c>
    </row>
    <row r="198" spans="1:46">
      <c r="A198" s="109">
        <v>18</v>
      </c>
      <c r="B198" s="110" t="s">
        <v>19</v>
      </c>
      <c r="C198" s="110" t="s">
        <v>18</v>
      </c>
      <c r="D198" s="111">
        <v>2019</v>
      </c>
      <c r="E198" s="109">
        <v>32.200000000000003</v>
      </c>
      <c r="F198" s="111">
        <f t="shared" si="42"/>
        <v>3.4719664525503626</v>
      </c>
      <c r="G198" s="93">
        <v>252.92</v>
      </c>
      <c r="H198" s="93">
        <v>180000000000</v>
      </c>
      <c r="I198" s="94">
        <v>107351</v>
      </c>
      <c r="J198" s="95">
        <v>11.5839</v>
      </c>
      <c r="K198" s="96">
        <v>0.73</v>
      </c>
      <c r="L198" s="109">
        <v>27.068000999999999</v>
      </c>
      <c r="M198" s="111">
        <f t="shared" si="43"/>
        <v>3.2983522553139712</v>
      </c>
      <c r="N198" s="112">
        <v>4.2287999999999997</v>
      </c>
      <c r="O198" s="113">
        <f t="shared" si="44"/>
        <v>1.4419182648678877</v>
      </c>
      <c r="P198" s="109">
        <v>428</v>
      </c>
      <c r="Q198" s="111">
        <f t="shared" si="45"/>
        <v>6.0591231955817966</v>
      </c>
      <c r="R198" s="93">
        <v>48.900002000000001</v>
      </c>
      <c r="S198" s="114">
        <v>88.5</v>
      </c>
      <c r="T198" s="113">
        <f t="shared" si="46"/>
        <v>4.4830025520138834</v>
      </c>
      <c r="U198" s="112">
        <v>9.1</v>
      </c>
      <c r="V198" s="113">
        <f t="shared" si="47"/>
        <v>2.2082744135228043</v>
      </c>
      <c r="W198" s="115">
        <v>1483.2</v>
      </c>
      <c r="X198" s="101">
        <f t="shared" si="48"/>
        <v>7.3019571948115907</v>
      </c>
      <c r="Y198" s="116">
        <v>806</v>
      </c>
      <c r="Z198" s="102">
        <v>2074</v>
      </c>
      <c r="AA198" s="235">
        <v>3.23</v>
      </c>
      <c r="AB198" s="117">
        <f t="shared" si="49"/>
        <v>1.1724821372345651</v>
      </c>
      <c r="AC198" s="115">
        <v>125</v>
      </c>
      <c r="AD198" s="117">
        <f t="shared" si="50"/>
        <v>4.8283137373023015</v>
      </c>
      <c r="AE198" s="109">
        <v>11442.116</v>
      </c>
      <c r="AF198" s="111">
        <f t="shared" si="51"/>
        <v>9.3450562128648311</v>
      </c>
      <c r="AG198" s="118">
        <v>91</v>
      </c>
      <c r="AH198" s="119">
        <v>27.068000000000001</v>
      </c>
      <c r="AI198" s="120">
        <f t="shared" si="52"/>
        <v>3.2983522183699789</v>
      </c>
      <c r="AJ198" s="121">
        <v>428</v>
      </c>
      <c r="AK198" s="120">
        <f t="shared" si="53"/>
        <v>6.0591231955817966</v>
      </c>
      <c r="AL198" s="108">
        <v>48.9</v>
      </c>
      <c r="AM198" s="119">
        <v>0</v>
      </c>
      <c r="AN198" s="120">
        <v>0</v>
      </c>
      <c r="AO198" s="96">
        <v>58.255400000000002</v>
      </c>
      <c r="AP198" s="94">
        <v>240.828</v>
      </c>
      <c r="AQ198" s="95">
        <v>5.4840799999999996</v>
      </c>
      <c r="AR198" s="94">
        <v>16.399999999999999</v>
      </c>
      <c r="AS198" s="95">
        <f t="shared" si="55"/>
        <v>2.7972813348301528</v>
      </c>
      <c r="AT198" s="96">
        <v>91.222999999999999</v>
      </c>
    </row>
    <row r="199" spans="1:46">
      <c r="A199" s="109">
        <v>18</v>
      </c>
      <c r="B199" s="110" t="s">
        <v>19</v>
      </c>
      <c r="C199" s="110" t="s">
        <v>18</v>
      </c>
      <c r="D199" s="111">
        <v>2020</v>
      </c>
      <c r="E199" s="109">
        <v>32.799999999999997</v>
      </c>
      <c r="F199" s="111">
        <f t="shared" si="42"/>
        <v>3.4904285153900978</v>
      </c>
      <c r="G199" s="93">
        <v>200.83199999999999</v>
      </c>
      <c r="H199" s="93">
        <v>150000000000</v>
      </c>
      <c r="I199" s="94">
        <v>104616</v>
      </c>
      <c r="J199" s="95">
        <v>11.5581</v>
      </c>
      <c r="K199" s="96">
        <v>0.72</v>
      </c>
      <c r="L199" s="109">
        <v>27.395</v>
      </c>
      <c r="M199" s="111">
        <f t="shared" si="43"/>
        <v>3.310360514990379</v>
      </c>
      <c r="N199" s="112">
        <v>4.0842999999999998</v>
      </c>
      <c r="O199" s="113">
        <f t="shared" si="44"/>
        <v>1.4071503549992679</v>
      </c>
      <c r="P199" s="109">
        <v>381</v>
      </c>
      <c r="Q199" s="111">
        <f t="shared" si="45"/>
        <v>5.9427993751267012</v>
      </c>
      <c r="R199" s="93">
        <v>52.799999</v>
      </c>
      <c r="S199" s="114">
        <v>87.9</v>
      </c>
      <c r="T199" s="113">
        <f t="shared" si="46"/>
        <v>4.4761998046911318</v>
      </c>
      <c r="U199" s="112">
        <v>9.4</v>
      </c>
      <c r="V199" s="113">
        <f t="shared" si="47"/>
        <v>2.2407096892759584</v>
      </c>
      <c r="W199" s="115">
        <v>936.1</v>
      </c>
      <c r="X199" s="101">
        <f t="shared" si="48"/>
        <v>6.8417223083776992</v>
      </c>
      <c r="Y199" s="116">
        <v>751</v>
      </c>
      <c r="Z199" s="102">
        <v>2100</v>
      </c>
      <c r="AA199" s="235">
        <v>3.97</v>
      </c>
      <c r="AB199" s="117">
        <f t="shared" si="49"/>
        <v>1.3787660946990992</v>
      </c>
      <c r="AC199" s="115">
        <v>126</v>
      </c>
      <c r="AD199" s="117">
        <f t="shared" si="50"/>
        <v>4.836281906951478</v>
      </c>
      <c r="AE199" s="109">
        <v>9807.3428000000004</v>
      </c>
      <c r="AF199" s="111">
        <f t="shared" si="51"/>
        <v>9.1908866494056696</v>
      </c>
      <c r="AG199" s="118">
        <v>90.4</v>
      </c>
      <c r="AH199" s="119">
        <v>27.395</v>
      </c>
      <c r="AI199" s="120">
        <f t="shared" si="52"/>
        <v>3.310360514990379</v>
      </c>
      <c r="AJ199" s="121">
        <v>381</v>
      </c>
      <c r="AK199" s="120">
        <f t="shared" si="53"/>
        <v>5.9427993751267012</v>
      </c>
      <c r="AL199" s="108">
        <v>52.8</v>
      </c>
      <c r="AM199" s="119">
        <v>0</v>
      </c>
      <c r="AN199" s="120">
        <v>0</v>
      </c>
      <c r="AO199" s="96">
        <v>47.495699999999999</v>
      </c>
      <c r="AP199" s="94">
        <v>244.874</v>
      </c>
      <c r="AQ199" s="95">
        <v>5.5007400000000004</v>
      </c>
      <c r="AR199" s="94">
        <v>20.8</v>
      </c>
      <c r="AS199" s="95">
        <f t="shared" si="55"/>
        <v>3.0349529867072724</v>
      </c>
      <c r="AT199" s="96">
        <v>91.453000000000003</v>
      </c>
    </row>
    <row r="200" spans="1:46">
      <c r="A200" s="109">
        <v>19</v>
      </c>
      <c r="B200" s="110" t="s">
        <v>17</v>
      </c>
      <c r="C200" s="110" t="s">
        <v>16</v>
      </c>
      <c r="D200" s="111">
        <v>2010</v>
      </c>
      <c r="E200" s="109">
        <v>21</v>
      </c>
      <c r="F200" s="111">
        <f t="shared" si="42"/>
        <v>3.044522437723423</v>
      </c>
      <c r="G200" s="93">
        <v>2.02393</v>
      </c>
      <c r="H200" s="93">
        <v>470000000</v>
      </c>
      <c r="I200" s="94">
        <v>10500.9</v>
      </c>
      <c r="J200" s="95">
        <v>9.2592099999999995</v>
      </c>
      <c r="K200" s="96">
        <v>0.31</v>
      </c>
      <c r="L200" s="109">
        <v>11.654</v>
      </c>
      <c r="M200" s="111">
        <f t="shared" si="43"/>
        <v>2.4556494687208823</v>
      </c>
      <c r="N200" s="112">
        <v>1.0379</v>
      </c>
      <c r="O200" s="113">
        <f t="shared" si="44"/>
        <v>3.7199440989106304E-2</v>
      </c>
      <c r="P200" s="109">
        <v>480</v>
      </c>
      <c r="Q200" s="111">
        <f t="shared" si="45"/>
        <v>6.1737861039019366</v>
      </c>
      <c r="R200" s="93">
        <v>9.3999995999999992</v>
      </c>
      <c r="S200" s="114">
        <v>84.6</v>
      </c>
      <c r="T200" s="113">
        <f t="shared" si="46"/>
        <v>4.4379342666121779</v>
      </c>
      <c r="U200" s="112">
        <v>1.2</v>
      </c>
      <c r="V200" s="113">
        <f t="shared" si="47"/>
        <v>0.18232155679395459</v>
      </c>
      <c r="W200" s="115">
        <v>48.8</v>
      </c>
      <c r="X200" s="101">
        <f t="shared" si="48"/>
        <v>3.8877303128591016</v>
      </c>
      <c r="Y200" s="116">
        <v>326</v>
      </c>
      <c r="Z200" s="102">
        <v>18815</v>
      </c>
      <c r="AA200" s="235">
        <v>0.72</v>
      </c>
      <c r="AB200" s="117">
        <f t="shared" si="49"/>
        <v>-0.3285040669720361</v>
      </c>
      <c r="AC200" s="115">
        <v>100</v>
      </c>
      <c r="AD200" s="117">
        <f t="shared" si="50"/>
        <v>4.6051701859880918</v>
      </c>
      <c r="AE200" s="109">
        <v>5150.2847000000002</v>
      </c>
      <c r="AF200" s="111">
        <f t="shared" si="51"/>
        <v>8.5468072736832106</v>
      </c>
      <c r="AG200" s="118">
        <v>26.4</v>
      </c>
      <c r="AH200" s="119">
        <v>11.654</v>
      </c>
      <c r="AI200" s="120">
        <f t="shared" si="52"/>
        <v>2.4556494687208823</v>
      </c>
      <c r="AJ200" s="121">
        <v>480</v>
      </c>
      <c r="AK200" s="120">
        <f t="shared" si="53"/>
        <v>6.1737861039019366</v>
      </c>
      <c r="AL200" s="108">
        <v>9.4</v>
      </c>
      <c r="AM200" s="119">
        <v>5150.28</v>
      </c>
      <c r="AN200" s="120">
        <f t="shared" si="54"/>
        <v>8.5468063611118836</v>
      </c>
      <c r="AO200" s="96">
        <v>90.432500000000005</v>
      </c>
      <c r="AP200" s="94">
        <v>33.708100000000002</v>
      </c>
      <c r="AQ200" s="95">
        <v>3.5177399999999999</v>
      </c>
      <c r="AR200" s="94">
        <v>33.1</v>
      </c>
      <c r="AS200" s="95">
        <f t="shared" si="55"/>
        <v>3.4995332823830174</v>
      </c>
      <c r="AT200" s="96">
        <v>67.840999999999994</v>
      </c>
    </row>
    <row r="201" spans="1:46">
      <c r="A201" s="109">
        <v>19</v>
      </c>
      <c r="B201" s="110" t="s">
        <v>17</v>
      </c>
      <c r="C201" s="110" t="s">
        <v>16</v>
      </c>
      <c r="D201" s="111">
        <v>2011</v>
      </c>
      <c r="E201" s="109">
        <v>22</v>
      </c>
      <c r="F201" s="111">
        <f t="shared" si="42"/>
        <v>3.0910424533583161</v>
      </c>
      <c r="G201" s="93">
        <v>5.7177300000000004</v>
      </c>
      <c r="H201" s="93">
        <v>1500000000</v>
      </c>
      <c r="I201" s="94">
        <v>11018.5</v>
      </c>
      <c r="J201" s="95">
        <v>9.3073300000000003</v>
      </c>
      <c r="K201" s="96">
        <v>0.3</v>
      </c>
      <c r="L201" s="109">
        <v>14.446</v>
      </c>
      <c r="M201" s="111">
        <f t="shared" si="43"/>
        <v>2.670417559628655</v>
      </c>
      <c r="N201" s="112">
        <v>0.92090000000000005</v>
      </c>
      <c r="O201" s="113">
        <f t="shared" si="44"/>
        <v>-8.2403826254815654E-2</v>
      </c>
      <c r="P201" s="109">
        <v>479</v>
      </c>
      <c r="Q201" s="111">
        <f t="shared" si="45"/>
        <v>6.1717005974109149</v>
      </c>
      <c r="R201" s="93">
        <v>9.6999998000000005</v>
      </c>
      <c r="S201" s="114">
        <v>81.5</v>
      </c>
      <c r="T201" s="113">
        <f t="shared" si="46"/>
        <v>4.4006030202468169</v>
      </c>
      <c r="U201" s="112">
        <v>2.9</v>
      </c>
      <c r="V201" s="113">
        <f t="shared" si="47"/>
        <v>1.0647107369924282</v>
      </c>
      <c r="W201" s="115">
        <v>59.1</v>
      </c>
      <c r="X201" s="101">
        <f t="shared" si="48"/>
        <v>4.0792309244120526</v>
      </c>
      <c r="Y201" s="116">
        <v>319</v>
      </c>
      <c r="Z201" s="102">
        <v>19182</v>
      </c>
      <c r="AA201" s="235">
        <v>0</v>
      </c>
      <c r="AB201" s="117">
        <v>0</v>
      </c>
      <c r="AC201" s="115">
        <v>99</v>
      </c>
      <c r="AD201" s="117">
        <f t="shared" si="50"/>
        <v>4.5951198501345898</v>
      </c>
      <c r="AE201" s="109">
        <v>5081.0219999999999</v>
      </c>
      <c r="AF201" s="111">
        <f t="shared" si="51"/>
        <v>8.5332677014406855</v>
      </c>
      <c r="AG201" s="118">
        <v>27.4</v>
      </c>
      <c r="AH201" s="119">
        <v>14.446</v>
      </c>
      <c r="AI201" s="120">
        <f t="shared" si="52"/>
        <v>2.670417559628655</v>
      </c>
      <c r="AJ201" s="121">
        <v>479</v>
      </c>
      <c r="AK201" s="120">
        <f t="shared" si="53"/>
        <v>6.1717005974109149</v>
      </c>
      <c r="AL201" s="108">
        <v>9.6999999999999993</v>
      </c>
      <c r="AM201" s="119">
        <v>5081.0200000000004</v>
      </c>
      <c r="AN201" s="120">
        <f t="shared" si="54"/>
        <v>8.5332673078190098</v>
      </c>
      <c r="AO201" s="96">
        <v>110.703</v>
      </c>
      <c r="AP201" s="94">
        <v>33.099899999999998</v>
      </c>
      <c r="AQ201" s="95">
        <v>3.49953</v>
      </c>
      <c r="AR201" s="94">
        <v>35.5</v>
      </c>
      <c r="AS201" s="95">
        <f t="shared" si="55"/>
        <v>3.5695326964813701</v>
      </c>
      <c r="AT201" s="96">
        <v>67.869</v>
      </c>
    </row>
    <row r="202" spans="1:46">
      <c r="A202" s="109">
        <v>19</v>
      </c>
      <c r="B202" s="110" t="s">
        <v>17</v>
      </c>
      <c r="C202" s="110" t="s">
        <v>16</v>
      </c>
      <c r="D202" s="111">
        <v>2012</v>
      </c>
      <c r="E202" s="109">
        <v>22.5</v>
      </c>
      <c r="F202" s="111">
        <f t="shared" si="42"/>
        <v>3.1135153092103742</v>
      </c>
      <c r="G202" s="93">
        <v>3.9857399999999998</v>
      </c>
      <c r="H202" s="93">
        <v>1100000000</v>
      </c>
      <c r="I202" s="94">
        <v>11971</v>
      </c>
      <c r="J202" s="95">
        <v>9.3902400000000004</v>
      </c>
      <c r="K202" s="96">
        <v>0.28000000000000003</v>
      </c>
      <c r="L202" s="109">
        <v>13.606999999999999</v>
      </c>
      <c r="M202" s="111">
        <f t="shared" si="43"/>
        <v>2.6105843662087214</v>
      </c>
      <c r="N202" s="112">
        <v>0.98119999999999996</v>
      </c>
      <c r="O202" s="113">
        <f t="shared" si="44"/>
        <v>-1.8978966597802856E-2</v>
      </c>
      <c r="P202" s="109">
        <v>465</v>
      </c>
      <c r="Q202" s="111">
        <f t="shared" si="45"/>
        <v>6.1420374055873559</v>
      </c>
      <c r="R202" s="93">
        <v>14.6</v>
      </c>
      <c r="S202" s="114">
        <v>83.6</v>
      </c>
      <c r="T202" s="113">
        <f t="shared" si="46"/>
        <v>4.4260435200906558</v>
      </c>
      <c r="U202" s="112">
        <v>1.3</v>
      </c>
      <c r="V202" s="113">
        <f t="shared" si="47"/>
        <v>0.26236426446749106</v>
      </c>
      <c r="W202" s="115">
        <v>36.1</v>
      </c>
      <c r="X202" s="101">
        <f t="shared" si="48"/>
        <v>3.5862928653388351</v>
      </c>
      <c r="Y202" s="116">
        <v>348</v>
      </c>
      <c r="Z202" s="102">
        <v>20476</v>
      </c>
      <c r="AA202" s="235">
        <v>1.1499999999999999</v>
      </c>
      <c r="AB202" s="117">
        <f t="shared" si="49"/>
        <v>0.13976194237515863</v>
      </c>
      <c r="AC202" s="115">
        <v>98</v>
      </c>
      <c r="AD202" s="117">
        <f t="shared" si="50"/>
        <v>4.5849674786705723</v>
      </c>
      <c r="AE202" s="109">
        <v>5084.9486999999999</v>
      </c>
      <c r="AF202" s="111">
        <f t="shared" si="51"/>
        <v>8.5340402199361964</v>
      </c>
      <c r="AG202" s="118">
        <v>30.3</v>
      </c>
      <c r="AH202" s="119">
        <v>13.606999999999999</v>
      </c>
      <c r="AI202" s="120">
        <f t="shared" si="52"/>
        <v>2.6105843662087214</v>
      </c>
      <c r="AJ202" s="121">
        <v>465</v>
      </c>
      <c r="AK202" s="120">
        <f t="shared" si="53"/>
        <v>6.1420374055873559</v>
      </c>
      <c r="AL202" s="108">
        <v>14.6</v>
      </c>
      <c r="AM202" s="119">
        <v>5084.95</v>
      </c>
      <c r="AN202" s="120">
        <f t="shared" si="54"/>
        <v>8.5340404755926258</v>
      </c>
      <c r="AO202" s="96">
        <v>115.57299999999999</v>
      </c>
      <c r="AP202" s="94">
        <v>32.691899999999997</v>
      </c>
      <c r="AQ202" s="95">
        <v>3.4871300000000001</v>
      </c>
      <c r="AR202" s="94">
        <v>40.4</v>
      </c>
      <c r="AS202" s="95">
        <f t="shared" si="55"/>
        <v>3.6988297849671046</v>
      </c>
      <c r="AT202" s="96">
        <v>67.897000000000006</v>
      </c>
    </row>
    <row r="203" spans="1:46">
      <c r="A203" s="109">
        <v>19</v>
      </c>
      <c r="B203" s="110" t="s">
        <v>17</v>
      </c>
      <c r="C203" s="110" t="s">
        <v>16</v>
      </c>
      <c r="D203" s="111">
        <v>2013</v>
      </c>
      <c r="E203" s="109">
        <v>22.5</v>
      </c>
      <c r="F203" s="111">
        <f t="shared" si="42"/>
        <v>3.1135153092103742</v>
      </c>
      <c r="G203" s="93">
        <v>3.3935200000000001</v>
      </c>
      <c r="H203" s="93">
        <v>990000000</v>
      </c>
      <c r="I203" s="94">
        <v>12353.5</v>
      </c>
      <c r="J203" s="95">
        <v>9.4216999999999995</v>
      </c>
      <c r="K203" s="96">
        <v>0.26</v>
      </c>
      <c r="L203" s="109">
        <v>14.958</v>
      </c>
      <c r="M203" s="111">
        <f t="shared" si="43"/>
        <v>2.7052462737694758</v>
      </c>
      <c r="N203" s="112">
        <v>0.92649999999999999</v>
      </c>
      <c r="O203" s="113">
        <f t="shared" si="44"/>
        <v>-7.6341233256722596E-2</v>
      </c>
      <c r="P203" s="109">
        <v>654</v>
      </c>
      <c r="Q203" s="111">
        <f t="shared" si="45"/>
        <v>6.4831073514571989</v>
      </c>
      <c r="R203" s="93">
        <v>25.9</v>
      </c>
      <c r="S203" s="114">
        <v>90.3</v>
      </c>
      <c r="T203" s="113">
        <f t="shared" si="46"/>
        <v>4.5031374604229395</v>
      </c>
      <c r="U203" s="112">
        <v>3.9</v>
      </c>
      <c r="V203" s="113">
        <f t="shared" si="47"/>
        <v>1.3609765531356006</v>
      </c>
      <c r="W203" s="115">
        <v>44.9</v>
      </c>
      <c r="X203" s="101">
        <f t="shared" si="48"/>
        <v>3.8044377947482086</v>
      </c>
      <c r="Y203" s="116">
        <v>349</v>
      </c>
      <c r="Z203" s="102">
        <v>21567</v>
      </c>
      <c r="AA203" s="235">
        <v>1.99</v>
      </c>
      <c r="AB203" s="117">
        <f t="shared" si="49"/>
        <v>0.68813463873640102</v>
      </c>
      <c r="AC203" s="115">
        <v>94</v>
      </c>
      <c r="AD203" s="117">
        <f t="shared" si="50"/>
        <v>4.5432947822700038</v>
      </c>
      <c r="AE203" s="109">
        <v>5270.7056000000002</v>
      </c>
      <c r="AF203" s="111">
        <f t="shared" si="51"/>
        <v>8.5699195225160238</v>
      </c>
      <c r="AG203" s="118">
        <v>29.7</v>
      </c>
      <c r="AH203" s="119">
        <v>14.958</v>
      </c>
      <c r="AI203" s="120">
        <f t="shared" si="52"/>
        <v>2.7052462737694758</v>
      </c>
      <c r="AJ203" s="121">
        <v>654</v>
      </c>
      <c r="AK203" s="120">
        <f t="shared" si="53"/>
        <v>6.4831073514571989</v>
      </c>
      <c r="AL203" s="108">
        <v>25.9</v>
      </c>
      <c r="AM203" s="119">
        <v>5270.71</v>
      </c>
      <c r="AN203" s="120">
        <f t="shared" si="54"/>
        <v>8.5699203573185141</v>
      </c>
      <c r="AO203" s="96">
        <v>110.908</v>
      </c>
      <c r="AP203" s="94">
        <v>32.343600000000002</v>
      </c>
      <c r="AQ203" s="95">
        <v>3.4764200000000001</v>
      </c>
      <c r="AR203" s="94">
        <v>39.6</v>
      </c>
      <c r="AS203" s="95">
        <f t="shared" si="55"/>
        <v>3.6788291182604347</v>
      </c>
      <c r="AT203" s="96">
        <v>67.924999999999997</v>
      </c>
    </row>
    <row r="204" spans="1:46">
      <c r="A204" s="109">
        <v>19</v>
      </c>
      <c r="B204" s="110" t="s">
        <v>17</v>
      </c>
      <c r="C204" s="110" t="s">
        <v>16</v>
      </c>
      <c r="D204" s="111">
        <v>2014</v>
      </c>
      <c r="E204" s="109">
        <v>21.5</v>
      </c>
      <c r="F204" s="111">
        <f t="shared" si="42"/>
        <v>3.068052935133617</v>
      </c>
      <c r="G204" s="93">
        <v>3.4518</v>
      </c>
      <c r="H204" s="93">
        <v>1000000000</v>
      </c>
      <c r="I204" s="94">
        <v>12731.7</v>
      </c>
      <c r="J204" s="95">
        <v>9.4518500000000003</v>
      </c>
      <c r="K204" s="96">
        <v>0.25</v>
      </c>
      <c r="L204" s="109">
        <v>14.996</v>
      </c>
      <c r="M204" s="111">
        <f t="shared" si="43"/>
        <v>2.7077834988736655</v>
      </c>
      <c r="N204" s="112">
        <v>0.98809999999999998</v>
      </c>
      <c r="O204" s="113">
        <f t="shared" si="44"/>
        <v>-1.1971371781219958E-2</v>
      </c>
      <c r="P204" s="109">
        <v>646</v>
      </c>
      <c r="Q204" s="111">
        <f t="shared" si="45"/>
        <v>6.4707995037826018</v>
      </c>
      <c r="R204" s="93">
        <v>27</v>
      </c>
      <c r="S204" s="114">
        <v>90.3</v>
      </c>
      <c r="T204" s="113">
        <f t="shared" si="46"/>
        <v>4.5031374604229395</v>
      </c>
      <c r="U204" s="112">
        <v>5.3</v>
      </c>
      <c r="V204" s="113">
        <f t="shared" si="47"/>
        <v>1.6677068205580761</v>
      </c>
      <c r="W204" s="115">
        <v>7.7</v>
      </c>
      <c r="X204" s="101">
        <f t="shared" si="48"/>
        <v>2.0412203288596382</v>
      </c>
      <c r="Y204" s="116">
        <v>360</v>
      </c>
      <c r="Z204" s="102">
        <v>22835</v>
      </c>
      <c r="AA204" s="235">
        <v>0.04</v>
      </c>
      <c r="AB204" s="117">
        <f t="shared" si="49"/>
        <v>-3.2188758248682006</v>
      </c>
      <c r="AC204" s="115">
        <v>97</v>
      </c>
      <c r="AD204" s="117">
        <f t="shared" si="50"/>
        <v>4.5747109785033828</v>
      </c>
      <c r="AE204" s="109">
        <v>5254.8545000000004</v>
      </c>
      <c r="AF204" s="111">
        <f t="shared" si="51"/>
        <v>8.5669075950114646</v>
      </c>
      <c r="AG204" s="118">
        <v>31.1</v>
      </c>
      <c r="AH204" s="119">
        <v>14.996</v>
      </c>
      <c r="AI204" s="120">
        <f t="shared" si="52"/>
        <v>2.7077834988736655</v>
      </c>
      <c r="AJ204" s="121">
        <v>646</v>
      </c>
      <c r="AK204" s="120">
        <f t="shared" si="53"/>
        <v>6.4707995037826018</v>
      </c>
      <c r="AL204" s="108">
        <v>27</v>
      </c>
      <c r="AM204" s="119">
        <v>5254.85</v>
      </c>
      <c r="AN204" s="120">
        <f t="shared" si="54"/>
        <v>8.5669067386600801</v>
      </c>
      <c r="AO204" s="96">
        <v>107.93300000000001</v>
      </c>
      <c r="AP204" s="94">
        <v>32.040500000000002</v>
      </c>
      <c r="AQ204" s="95">
        <v>3.4670000000000001</v>
      </c>
      <c r="AR204" s="94">
        <v>40.200000000000003</v>
      </c>
      <c r="AS204" s="95">
        <f t="shared" si="55"/>
        <v>3.6938669956249757</v>
      </c>
      <c r="AT204" s="96">
        <v>67.951999999999998</v>
      </c>
    </row>
    <row r="205" spans="1:46">
      <c r="A205" s="109">
        <v>19</v>
      </c>
      <c r="B205" s="110" t="s">
        <v>17</v>
      </c>
      <c r="C205" s="110" t="s">
        <v>16</v>
      </c>
      <c r="D205" s="111">
        <v>2015</v>
      </c>
      <c r="E205" s="109">
        <v>22.2</v>
      </c>
      <c r="F205" s="111">
        <f t="shared" si="42"/>
        <v>3.1000922888782338</v>
      </c>
      <c r="G205" s="93">
        <v>3.0854300000000001</v>
      </c>
      <c r="H205" s="93">
        <v>810000000</v>
      </c>
      <c r="I205" s="94">
        <v>13322</v>
      </c>
      <c r="J205" s="95">
        <v>9.4971700000000006</v>
      </c>
      <c r="K205" s="96">
        <v>0.24</v>
      </c>
      <c r="L205" s="109">
        <v>16.131001000000001</v>
      </c>
      <c r="M205" s="111">
        <f t="shared" si="43"/>
        <v>2.7807429484880859</v>
      </c>
      <c r="N205" s="112">
        <v>0.95979999999999999</v>
      </c>
      <c r="O205" s="113">
        <f t="shared" si="44"/>
        <v>-4.1030349557991917E-2</v>
      </c>
      <c r="P205" s="109">
        <v>653</v>
      </c>
      <c r="Q205" s="111">
        <f t="shared" si="45"/>
        <v>6.481577129276431</v>
      </c>
      <c r="R205" s="93">
        <v>28.700001</v>
      </c>
      <c r="S205" s="114">
        <v>82.2</v>
      </c>
      <c r="T205" s="113">
        <f t="shared" si="46"/>
        <v>4.4091553020621346</v>
      </c>
      <c r="U205" s="112">
        <v>5.3</v>
      </c>
      <c r="V205" s="113">
        <f t="shared" si="47"/>
        <v>1.6677068205580761</v>
      </c>
      <c r="W205" s="115">
        <v>0.7</v>
      </c>
      <c r="X205" s="101">
        <f t="shared" si="48"/>
        <v>-0.35667494393873245</v>
      </c>
      <c r="Y205" s="116">
        <v>365</v>
      </c>
      <c r="Z205" s="102">
        <v>23214</v>
      </c>
      <c r="AA205" s="235">
        <v>1.1599999999999999</v>
      </c>
      <c r="AB205" s="117">
        <f t="shared" si="49"/>
        <v>0.14842000511827322</v>
      </c>
      <c r="AC205" s="115">
        <v>100</v>
      </c>
      <c r="AD205" s="117">
        <f t="shared" si="50"/>
        <v>4.6051701859880918</v>
      </c>
      <c r="AE205" s="109">
        <v>5380.8500999999997</v>
      </c>
      <c r="AF205" s="111">
        <f t="shared" si="51"/>
        <v>8.5906016518257999</v>
      </c>
      <c r="AG205" s="118">
        <v>31.4</v>
      </c>
      <c r="AH205" s="119">
        <v>16.131</v>
      </c>
      <c r="AI205" s="120">
        <f t="shared" si="52"/>
        <v>2.7807428864956507</v>
      </c>
      <c r="AJ205" s="121">
        <v>653</v>
      </c>
      <c r="AK205" s="120">
        <f t="shared" si="53"/>
        <v>6.481577129276431</v>
      </c>
      <c r="AL205" s="108">
        <v>28.7</v>
      </c>
      <c r="AM205" s="119">
        <v>5380.85</v>
      </c>
      <c r="AN205" s="120">
        <f t="shared" si="54"/>
        <v>8.5906016332413753</v>
      </c>
      <c r="AO205" s="96">
        <v>102.50700000000001</v>
      </c>
      <c r="AP205" s="94">
        <v>31.779199999999999</v>
      </c>
      <c r="AQ205" s="95">
        <v>3.4588100000000002</v>
      </c>
      <c r="AR205" s="94">
        <v>38.1</v>
      </c>
      <c r="AS205" s="95">
        <f t="shared" si="55"/>
        <v>3.6402142821326553</v>
      </c>
      <c r="AT205" s="96">
        <v>67.98</v>
      </c>
    </row>
    <row r="206" spans="1:46">
      <c r="A206" s="109">
        <v>19</v>
      </c>
      <c r="B206" s="110" t="s">
        <v>17</v>
      </c>
      <c r="C206" s="110" t="s">
        <v>16</v>
      </c>
      <c r="D206" s="111">
        <v>2016</v>
      </c>
      <c r="E206" s="109">
        <v>21.4</v>
      </c>
      <c r="F206" s="111">
        <f t="shared" si="42"/>
        <v>3.0633909220278057</v>
      </c>
      <c r="G206" s="93">
        <v>1.2369399999999999</v>
      </c>
      <c r="H206" s="93">
        <v>340000000</v>
      </c>
      <c r="I206" s="94">
        <v>13787.3</v>
      </c>
      <c r="J206" s="95">
        <v>9.5315100000000008</v>
      </c>
      <c r="K206" s="96">
        <v>0.25</v>
      </c>
      <c r="L206" s="109">
        <v>14.500999999999999</v>
      </c>
      <c r="M206" s="111">
        <f t="shared" si="43"/>
        <v>2.6742176125657582</v>
      </c>
      <c r="N206" s="112">
        <v>1.0949</v>
      </c>
      <c r="O206" s="113">
        <f t="shared" si="44"/>
        <v>9.0663034897242145E-2</v>
      </c>
      <c r="P206" s="109">
        <v>678</v>
      </c>
      <c r="Q206" s="111">
        <f t="shared" si="45"/>
        <v>6.5191472879403953</v>
      </c>
      <c r="R206" s="93">
        <v>25.200001</v>
      </c>
      <c r="S206" s="114">
        <v>88.5</v>
      </c>
      <c r="T206" s="113">
        <f t="shared" si="46"/>
        <v>4.4830025520138834</v>
      </c>
      <c r="U206" s="112">
        <v>6.6</v>
      </c>
      <c r="V206" s="113">
        <f t="shared" si="47"/>
        <v>1.8870696490323797</v>
      </c>
      <c r="W206" s="115">
        <v>75.3</v>
      </c>
      <c r="X206" s="101">
        <f t="shared" si="48"/>
        <v>4.3214801348058476</v>
      </c>
      <c r="Y206" s="116">
        <v>389</v>
      </c>
      <c r="Z206" s="102">
        <v>23624</v>
      </c>
      <c r="AA206" s="235">
        <v>0.51</v>
      </c>
      <c r="AB206" s="117">
        <f t="shared" si="49"/>
        <v>-0.67334455326376563</v>
      </c>
      <c r="AC206" s="115">
        <v>102</v>
      </c>
      <c r="AD206" s="117">
        <f t="shared" si="50"/>
        <v>4.6249728132842707</v>
      </c>
      <c r="AE206" s="109">
        <v>5656.7637000000004</v>
      </c>
      <c r="AF206" s="111">
        <f t="shared" si="51"/>
        <v>8.6406072232138627</v>
      </c>
      <c r="AG206" s="118">
        <v>32</v>
      </c>
      <c r="AH206" s="119">
        <v>14.500999999999999</v>
      </c>
      <c r="AI206" s="120">
        <f t="shared" si="52"/>
        <v>2.6742176125657582</v>
      </c>
      <c r="AJ206" s="121">
        <v>678</v>
      </c>
      <c r="AK206" s="120">
        <f t="shared" si="53"/>
        <v>6.5191472879403953</v>
      </c>
      <c r="AL206" s="108">
        <v>25.2</v>
      </c>
      <c r="AM206" s="119">
        <v>5656.76</v>
      </c>
      <c r="AN206" s="120">
        <f t="shared" si="54"/>
        <v>8.6406065691294067</v>
      </c>
      <c r="AO206" s="96">
        <v>98.565100000000001</v>
      </c>
      <c r="AP206" s="94">
        <v>31.490100000000002</v>
      </c>
      <c r="AQ206" s="95">
        <v>3.4496699999999998</v>
      </c>
      <c r="AR206" s="94">
        <v>38.5</v>
      </c>
      <c r="AS206" s="95">
        <f t="shared" si="55"/>
        <v>3.6506582412937387</v>
      </c>
      <c r="AT206" s="96">
        <v>68.021000000000001</v>
      </c>
    </row>
    <row r="207" spans="1:46">
      <c r="A207" s="109">
        <v>19</v>
      </c>
      <c r="B207" s="110" t="s">
        <v>17</v>
      </c>
      <c r="C207" s="110" t="s">
        <v>16</v>
      </c>
      <c r="D207" s="111">
        <v>2017</v>
      </c>
      <c r="E207" s="109">
        <v>21.9</v>
      </c>
      <c r="F207" s="111">
        <f t="shared" si="42"/>
        <v>3.0864866368224551</v>
      </c>
      <c r="G207" s="93">
        <v>4.0488</v>
      </c>
      <c r="H207" s="93">
        <v>1200000000</v>
      </c>
      <c r="I207" s="94">
        <v>14382.9</v>
      </c>
      <c r="J207" s="95">
        <v>9.5737900000000007</v>
      </c>
      <c r="K207" s="96">
        <v>0.25</v>
      </c>
      <c r="L207" s="109">
        <v>16.427</v>
      </c>
      <c r="M207" s="111">
        <f t="shared" si="43"/>
        <v>2.7989263225590628</v>
      </c>
      <c r="N207" s="112">
        <v>1.0106999999999999</v>
      </c>
      <c r="O207" s="113">
        <f t="shared" si="44"/>
        <v>1.064316009847976E-2</v>
      </c>
      <c r="P207" s="109">
        <v>679</v>
      </c>
      <c r="Q207" s="111">
        <f t="shared" si="45"/>
        <v>6.5206211275586963</v>
      </c>
      <c r="R207" s="93">
        <v>24.799999</v>
      </c>
      <c r="S207" s="114">
        <v>80.8</v>
      </c>
      <c r="T207" s="113">
        <f t="shared" si="46"/>
        <v>4.39197696552705</v>
      </c>
      <c r="U207" s="112">
        <v>5.5</v>
      </c>
      <c r="V207" s="113">
        <f t="shared" si="47"/>
        <v>1.7047480922384253</v>
      </c>
      <c r="W207" s="115">
        <v>49</v>
      </c>
      <c r="X207" s="101">
        <f t="shared" si="48"/>
        <v>3.8918202981106265</v>
      </c>
      <c r="Y207" s="116">
        <v>411</v>
      </c>
      <c r="Z207" s="102">
        <v>23397</v>
      </c>
      <c r="AA207" s="235">
        <v>0.51</v>
      </c>
      <c r="AB207" s="117">
        <f t="shared" si="49"/>
        <v>-0.67334455326376563</v>
      </c>
      <c r="AC207" s="115">
        <v>102</v>
      </c>
      <c r="AD207" s="117">
        <f t="shared" si="50"/>
        <v>4.6249728132842707</v>
      </c>
      <c r="AE207" s="109">
        <v>5777.3813</v>
      </c>
      <c r="AF207" s="111">
        <f t="shared" si="51"/>
        <v>8.6617057967189606</v>
      </c>
      <c r="AG207" s="118">
        <v>30.5</v>
      </c>
      <c r="AH207" s="119">
        <v>16.427</v>
      </c>
      <c r="AI207" s="120">
        <f t="shared" si="52"/>
        <v>2.7989263225590628</v>
      </c>
      <c r="AJ207" s="121">
        <v>679</v>
      </c>
      <c r="AK207" s="120">
        <f t="shared" si="53"/>
        <v>6.5206211275586963</v>
      </c>
      <c r="AL207" s="108">
        <v>24.8</v>
      </c>
      <c r="AM207" s="119">
        <v>5777.38</v>
      </c>
      <c r="AN207" s="120">
        <f t="shared" si="54"/>
        <v>8.661705571703493</v>
      </c>
      <c r="AO207" s="96">
        <v>106.015</v>
      </c>
      <c r="AP207" s="94">
        <v>31.212299999999999</v>
      </c>
      <c r="AQ207" s="95">
        <v>3.4408099999999999</v>
      </c>
      <c r="AR207" s="94">
        <v>42.6</v>
      </c>
      <c r="AS207" s="95">
        <f t="shared" si="55"/>
        <v>3.751854253275325</v>
      </c>
      <c r="AT207" s="96">
        <v>68.075000000000003</v>
      </c>
    </row>
    <row r="208" spans="1:46">
      <c r="A208" s="109">
        <v>19</v>
      </c>
      <c r="B208" s="110" t="s">
        <v>17</v>
      </c>
      <c r="C208" s="110" t="s">
        <v>16</v>
      </c>
      <c r="D208" s="111">
        <v>2018</v>
      </c>
      <c r="E208" s="109">
        <v>22</v>
      </c>
      <c r="F208" s="111">
        <f t="shared" si="42"/>
        <v>3.0910424533583161</v>
      </c>
      <c r="G208" s="93">
        <v>1.32077</v>
      </c>
      <c r="H208" s="93">
        <v>440000000</v>
      </c>
      <c r="I208" s="94">
        <v>15120.1</v>
      </c>
      <c r="J208" s="95">
        <v>9.62378</v>
      </c>
      <c r="K208" s="96">
        <v>0.25</v>
      </c>
      <c r="L208" s="109">
        <v>17.047999999999998</v>
      </c>
      <c r="M208" s="111">
        <f t="shared" si="43"/>
        <v>2.836032894796316</v>
      </c>
      <c r="N208" s="112">
        <v>0.9647</v>
      </c>
      <c r="O208" s="113">
        <f t="shared" si="44"/>
        <v>-3.5938106805629151E-2</v>
      </c>
      <c r="P208" s="109">
        <v>672</v>
      </c>
      <c r="Q208" s="111">
        <f t="shared" si="45"/>
        <v>6.5102583405231496</v>
      </c>
      <c r="R208" s="93">
        <v>25.200001</v>
      </c>
      <c r="S208" s="114">
        <v>81.400000000000006</v>
      </c>
      <c r="T208" s="113">
        <f t="shared" si="46"/>
        <v>4.399375273008495</v>
      </c>
      <c r="U208" s="112">
        <v>4.7</v>
      </c>
      <c r="V208" s="113">
        <f t="shared" si="47"/>
        <v>1.547562508716013</v>
      </c>
      <c r="W208" s="115">
        <v>38.6</v>
      </c>
      <c r="X208" s="101">
        <f t="shared" si="48"/>
        <v>3.6532522764707851</v>
      </c>
      <c r="Y208" s="116">
        <v>512</v>
      </c>
      <c r="Z208" s="102">
        <v>22420</v>
      </c>
      <c r="AA208" s="235">
        <v>0</v>
      </c>
      <c r="AB208" s="117">
        <v>0</v>
      </c>
      <c r="AC208" s="115">
        <v>102</v>
      </c>
      <c r="AD208" s="117">
        <f t="shared" si="50"/>
        <v>4.6249728132842707</v>
      </c>
      <c r="AE208" s="109">
        <v>4970.0097999999998</v>
      </c>
      <c r="AF208" s="111">
        <f t="shared" si="51"/>
        <v>8.5111770909197162</v>
      </c>
      <c r="AG208" s="118">
        <v>32.9</v>
      </c>
      <c r="AH208" s="119">
        <v>17.047999999999998</v>
      </c>
      <c r="AI208" s="120">
        <f t="shared" si="52"/>
        <v>2.836032894796316</v>
      </c>
      <c r="AJ208" s="121">
        <v>672</v>
      </c>
      <c r="AK208" s="120">
        <f t="shared" si="53"/>
        <v>6.5102583405231496</v>
      </c>
      <c r="AL208" s="108">
        <v>25.2</v>
      </c>
      <c r="AM208" s="119">
        <v>4970.01</v>
      </c>
      <c r="AN208" s="120">
        <f t="shared" si="54"/>
        <v>8.5111771311610855</v>
      </c>
      <c r="AO208" s="96">
        <v>107.81699999999999</v>
      </c>
      <c r="AP208" s="94">
        <v>30.970099999999999</v>
      </c>
      <c r="AQ208" s="95">
        <v>3.43302</v>
      </c>
      <c r="AR208" s="94">
        <v>41</v>
      </c>
      <c r="AS208" s="95">
        <f t="shared" si="55"/>
        <v>3.713572066704308</v>
      </c>
      <c r="AT208" s="96">
        <v>68.141999999999996</v>
      </c>
    </row>
    <row r="209" spans="1:46">
      <c r="A209" s="109">
        <v>19</v>
      </c>
      <c r="B209" s="110" t="s">
        <v>17</v>
      </c>
      <c r="C209" s="110" t="s">
        <v>16</v>
      </c>
      <c r="D209" s="111">
        <v>2019</v>
      </c>
      <c r="E209" s="109">
        <v>22.6</v>
      </c>
      <c r="F209" s="111">
        <f t="shared" si="42"/>
        <v>3.1179499062782403</v>
      </c>
      <c r="G209" s="93">
        <v>3.371</v>
      </c>
      <c r="H209" s="93">
        <v>1100000000</v>
      </c>
      <c r="I209" s="94">
        <v>15328.4</v>
      </c>
      <c r="J209" s="95">
        <v>9.6374600000000008</v>
      </c>
      <c r="K209" s="96">
        <v>0.22</v>
      </c>
      <c r="L209" s="109">
        <v>17.306000000000001</v>
      </c>
      <c r="M209" s="111">
        <f t="shared" si="43"/>
        <v>2.8510532621845472</v>
      </c>
      <c r="N209" s="112">
        <v>0.96840000000000004</v>
      </c>
      <c r="O209" s="113">
        <f t="shared" si="44"/>
        <v>-3.2110053918233586E-2</v>
      </c>
      <c r="P209" s="109">
        <v>683</v>
      </c>
      <c r="Q209" s="111">
        <f t="shared" si="45"/>
        <v>6.5264948595707901</v>
      </c>
      <c r="R209" s="93">
        <v>41</v>
      </c>
      <c r="S209" s="114">
        <v>83</v>
      </c>
      <c r="T209" s="113">
        <f t="shared" si="46"/>
        <v>4.4188406077965983</v>
      </c>
      <c r="U209" s="112">
        <v>4.8</v>
      </c>
      <c r="V209" s="113">
        <f t="shared" si="47"/>
        <v>1.5686159179138452</v>
      </c>
      <c r="W209" s="115">
        <v>2.7</v>
      </c>
      <c r="X209" s="101">
        <f t="shared" si="48"/>
        <v>0.99325177301028345</v>
      </c>
      <c r="Y209" s="116">
        <v>552</v>
      </c>
      <c r="Z209" s="102">
        <v>21108</v>
      </c>
      <c r="AA209" s="235">
        <v>0</v>
      </c>
      <c r="AB209" s="117">
        <v>0</v>
      </c>
      <c r="AC209" s="115">
        <v>103</v>
      </c>
      <c r="AD209" s="117">
        <f t="shared" si="50"/>
        <v>4.6347289882296359</v>
      </c>
      <c r="AE209" s="109">
        <v>6995.9408999999996</v>
      </c>
      <c r="AF209" s="111">
        <f t="shared" si="51"/>
        <v>8.8530853884184193</v>
      </c>
      <c r="AG209" s="118">
        <v>31.5</v>
      </c>
      <c r="AH209" s="119">
        <v>17.306000000000001</v>
      </c>
      <c r="AI209" s="120">
        <f t="shared" si="52"/>
        <v>2.8510532621845472</v>
      </c>
      <c r="AJ209" s="121">
        <v>683</v>
      </c>
      <c r="AK209" s="120">
        <f t="shared" si="53"/>
        <v>6.5264948595707901</v>
      </c>
      <c r="AL209" s="108">
        <v>41</v>
      </c>
      <c r="AM209" s="119">
        <v>6995.94</v>
      </c>
      <c r="AN209" s="120">
        <f t="shared" si="54"/>
        <v>8.853085259772385</v>
      </c>
      <c r="AO209" s="96">
        <v>104.727</v>
      </c>
      <c r="AP209" s="94">
        <v>30.755500000000001</v>
      </c>
      <c r="AQ209" s="95">
        <v>3.4260700000000002</v>
      </c>
      <c r="AR209" s="94">
        <v>41.5</v>
      </c>
      <c r="AS209" s="95">
        <f t="shared" si="55"/>
        <v>3.7256934272366524</v>
      </c>
      <c r="AT209" s="96">
        <v>68.221999999999994</v>
      </c>
    </row>
    <row r="210" spans="1:46">
      <c r="A210" s="109">
        <v>19</v>
      </c>
      <c r="B210" s="110" t="s">
        <v>17</v>
      </c>
      <c r="C210" s="110" t="s">
        <v>16</v>
      </c>
      <c r="D210" s="111">
        <v>2020</v>
      </c>
      <c r="E210" s="109">
        <v>23.2</v>
      </c>
      <c r="F210" s="111">
        <f t="shared" si="42"/>
        <v>3.1441522786722644</v>
      </c>
      <c r="G210" s="93">
        <v>2.8141400000000001</v>
      </c>
      <c r="H210" s="93">
        <v>940000000</v>
      </c>
      <c r="I210" s="94">
        <v>14900.7</v>
      </c>
      <c r="J210" s="95">
        <v>9.6091700000000007</v>
      </c>
      <c r="K210" s="96">
        <v>0.21</v>
      </c>
      <c r="L210" s="109">
        <v>17.551000999999999</v>
      </c>
      <c r="M210" s="111">
        <f t="shared" si="43"/>
        <v>2.865110985322362</v>
      </c>
      <c r="N210" s="112">
        <v>0.93100000000000005</v>
      </c>
      <c r="O210" s="113">
        <f t="shared" si="44"/>
        <v>-7.1496001705069923E-2</v>
      </c>
      <c r="P210" s="109">
        <v>695</v>
      </c>
      <c r="Q210" s="111">
        <f t="shared" si="45"/>
        <v>6.543911845564792</v>
      </c>
      <c r="R210" s="93">
        <v>39.700001</v>
      </c>
      <c r="S210" s="114">
        <v>83.5</v>
      </c>
      <c r="T210" s="113">
        <f t="shared" si="46"/>
        <v>4.42484663185681</v>
      </c>
      <c r="U210" s="112">
        <v>5.2</v>
      </c>
      <c r="V210" s="113">
        <f t="shared" si="47"/>
        <v>1.6486586255873816</v>
      </c>
      <c r="W210" s="115">
        <v>5</v>
      </c>
      <c r="X210" s="101">
        <f t="shared" si="48"/>
        <v>1.6094379124341003</v>
      </c>
      <c r="Y210" s="116">
        <v>478</v>
      </c>
      <c r="Z210" s="102">
        <v>23720</v>
      </c>
      <c r="AA210" s="235">
        <v>0.26</v>
      </c>
      <c r="AB210" s="117">
        <f t="shared" si="49"/>
        <v>-1.3470736479666092</v>
      </c>
      <c r="AC210" s="115">
        <v>104</v>
      </c>
      <c r="AD210" s="117">
        <f t="shared" si="50"/>
        <v>4.6443908991413725</v>
      </c>
      <c r="AE210" s="109">
        <v>7534.9961000000003</v>
      </c>
      <c r="AF210" s="111">
        <f t="shared" si="51"/>
        <v>8.9273135934758567</v>
      </c>
      <c r="AG210" s="118">
        <v>32</v>
      </c>
      <c r="AH210" s="119">
        <v>17.550999999999998</v>
      </c>
      <c r="AI210" s="120">
        <f t="shared" si="52"/>
        <v>2.8651109283455529</v>
      </c>
      <c r="AJ210" s="121">
        <v>695</v>
      </c>
      <c r="AK210" s="120">
        <f t="shared" si="53"/>
        <v>6.543911845564792</v>
      </c>
      <c r="AL210" s="108">
        <v>39.700000000000003</v>
      </c>
      <c r="AM210" s="119">
        <v>7535</v>
      </c>
      <c r="AN210" s="120">
        <f t="shared" si="54"/>
        <v>8.9273141110605962</v>
      </c>
      <c r="AO210" s="96">
        <v>104.188</v>
      </c>
      <c r="AP210" s="94">
        <v>30.539100000000001</v>
      </c>
      <c r="AQ210" s="95">
        <v>3.4190100000000001</v>
      </c>
      <c r="AR210" s="94">
        <v>43.8</v>
      </c>
      <c r="AS210" s="95">
        <f t="shared" si="55"/>
        <v>3.7796338173824005</v>
      </c>
      <c r="AT210" s="96">
        <v>68.314999999999998</v>
      </c>
    </row>
    <row r="211" spans="1:46">
      <c r="A211" s="109">
        <v>20</v>
      </c>
      <c r="B211" s="110" t="s">
        <v>15</v>
      </c>
      <c r="C211" s="110" t="s">
        <v>14</v>
      </c>
      <c r="D211" s="111">
        <v>2010</v>
      </c>
      <c r="E211" s="109">
        <v>15.5</v>
      </c>
      <c r="F211" s="111">
        <f t="shared" si="42"/>
        <v>2.7408400239252009</v>
      </c>
      <c r="G211" s="93">
        <v>101.626</v>
      </c>
      <c r="H211" s="93">
        <v>9200000000</v>
      </c>
      <c r="I211" s="94">
        <v>20750.599999999999</v>
      </c>
      <c r="J211" s="95">
        <v>9.9403299999999994</v>
      </c>
      <c r="K211" s="96">
        <v>0.51</v>
      </c>
      <c r="L211" s="109">
        <v>13.776</v>
      </c>
      <c r="M211" s="111">
        <f t="shared" si="43"/>
        <v>2.6229279476853748</v>
      </c>
      <c r="N211" s="112">
        <v>2.5857000000000001</v>
      </c>
      <c r="O211" s="113">
        <f t="shared" si="44"/>
        <v>0.94999626433932627</v>
      </c>
      <c r="P211" s="109">
        <v>803</v>
      </c>
      <c r="Q211" s="111">
        <f t="shared" si="45"/>
        <v>6.6883547139467616</v>
      </c>
      <c r="R211" s="93">
        <v>8.8999995999999992</v>
      </c>
      <c r="S211" s="114">
        <v>56.4</v>
      </c>
      <c r="T211" s="113">
        <f t="shared" si="46"/>
        <v>4.0324691585040133</v>
      </c>
      <c r="U211" s="112">
        <v>5.3</v>
      </c>
      <c r="V211" s="113">
        <f t="shared" si="47"/>
        <v>1.6677068205580761</v>
      </c>
      <c r="W211" s="115">
        <v>4.9000000000000004</v>
      </c>
      <c r="X211" s="101">
        <f t="shared" si="48"/>
        <v>1.589235205116581</v>
      </c>
      <c r="Y211" s="116">
        <v>132</v>
      </c>
      <c r="Z211" s="102">
        <v>4436</v>
      </c>
      <c r="AA211" s="235">
        <v>0</v>
      </c>
      <c r="AB211" s="117">
        <v>0</v>
      </c>
      <c r="AC211" s="115">
        <v>100</v>
      </c>
      <c r="AD211" s="117">
        <f t="shared" si="50"/>
        <v>4.6051701859880918</v>
      </c>
      <c r="AE211" s="109">
        <v>7419.8339999999998</v>
      </c>
      <c r="AF211" s="111">
        <f t="shared" si="51"/>
        <v>8.9119119639435151</v>
      </c>
      <c r="AG211" s="118">
        <v>57.7</v>
      </c>
      <c r="AH211" s="119">
        <v>13.776</v>
      </c>
      <c r="AI211" s="120">
        <f t="shared" si="52"/>
        <v>2.6229279476853748</v>
      </c>
      <c r="AJ211" s="121">
        <v>803</v>
      </c>
      <c r="AK211" s="120">
        <f t="shared" si="53"/>
        <v>6.6883547139467616</v>
      </c>
      <c r="AL211" s="108">
        <v>8.9</v>
      </c>
      <c r="AM211" s="119">
        <v>7419.83</v>
      </c>
      <c r="AN211" s="120">
        <f t="shared" si="54"/>
        <v>8.9119114248477516</v>
      </c>
      <c r="AO211" s="96">
        <v>95.063800000000001</v>
      </c>
      <c r="AP211" s="94">
        <v>1295.3399999999999</v>
      </c>
      <c r="AQ211" s="95">
        <v>7.1665299999999998</v>
      </c>
      <c r="AR211" s="94">
        <v>1.2</v>
      </c>
      <c r="AS211" s="95">
        <f t="shared" si="55"/>
        <v>0.18232155679395459</v>
      </c>
      <c r="AT211" s="96">
        <v>94.072000000000003</v>
      </c>
    </row>
    <row r="212" spans="1:46">
      <c r="A212" s="109">
        <v>20</v>
      </c>
      <c r="B212" s="110" t="s">
        <v>15</v>
      </c>
      <c r="C212" s="110" t="s">
        <v>14</v>
      </c>
      <c r="D212" s="111">
        <v>2011</v>
      </c>
      <c r="E212" s="109">
        <v>15.5</v>
      </c>
      <c r="F212" s="111">
        <f t="shared" si="42"/>
        <v>2.7408400239252009</v>
      </c>
      <c r="G212" s="93">
        <v>79.748900000000006</v>
      </c>
      <c r="H212" s="93">
        <v>7800000000</v>
      </c>
      <c r="I212" s="94">
        <v>20867.8</v>
      </c>
      <c r="J212" s="95">
        <v>9.9459599999999995</v>
      </c>
      <c r="K212" s="96">
        <v>0.51</v>
      </c>
      <c r="L212" s="109">
        <v>13.589</v>
      </c>
      <c r="M212" s="111">
        <f t="shared" si="43"/>
        <v>2.6092606419383606</v>
      </c>
      <c r="N212" s="112">
        <v>1.9716</v>
      </c>
      <c r="O212" s="113">
        <f t="shared" si="44"/>
        <v>0.67884539584908565</v>
      </c>
      <c r="P212" s="109">
        <v>791</v>
      </c>
      <c r="Q212" s="111">
        <f t="shared" si="45"/>
        <v>6.6732979677676543</v>
      </c>
      <c r="R212" s="93">
        <v>15.4</v>
      </c>
      <c r="S212" s="114">
        <v>122.8</v>
      </c>
      <c r="T212" s="113">
        <f t="shared" si="46"/>
        <v>4.8105570157130417</v>
      </c>
      <c r="U212" s="112">
        <v>4.5</v>
      </c>
      <c r="V212" s="113">
        <f t="shared" si="47"/>
        <v>1.5040773967762742</v>
      </c>
      <c r="W212" s="115">
        <v>1.6</v>
      </c>
      <c r="X212" s="101">
        <f t="shared" si="48"/>
        <v>0.47000362924573563</v>
      </c>
      <c r="Y212" s="116">
        <v>144</v>
      </c>
      <c r="Z212" s="102">
        <v>4359</v>
      </c>
      <c r="AA212" s="235">
        <v>0</v>
      </c>
      <c r="AB212" s="117">
        <v>0</v>
      </c>
      <c r="AC212" s="115">
        <v>102</v>
      </c>
      <c r="AD212" s="117">
        <f t="shared" si="50"/>
        <v>4.6249728132842707</v>
      </c>
      <c r="AE212" s="109">
        <v>6626.7847000000002</v>
      </c>
      <c r="AF212" s="111">
        <f t="shared" si="51"/>
        <v>8.7988750032550538</v>
      </c>
      <c r="AG212" s="118">
        <v>62.4</v>
      </c>
      <c r="AH212" s="119">
        <v>13.589</v>
      </c>
      <c r="AI212" s="120">
        <f t="shared" si="52"/>
        <v>2.6092606419383606</v>
      </c>
      <c r="AJ212" s="121">
        <v>791</v>
      </c>
      <c r="AK212" s="120">
        <f t="shared" si="53"/>
        <v>6.6732979677676543</v>
      </c>
      <c r="AL212" s="108">
        <v>15.4</v>
      </c>
      <c r="AM212" s="119">
        <v>6626.78</v>
      </c>
      <c r="AN212" s="120">
        <f t="shared" si="54"/>
        <v>8.7988742940119007</v>
      </c>
      <c r="AO212" s="96">
        <v>109.08799999999999</v>
      </c>
      <c r="AP212" s="94">
        <v>1300.8399999999999</v>
      </c>
      <c r="AQ212" s="95">
        <v>7.1707599999999996</v>
      </c>
      <c r="AR212" s="94">
        <v>2</v>
      </c>
      <c r="AS212" s="95">
        <f t="shared" si="55"/>
        <v>0.69314718055994529</v>
      </c>
      <c r="AT212" s="96">
        <v>94.141000000000005</v>
      </c>
    </row>
    <row r="213" spans="1:46">
      <c r="A213" s="109">
        <v>20</v>
      </c>
      <c r="B213" s="110" t="s">
        <v>15</v>
      </c>
      <c r="C213" s="110" t="s">
        <v>14</v>
      </c>
      <c r="D213" s="111">
        <v>2012</v>
      </c>
      <c r="E213" s="109">
        <v>16</v>
      </c>
      <c r="F213" s="111">
        <f t="shared" si="42"/>
        <v>2.7725887222397811</v>
      </c>
      <c r="G213" s="93">
        <v>34.586500000000001</v>
      </c>
      <c r="H213" s="93">
        <v>3300000000</v>
      </c>
      <c r="I213" s="94">
        <v>21529.5</v>
      </c>
      <c r="J213" s="95">
        <v>9.9771800000000006</v>
      </c>
      <c r="K213" s="96">
        <v>0.53</v>
      </c>
      <c r="L213" s="109">
        <v>11.734</v>
      </c>
      <c r="M213" s="111">
        <f t="shared" si="43"/>
        <v>2.4624906105036684</v>
      </c>
      <c r="N213" s="112">
        <v>1.8024</v>
      </c>
      <c r="O213" s="113">
        <f t="shared" si="44"/>
        <v>0.58911911013589768</v>
      </c>
      <c r="P213" s="109">
        <v>790</v>
      </c>
      <c r="Q213" s="111">
        <f t="shared" si="45"/>
        <v>6.6720329454610674</v>
      </c>
      <c r="R213" s="93">
        <v>14.8</v>
      </c>
      <c r="S213" s="114">
        <v>71.7</v>
      </c>
      <c r="T213" s="113">
        <f t="shared" si="46"/>
        <v>4.2724907476055751</v>
      </c>
      <c r="U213" s="112">
        <v>3.9</v>
      </c>
      <c r="V213" s="113">
        <f t="shared" si="47"/>
        <v>1.3609765531356006</v>
      </c>
      <c r="W213" s="115">
        <v>1.2</v>
      </c>
      <c r="X213" s="101">
        <f t="shared" si="48"/>
        <v>0.18232155679395459</v>
      </c>
      <c r="Y213" s="116">
        <v>156</v>
      </c>
      <c r="Z213" s="102">
        <v>4361</v>
      </c>
      <c r="AA213" s="235">
        <v>0</v>
      </c>
      <c r="AB213" s="117">
        <v>0</v>
      </c>
      <c r="AC213" s="115">
        <v>107</v>
      </c>
      <c r="AD213" s="117">
        <f t="shared" si="50"/>
        <v>4.6728288344619058</v>
      </c>
      <c r="AE213" s="109">
        <v>6527.2606999999998</v>
      </c>
      <c r="AF213" s="111">
        <f t="shared" si="51"/>
        <v>8.7837426396178628</v>
      </c>
      <c r="AG213" s="118">
        <v>68.099999999999994</v>
      </c>
      <c r="AH213" s="119">
        <v>11.734</v>
      </c>
      <c r="AI213" s="120">
        <f t="shared" si="52"/>
        <v>2.4624906105036684</v>
      </c>
      <c r="AJ213" s="121">
        <v>790</v>
      </c>
      <c r="AK213" s="120">
        <f t="shared" si="53"/>
        <v>6.6720329454610674</v>
      </c>
      <c r="AL213" s="108">
        <v>14.8</v>
      </c>
      <c r="AM213" s="119">
        <v>6527.26</v>
      </c>
      <c r="AN213" s="120">
        <f t="shared" si="54"/>
        <v>8.7837425323753191</v>
      </c>
      <c r="AO213" s="96">
        <v>112.88800000000001</v>
      </c>
      <c r="AP213" s="94">
        <v>1312.59</v>
      </c>
      <c r="AQ213" s="95">
        <v>7.1797599999999999</v>
      </c>
      <c r="AR213" s="94">
        <v>2.7</v>
      </c>
      <c r="AS213" s="95">
        <f t="shared" si="55"/>
        <v>0.99325177301028345</v>
      </c>
      <c r="AT213" s="96">
        <v>94.210999999999999</v>
      </c>
    </row>
    <row r="214" spans="1:46">
      <c r="A214" s="109">
        <v>20</v>
      </c>
      <c r="B214" s="110" t="s">
        <v>15</v>
      </c>
      <c r="C214" s="110" t="s">
        <v>14</v>
      </c>
      <c r="D214" s="111">
        <v>2013</v>
      </c>
      <c r="E214" s="109">
        <v>16</v>
      </c>
      <c r="F214" s="111">
        <f t="shared" si="42"/>
        <v>2.7725887222397811</v>
      </c>
      <c r="G214" s="93">
        <v>4.7241600000000004</v>
      </c>
      <c r="H214" s="93">
        <v>510000000</v>
      </c>
      <c r="I214" s="94">
        <v>22565</v>
      </c>
      <c r="J214" s="95">
        <v>10.0242</v>
      </c>
      <c r="K214" s="96">
        <v>0.54</v>
      </c>
      <c r="L214" s="109">
        <v>12.587999999999999</v>
      </c>
      <c r="M214" s="111">
        <f t="shared" si="43"/>
        <v>2.5327439792021602</v>
      </c>
      <c r="N214" s="112">
        <v>2.2766000000000002</v>
      </c>
      <c r="O214" s="113">
        <f t="shared" si="44"/>
        <v>0.82268310190897931</v>
      </c>
      <c r="P214" s="109">
        <v>793</v>
      </c>
      <c r="Q214" s="111">
        <f t="shared" si="45"/>
        <v>6.6758232216348476</v>
      </c>
      <c r="R214" s="93">
        <v>12.5</v>
      </c>
      <c r="S214" s="114">
        <v>97.5</v>
      </c>
      <c r="T214" s="113">
        <f t="shared" si="46"/>
        <v>4.5798523780038014</v>
      </c>
      <c r="U214" s="112">
        <v>6.3</v>
      </c>
      <c r="V214" s="113">
        <f t="shared" si="47"/>
        <v>1.8405496333974869</v>
      </c>
      <c r="W214" s="115">
        <v>0.1</v>
      </c>
      <c r="X214" s="101">
        <f t="shared" si="48"/>
        <v>-2.3025850929940455</v>
      </c>
      <c r="Y214" s="116">
        <v>169</v>
      </c>
      <c r="Z214" s="102">
        <v>4365</v>
      </c>
      <c r="AA214" s="235">
        <v>0</v>
      </c>
      <c r="AB214" s="117">
        <v>0</v>
      </c>
      <c r="AC214" s="115">
        <v>110</v>
      </c>
      <c r="AD214" s="117">
        <f t="shared" si="50"/>
        <v>4.7004803657924166</v>
      </c>
      <c r="AE214" s="109">
        <v>4740.8549999999996</v>
      </c>
      <c r="AF214" s="111">
        <f t="shared" si="51"/>
        <v>8.4639727781694862</v>
      </c>
      <c r="AG214" s="118">
        <v>68.8</v>
      </c>
      <c r="AH214" s="119">
        <v>12.587999999999999</v>
      </c>
      <c r="AI214" s="120">
        <f t="shared" si="52"/>
        <v>2.5327439792021602</v>
      </c>
      <c r="AJ214" s="121">
        <v>793</v>
      </c>
      <c r="AK214" s="120">
        <f t="shared" si="53"/>
        <v>6.6758232216348476</v>
      </c>
      <c r="AL214" s="108">
        <v>12.5</v>
      </c>
      <c r="AM214" s="119">
        <v>4740.8500000000004</v>
      </c>
      <c r="AN214" s="120">
        <f t="shared" si="54"/>
        <v>8.4639717235068499</v>
      </c>
      <c r="AO214" s="96">
        <v>90.573300000000003</v>
      </c>
      <c r="AP214" s="94">
        <v>1331.15</v>
      </c>
      <c r="AQ214" s="95">
        <v>7.1938000000000004</v>
      </c>
      <c r="AR214" s="94">
        <v>3.2</v>
      </c>
      <c r="AS214" s="95">
        <f t="shared" si="55"/>
        <v>1.1631508098056809</v>
      </c>
      <c r="AT214" s="96">
        <v>94.278999999999996</v>
      </c>
    </row>
    <row r="215" spans="1:46">
      <c r="A215" s="109">
        <v>20</v>
      </c>
      <c r="B215" s="110" t="s">
        <v>15</v>
      </c>
      <c r="C215" s="110" t="s">
        <v>14</v>
      </c>
      <c r="D215" s="111">
        <v>2014</v>
      </c>
      <c r="E215" s="109">
        <v>15.4</v>
      </c>
      <c r="F215" s="111">
        <f t="shared" si="42"/>
        <v>2.7343675094195836</v>
      </c>
      <c r="G215" s="93">
        <v>1.3112200000000001</v>
      </c>
      <c r="H215" s="93">
        <v>160000000</v>
      </c>
      <c r="I215" s="94">
        <v>23806.799999999999</v>
      </c>
      <c r="J215" s="95">
        <v>10.0777</v>
      </c>
      <c r="K215" s="96">
        <v>0.53</v>
      </c>
      <c r="L215" s="109">
        <v>11.731999999999999</v>
      </c>
      <c r="M215" s="111">
        <f t="shared" si="43"/>
        <v>2.4623201511152044</v>
      </c>
      <c r="N215" s="112">
        <v>1.7686999999999999</v>
      </c>
      <c r="O215" s="113">
        <f t="shared" si="44"/>
        <v>0.57024481345861089</v>
      </c>
      <c r="P215" s="109">
        <v>721</v>
      </c>
      <c r="Q215" s="111">
        <f t="shared" si="45"/>
        <v>6.5806391372849493</v>
      </c>
      <c r="R215" s="93">
        <v>11.7</v>
      </c>
      <c r="S215" s="114">
        <v>107.1</v>
      </c>
      <c r="T215" s="113">
        <f t="shared" si="46"/>
        <v>4.6737629774537028</v>
      </c>
      <c r="U215" s="112">
        <v>6.4</v>
      </c>
      <c r="V215" s="113">
        <f t="shared" si="47"/>
        <v>1.8562979903656263</v>
      </c>
      <c r="W215" s="115">
        <v>4.5999999999999996</v>
      </c>
      <c r="X215" s="101">
        <f t="shared" si="48"/>
        <v>1.5260563034950492</v>
      </c>
      <c r="Y215" s="116">
        <v>181</v>
      </c>
      <c r="Z215" s="102">
        <v>4393</v>
      </c>
      <c r="AA215" s="235">
        <v>1.73</v>
      </c>
      <c r="AB215" s="117">
        <f t="shared" si="49"/>
        <v>0.5481214085096876</v>
      </c>
      <c r="AC215" s="115">
        <v>114</v>
      </c>
      <c r="AD215" s="117">
        <f t="shared" si="50"/>
        <v>4.7361984483944957</v>
      </c>
      <c r="AE215" s="109">
        <v>3936.3499000000002</v>
      </c>
      <c r="AF215" s="111">
        <f t="shared" si="51"/>
        <v>8.2780091515787309</v>
      </c>
      <c r="AG215" s="118">
        <v>74</v>
      </c>
      <c r="AH215" s="119">
        <v>11.731999999999999</v>
      </c>
      <c r="AI215" s="120">
        <f t="shared" si="52"/>
        <v>2.4623201511152044</v>
      </c>
      <c r="AJ215" s="121">
        <v>721</v>
      </c>
      <c r="AK215" s="120">
        <f t="shared" si="53"/>
        <v>6.5806391372849493</v>
      </c>
      <c r="AL215" s="108">
        <v>11.7</v>
      </c>
      <c r="AM215" s="119">
        <v>3936.35</v>
      </c>
      <c r="AN215" s="120">
        <f t="shared" si="54"/>
        <v>8.2780091769829767</v>
      </c>
      <c r="AO215" s="96">
        <v>81.821799999999996</v>
      </c>
      <c r="AP215" s="94">
        <v>1357.99</v>
      </c>
      <c r="AQ215" s="95">
        <v>7.2137599999999997</v>
      </c>
      <c r="AR215" s="94">
        <v>4.5</v>
      </c>
      <c r="AS215" s="95">
        <f t="shared" si="55"/>
        <v>1.5040773967762742</v>
      </c>
      <c r="AT215" s="96">
        <v>94.346999999999994</v>
      </c>
    </row>
    <row r="216" spans="1:46">
      <c r="A216" s="109">
        <v>20</v>
      </c>
      <c r="B216" s="110" t="s">
        <v>15</v>
      </c>
      <c r="C216" s="110" t="s">
        <v>14</v>
      </c>
      <c r="D216" s="111">
        <v>2015</v>
      </c>
      <c r="E216" s="109">
        <v>16.2</v>
      </c>
      <c r="F216" s="111">
        <f t="shared" si="42"/>
        <v>2.7850112422383382</v>
      </c>
      <c r="G216" s="93">
        <v>32.102699999999999</v>
      </c>
      <c r="H216" s="93">
        <v>3600000000</v>
      </c>
      <c r="I216" s="94">
        <v>25481.9</v>
      </c>
      <c r="J216" s="95">
        <v>10.1457</v>
      </c>
      <c r="K216" s="96">
        <v>0.54</v>
      </c>
      <c r="L216" s="109">
        <v>13.973000000000001</v>
      </c>
      <c r="M216" s="111">
        <f t="shared" si="43"/>
        <v>2.637126896098311</v>
      </c>
      <c r="N216" s="112">
        <v>1.627</v>
      </c>
      <c r="O216" s="113">
        <f t="shared" si="44"/>
        <v>0.48673782823690076</v>
      </c>
      <c r="P216" s="109">
        <v>271</v>
      </c>
      <c r="Q216" s="111">
        <f t="shared" si="45"/>
        <v>5.602118820879701</v>
      </c>
      <c r="R216" s="93">
        <v>10.9</v>
      </c>
      <c r="S216" s="114">
        <v>65.099999999999994</v>
      </c>
      <c r="T216" s="113">
        <f t="shared" si="46"/>
        <v>4.1759245492145238</v>
      </c>
      <c r="U216" s="112">
        <v>4.5999999999999996</v>
      </c>
      <c r="V216" s="113">
        <f t="shared" si="47"/>
        <v>1.5260563034950492</v>
      </c>
      <c r="W216" s="115">
        <v>2.8</v>
      </c>
      <c r="X216" s="101">
        <f t="shared" si="48"/>
        <v>1.0296194171811581</v>
      </c>
      <c r="Y216" s="116">
        <v>195</v>
      </c>
      <c r="Z216" s="102">
        <v>4474</v>
      </c>
      <c r="AA216" s="235">
        <v>2.25</v>
      </c>
      <c r="AB216" s="117">
        <f t="shared" si="49"/>
        <v>0.81093021621632877</v>
      </c>
      <c r="AC216" s="115">
        <v>117</v>
      </c>
      <c r="AD216" s="117">
        <f t="shared" si="50"/>
        <v>4.7621739347977563</v>
      </c>
      <c r="AE216" s="109">
        <v>4136.3095999999996</v>
      </c>
      <c r="AF216" s="111">
        <f t="shared" si="51"/>
        <v>8.3275592683190762</v>
      </c>
      <c r="AG216" s="118">
        <v>74.599999999999994</v>
      </c>
      <c r="AH216" s="119">
        <v>13.973000000000001</v>
      </c>
      <c r="AI216" s="120">
        <f t="shared" si="52"/>
        <v>2.637126896098311</v>
      </c>
      <c r="AJ216" s="121">
        <v>271</v>
      </c>
      <c r="AK216" s="120">
        <f t="shared" si="53"/>
        <v>5.602118820879701</v>
      </c>
      <c r="AL216" s="108">
        <v>10.9</v>
      </c>
      <c r="AM216" s="119">
        <v>4136.3100000000004</v>
      </c>
      <c r="AN216" s="120">
        <f t="shared" si="54"/>
        <v>8.3275593650236317</v>
      </c>
      <c r="AO216" s="96">
        <v>76.211600000000004</v>
      </c>
      <c r="AP216" s="94">
        <v>1390.79</v>
      </c>
      <c r="AQ216" s="95">
        <v>7.2376300000000002</v>
      </c>
      <c r="AR216" s="94">
        <v>6</v>
      </c>
      <c r="AS216" s="95">
        <f t="shared" si="55"/>
        <v>1.791759469228055</v>
      </c>
      <c r="AT216" s="96">
        <v>94.414000000000001</v>
      </c>
    </row>
    <row r="217" spans="1:46">
      <c r="A217" s="109">
        <v>20</v>
      </c>
      <c r="B217" s="110" t="s">
        <v>15</v>
      </c>
      <c r="C217" s="110" t="s">
        <v>14</v>
      </c>
      <c r="D217" s="111">
        <v>2016</v>
      </c>
      <c r="E217" s="109">
        <v>15.2</v>
      </c>
      <c r="F217" s="111">
        <f t="shared" si="42"/>
        <v>2.7212954278522306</v>
      </c>
      <c r="G217" s="93">
        <v>23.084</v>
      </c>
      <c r="H217" s="93">
        <v>2800000000</v>
      </c>
      <c r="I217" s="94">
        <v>25920.9</v>
      </c>
      <c r="J217" s="95">
        <v>10.162800000000001</v>
      </c>
      <c r="K217" s="96">
        <v>0.52</v>
      </c>
      <c r="L217" s="109">
        <v>11.981</v>
      </c>
      <c r="M217" s="111">
        <f t="shared" si="43"/>
        <v>2.4833220616577618</v>
      </c>
      <c r="N217" s="112">
        <v>1.671</v>
      </c>
      <c r="O217" s="113">
        <f t="shared" si="44"/>
        <v>0.51342224961325666</v>
      </c>
      <c r="P217" s="109">
        <v>305</v>
      </c>
      <c r="Q217" s="111">
        <f t="shared" si="45"/>
        <v>5.7203117766074119</v>
      </c>
      <c r="R217" s="93">
        <v>12.7</v>
      </c>
      <c r="S217" s="114">
        <v>103.4</v>
      </c>
      <c r="T217" s="113">
        <f t="shared" si="46"/>
        <v>4.6386049620743286</v>
      </c>
      <c r="U217" s="112">
        <v>4.2</v>
      </c>
      <c r="V217" s="113">
        <f t="shared" si="47"/>
        <v>1.4350845252893227</v>
      </c>
      <c r="W217" s="115">
        <v>0.3</v>
      </c>
      <c r="X217" s="101">
        <f t="shared" si="48"/>
        <v>-1.2039728043259361</v>
      </c>
      <c r="Y217" s="116">
        <v>246</v>
      </c>
      <c r="Z217" s="102">
        <v>4749</v>
      </c>
      <c r="AA217" s="235">
        <v>0</v>
      </c>
      <c r="AB217" s="117">
        <v>0</v>
      </c>
      <c r="AC217" s="115">
        <v>124</v>
      </c>
      <c r="AD217" s="117">
        <f t="shared" si="50"/>
        <v>4.8202815656050371</v>
      </c>
      <c r="AE217" s="109">
        <v>4247.5298000000003</v>
      </c>
      <c r="AF217" s="111">
        <f t="shared" si="51"/>
        <v>8.3540928694131775</v>
      </c>
      <c r="AG217" s="118">
        <v>75.3</v>
      </c>
      <c r="AH217" s="119">
        <v>11.981</v>
      </c>
      <c r="AI217" s="120">
        <f t="shared" si="52"/>
        <v>2.4833220616577618</v>
      </c>
      <c r="AJ217" s="121">
        <v>305</v>
      </c>
      <c r="AK217" s="120">
        <f t="shared" si="53"/>
        <v>5.7203117766074119</v>
      </c>
      <c r="AL217" s="108">
        <v>12.7</v>
      </c>
      <c r="AM217" s="119">
        <v>4247.53</v>
      </c>
      <c r="AN217" s="120">
        <f t="shared" si="54"/>
        <v>8.3540929164993667</v>
      </c>
      <c r="AO217" s="96">
        <v>80.0779</v>
      </c>
      <c r="AP217" s="94">
        <v>1422.99</v>
      </c>
      <c r="AQ217" s="95">
        <v>7.26051</v>
      </c>
      <c r="AR217" s="94">
        <v>9.1999999999999993</v>
      </c>
      <c r="AS217" s="95">
        <f t="shared" si="55"/>
        <v>2.2192034840549946</v>
      </c>
      <c r="AT217" s="96">
        <v>94.48</v>
      </c>
    </row>
    <row r="218" spans="1:46">
      <c r="A218" s="109">
        <v>20</v>
      </c>
      <c r="B218" s="110" t="s">
        <v>15</v>
      </c>
      <c r="C218" s="110" t="s">
        <v>14</v>
      </c>
      <c r="D218" s="111">
        <v>2017</v>
      </c>
      <c r="E218" s="109">
        <v>15.7</v>
      </c>
      <c r="F218" s="111">
        <f t="shared" si="42"/>
        <v>2.7536607123542622</v>
      </c>
      <c r="G218" s="93">
        <v>299.82499999999999</v>
      </c>
      <c r="H218" s="93">
        <v>42000000000</v>
      </c>
      <c r="I218" s="94">
        <v>28492.3</v>
      </c>
      <c r="J218" s="95">
        <v>10.257400000000001</v>
      </c>
      <c r="K218" s="96">
        <v>0.56000000000000005</v>
      </c>
      <c r="L218" s="109">
        <v>10.78</v>
      </c>
      <c r="M218" s="111">
        <f t="shared" si="43"/>
        <v>2.3776925654808512</v>
      </c>
      <c r="N218" s="112">
        <v>2.1501000000000001</v>
      </c>
      <c r="O218" s="113">
        <f t="shared" si="44"/>
        <v>0.76551435268584622</v>
      </c>
      <c r="P218" s="109">
        <v>343</v>
      </c>
      <c r="Q218" s="111">
        <f t="shared" si="45"/>
        <v>5.8377304471659395</v>
      </c>
      <c r="R218" s="93">
        <v>11.5</v>
      </c>
      <c r="S218" s="114">
        <v>72.099999999999994</v>
      </c>
      <c r="T218" s="113">
        <f t="shared" si="46"/>
        <v>4.2780540442909034</v>
      </c>
      <c r="U218" s="112">
        <v>6.5</v>
      </c>
      <c r="V218" s="113">
        <f t="shared" si="47"/>
        <v>1.8718021769015913</v>
      </c>
      <c r="W218" s="115">
        <v>2.9</v>
      </c>
      <c r="X218" s="101">
        <f t="shared" si="48"/>
        <v>1.0647107369924282</v>
      </c>
      <c r="Y218" s="116">
        <v>297</v>
      </c>
      <c r="Z218" s="102">
        <v>4809</v>
      </c>
      <c r="AA218" s="235">
        <v>0</v>
      </c>
      <c r="AB218" s="117">
        <v>0</v>
      </c>
      <c r="AC218" s="115">
        <v>133</v>
      </c>
      <c r="AD218" s="117">
        <f t="shared" si="50"/>
        <v>4.8903491282217537</v>
      </c>
      <c r="AE218" s="109">
        <v>5349.6162000000004</v>
      </c>
      <c r="AF218" s="111">
        <f t="shared" si="51"/>
        <v>8.58478009899898</v>
      </c>
      <c r="AG218" s="118">
        <v>77.099999999999994</v>
      </c>
      <c r="AH218" s="119">
        <v>10.78</v>
      </c>
      <c r="AI218" s="120">
        <f t="shared" si="52"/>
        <v>2.3776925654808512</v>
      </c>
      <c r="AJ218" s="121">
        <v>343</v>
      </c>
      <c r="AK218" s="120">
        <f t="shared" si="53"/>
        <v>5.8377304471659395</v>
      </c>
      <c r="AL218" s="108">
        <v>11.5</v>
      </c>
      <c r="AM218" s="119">
        <v>5349.62</v>
      </c>
      <c r="AN218" s="120">
        <f t="shared" si="54"/>
        <v>8.5847808093300593</v>
      </c>
      <c r="AO218" s="96">
        <v>62.529299999999999</v>
      </c>
      <c r="AP218" s="94">
        <v>1462.5</v>
      </c>
      <c r="AQ218" s="95">
        <v>7.2878999999999996</v>
      </c>
      <c r="AR218" s="94">
        <v>7.3</v>
      </c>
      <c r="AS218" s="95">
        <f t="shared" si="55"/>
        <v>1.9878743481543455</v>
      </c>
      <c r="AT218" s="96">
        <v>94.546000000000006</v>
      </c>
    </row>
    <row r="219" spans="1:46">
      <c r="A219" s="109">
        <v>20</v>
      </c>
      <c r="B219" s="110" t="s">
        <v>15</v>
      </c>
      <c r="C219" s="110" t="s">
        <v>14</v>
      </c>
      <c r="D219" s="111">
        <v>2018</v>
      </c>
      <c r="E219" s="109">
        <v>16</v>
      </c>
      <c r="F219" s="111">
        <f t="shared" si="42"/>
        <v>2.7725887222397811</v>
      </c>
      <c r="G219" s="93">
        <v>452.221</v>
      </c>
      <c r="H219" s="93">
        <v>73000000000</v>
      </c>
      <c r="I219" s="94">
        <v>29492.6</v>
      </c>
      <c r="J219" s="95">
        <v>10.2919</v>
      </c>
      <c r="K219" s="96">
        <v>0.53</v>
      </c>
      <c r="L219" s="109">
        <v>9.9980001000000005</v>
      </c>
      <c r="M219" s="111">
        <f t="shared" si="43"/>
        <v>2.302385082993379</v>
      </c>
      <c r="N219" s="112">
        <v>1.9567000000000001</v>
      </c>
      <c r="O219" s="113">
        <f t="shared" si="44"/>
        <v>0.67125938080191605</v>
      </c>
      <c r="P219" s="109">
        <v>304</v>
      </c>
      <c r="Q219" s="111">
        <f t="shared" si="45"/>
        <v>5.7170277014062219</v>
      </c>
      <c r="R219" s="93">
        <v>10.4</v>
      </c>
      <c r="S219" s="114">
        <v>73.599999999999994</v>
      </c>
      <c r="T219" s="113">
        <f t="shared" si="46"/>
        <v>4.2986450257348308</v>
      </c>
      <c r="U219" s="112">
        <v>8.3000000000000007</v>
      </c>
      <c r="V219" s="113">
        <f t="shared" si="47"/>
        <v>2.1162555148025524</v>
      </c>
      <c r="W219" s="115">
        <v>0.1</v>
      </c>
      <c r="X219" s="101">
        <f t="shared" si="48"/>
        <v>-2.3025850929940455</v>
      </c>
      <c r="Y219" s="116">
        <v>348</v>
      </c>
      <c r="Z219" s="102">
        <v>4949</v>
      </c>
      <c r="AA219" s="235">
        <v>0</v>
      </c>
      <c r="AB219" s="117">
        <v>0</v>
      </c>
      <c r="AC219" s="115">
        <v>136</v>
      </c>
      <c r="AD219" s="117">
        <f t="shared" si="50"/>
        <v>4.9126548857360524</v>
      </c>
      <c r="AE219" s="109">
        <v>4737.8915999999999</v>
      </c>
      <c r="AF219" s="111">
        <f t="shared" si="51"/>
        <v>8.463347505605169</v>
      </c>
      <c r="AG219" s="118">
        <v>75.099999999999994</v>
      </c>
      <c r="AH219" s="119">
        <v>9.9979999999999993</v>
      </c>
      <c r="AI219" s="120">
        <f t="shared" si="52"/>
        <v>2.3023850729913784</v>
      </c>
      <c r="AJ219" s="121">
        <v>304</v>
      </c>
      <c r="AK219" s="120">
        <f t="shared" si="53"/>
        <v>5.7170277014062219</v>
      </c>
      <c r="AL219" s="108">
        <v>10.4</v>
      </c>
      <c r="AM219" s="119">
        <v>4737.8900000000003</v>
      </c>
      <c r="AN219" s="120">
        <f t="shared" si="54"/>
        <v>8.4633471679021568</v>
      </c>
      <c r="AO219" s="96">
        <v>61.663600000000002</v>
      </c>
      <c r="AP219" s="94">
        <v>1514.47</v>
      </c>
      <c r="AQ219" s="95">
        <v>7.3228200000000001</v>
      </c>
      <c r="AR219" s="94">
        <v>7.6</v>
      </c>
      <c r="AS219" s="95">
        <f t="shared" si="55"/>
        <v>2.0281482472922852</v>
      </c>
      <c r="AT219" s="96">
        <v>94.611999999999995</v>
      </c>
    </row>
    <row r="220" spans="1:46">
      <c r="A220" s="109">
        <v>20</v>
      </c>
      <c r="B220" s="110" t="s">
        <v>15</v>
      </c>
      <c r="C220" s="110" t="s">
        <v>14</v>
      </c>
      <c r="D220" s="111">
        <v>2019</v>
      </c>
      <c r="E220" s="109">
        <v>16.8</v>
      </c>
      <c r="F220" s="111">
        <f t="shared" si="42"/>
        <v>2.8213788864092133</v>
      </c>
      <c r="G220" s="93">
        <v>198.2</v>
      </c>
      <c r="H220" s="93">
        <v>32000000000</v>
      </c>
      <c r="I220" s="94">
        <v>29513.9</v>
      </c>
      <c r="J220" s="95">
        <v>10.2926</v>
      </c>
      <c r="K220" s="96">
        <v>0.52</v>
      </c>
      <c r="L220" s="109">
        <v>10.988</v>
      </c>
      <c r="M220" s="111">
        <f t="shared" si="43"/>
        <v>2.3968037682330272</v>
      </c>
      <c r="N220" s="112">
        <v>2.2004000000000001</v>
      </c>
      <c r="O220" s="113">
        <f t="shared" si="44"/>
        <v>0.78863916201916606</v>
      </c>
      <c r="P220" s="109">
        <v>318</v>
      </c>
      <c r="Q220" s="111">
        <f t="shared" si="45"/>
        <v>5.7620513827801769</v>
      </c>
      <c r="R220" s="93">
        <v>9.1000004000000008</v>
      </c>
      <c r="S220" s="114">
        <v>59.8</v>
      </c>
      <c r="T220" s="113">
        <f t="shared" si="46"/>
        <v>4.0910056609565864</v>
      </c>
      <c r="U220" s="112">
        <v>12.8</v>
      </c>
      <c r="V220" s="113">
        <f t="shared" si="47"/>
        <v>2.5494451709255714</v>
      </c>
      <c r="W220" s="115">
        <v>0.3</v>
      </c>
      <c r="X220" s="101">
        <f t="shared" si="48"/>
        <v>-1.2039728043259361</v>
      </c>
      <c r="Y220" s="116">
        <v>414</v>
      </c>
      <c r="Z220" s="102">
        <v>5029</v>
      </c>
      <c r="AA220" s="235">
        <v>0</v>
      </c>
      <c r="AB220" s="117">
        <v>0</v>
      </c>
      <c r="AC220" s="115">
        <v>142</v>
      </c>
      <c r="AD220" s="117">
        <f t="shared" si="50"/>
        <v>4.9558270576012609</v>
      </c>
      <c r="AE220" s="109">
        <v>12672.775</v>
      </c>
      <c r="AF220" s="111">
        <f t="shared" si="51"/>
        <v>9.4472112706437006</v>
      </c>
      <c r="AG220" s="118">
        <v>70.099999999999994</v>
      </c>
      <c r="AH220" s="119">
        <v>10.988</v>
      </c>
      <c r="AI220" s="120">
        <f t="shared" si="52"/>
        <v>2.3968037682330272</v>
      </c>
      <c r="AJ220" s="121">
        <v>318</v>
      </c>
      <c r="AK220" s="120">
        <f t="shared" si="53"/>
        <v>5.7620513827801769</v>
      </c>
      <c r="AL220" s="108">
        <v>9.1</v>
      </c>
      <c r="AM220" s="119">
        <v>12672.8</v>
      </c>
      <c r="AN220" s="120">
        <f t="shared" si="54"/>
        <v>9.447213243374641</v>
      </c>
      <c r="AO220" s="96">
        <v>64.6721</v>
      </c>
      <c r="AP220" s="94">
        <v>1575.19</v>
      </c>
      <c r="AQ220" s="95">
        <v>7.3621299999999996</v>
      </c>
      <c r="AR220" s="94">
        <v>7.4</v>
      </c>
      <c r="AS220" s="95">
        <f t="shared" si="55"/>
        <v>2.0014800002101243</v>
      </c>
      <c r="AT220" s="96">
        <v>94.677999999999997</v>
      </c>
    </row>
    <row r="221" spans="1:46">
      <c r="A221" s="109">
        <v>20</v>
      </c>
      <c r="B221" s="110" t="s">
        <v>15</v>
      </c>
      <c r="C221" s="110" t="s">
        <v>14</v>
      </c>
      <c r="D221" s="111">
        <v>2020</v>
      </c>
      <c r="E221" s="109">
        <v>17.2</v>
      </c>
      <c r="F221" s="111">
        <f t="shared" si="42"/>
        <v>2.8449093838194073</v>
      </c>
      <c r="G221" s="93">
        <v>192.14099999999999</v>
      </c>
      <c r="H221" s="93">
        <v>31000000000</v>
      </c>
      <c r="I221" s="94">
        <v>27865.3</v>
      </c>
      <c r="J221" s="95">
        <v>10.235099999999999</v>
      </c>
      <c r="K221" s="96">
        <v>0.53</v>
      </c>
      <c r="L221" s="109">
        <v>11.098000000000001</v>
      </c>
      <c r="M221" s="111">
        <f t="shared" si="43"/>
        <v>2.4067649119037098</v>
      </c>
      <c r="N221" s="112">
        <v>1.8367</v>
      </c>
      <c r="O221" s="113">
        <f t="shared" si="44"/>
        <v>0.60797048315235225</v>
      </c>
      <c r="P221" s="109">
        <v>320</v>
      </c>
      <c r="Q221" s="111">
        <f t="shared" si="45"/>
        <v>5.768320995793772</v>
      </c>
      <c r="R221" s="93">
        <v>10.9</v>
      </c>
      <c r="S221" s="114">
        <v>58.3</v>
      </c>
      <c r="T221" s="113">
        <f t="shared" si="46"/>
        <v>4.0656020933564463</v>
      </c>
      <c r="U221" s="112">
        <v>16.5</v>
      </c>
      <c r="V221" s="113">
        <f t="shared" si="47"/>
        <v>2.8033603809065348</v>
      </c>
      <c r="W221" s="115">
        <v>0.2</v>
      </c>
      <c r="X221" s="101">
        <f t="shared" si="48"/>
        <v>-1.6094379124341003</v>
      </c>
      <c r="Y221" s="116">
        <v>389</v>
      </c>
      <c r="Z221" s="102">
        <v>4857</v>
      </c>
      <c r="AA221" s="235">
        <v>0</v>
      </c>
      <c r="AB221" s="117">
        <v>0</v>
      </c>
      <c r="AC221" s="115">
        <v>140</v>
      </c>
      <c r="AD221" s="117">
        <f t="shared" si="50"/>
        <v>4.9416424226093039</v>
      </c>
      <c r="AE221" s="109">
        <v>12579.778</v>
      </c>
      <c r="AF221" s="111">
        <f t="shared" si="51"/>
        <v>9.4398458830398972</v>
      </c>
      <c r="AG221" s="118">
        <v>69.3</v>
      </c>
      <c r="AH221" s="119">
        <v>11.098000000000001</v>
      </c>
      <c r="AI221" s="120">
        <f t="shared" si="52"/>
        <v>2.4067649119037098</v>
      </c>
      <c r="AJ221" s="121">
        <v>320</v>
      </c>
      <c r="AK221" s="120">
        <f t="shared" si="53"/>
        <v>5.768320995793772</v>
      </c>
      <c r="AL221" s="108">
        <v>10.9</v>
      </c>
      <c r="AM221" s="119">
        <v>12579.8</v>
      </c>
      <c r="AN221" s="120">
        <f t="shared" si="54"/>
        <v>9.4398476318768605</v>
      </c>
      <c r="AO221" s="96">
        <v>52.209499999999998</v>
      </c>
      <c r="AP221" s="94">
        <v>1610.41</v>
      </c>
      <c r="AQ221" s="95">
        <v>7.3842499999999998</v>
      </c>
      <c r="AR221" s="94">
        <v>9.1999999999999993</v>
      </c>
      <c r="AS221" s="95">
        <f t="shared" si="55"/>
        <v>2.2192034840549946</v>
      </c>
      <c r="AT221" s="96">
        <v>94.744</v>
      </c>
    </row>
    <row r="222" spans="1:46">
      <c r="A222" s="109">
        <v>21</v>
      </c>
      <c r="B222" s="110" t="s">
        <v>13</v>
      </c>
      <c r="C222" s="110" t="s">
        <v>12</v>
      </c>
      <c r="D222" s="111">
        <v>2010</v>
      </c>
      <c r="E222" s="109">
        <v>25</v>
      </c>
      <c r="F222" s="111">
        <f t="shared" si="42"/>
        <v>3.2188758248682006</v>
      </c>
      <c r="G222" s="93">
        <v>6.2507599999999996</v>
      </c>
      <c r="H222" s="93">
        <v>53000000000</v>
      </c>
      <c r="I222" s="94">
        <v>44659.3</v>
      </c>
      <c r="J222" s="95">
        <v>10.706799999999999</v>
      </c>
      <c r="K222" s="96">
        <v>0.81</v>
      </c>
      <c r="L222" s="109">
        <v>11.702</v>
      </c>
      <c r="M222" s="111">
        <f t="shared" si="43"/>
        <v>2.4597597673660445</v>
      </c>
      <c r="N222" s="112">
        <v>3.5455000000000001</v>
      </c>
      <c r="O222" s="113">
        <f t="shared" si="44"/>
        <v>1.2656791937619143</v>
      </c>
      <c r="P222" s="109">
        <v>410</v>
      </c>
      <c r="Q222" s="111">
        <f t="shared" si="45"/>
        <v>6.0161571596983539</v>
      </c>
      <c r="R222" s="93">
        <v>49.200001</v>
      </c>
      <c r="S222" s="114">
        <v>79.900000000000006</v>
      </c>
      <c r="T222" s="113">
        <f t="shared" si="46"/>
        <v>4.3807758527722287</v>
      </c>
      <c r="U222" s="112">
        <v>25.5</v>
      </c>
      <c r="V222" s="113">
        <f t="shared" si="47"/>
        <v>3.2386784521643803</v>
      </c>
      <c r="W222" s="115">
        <v>19598.2</v>
      </c>
      <c r="X222" s="101">
        <f t="shared" si="48"/>
        <v>9.8831930042666638</v>
      </c>
      <c r="Y222" s="116">
        <v>7212</v>
      </c>
      <c r="Z222" s="102">
        <v>97728</v>
      </c>
      <c r="AA222" s="235">
        <v>0.68</v>
      </c>
      <c r="AB222" s="117">
        <f t="shared" si="49"/>
        <v>-0.38566248081198462</v>
      </c>
      <c r="AC222" s="115">
        <v>100</v>
      </c>
      <c r="AD222" s="117">
        <f t="shared" si="50"/>
        <v>4.6051701859880918</v>
      </c>
      <c r="AE222" s="109">
        <v>10571.016</v>
      </c>
      <c r="AF222" s="111">
        <f t="shared" si="51"/>
        <v>9.2658711953423918</v>
      </c>
      <c r="AG222" s="118">
        <v>72.3</v>
      </c>
      <c r="AH222" s="119">
        <v>11.702</v>
      </c>
      <c r="AI222" s="120">
        <f t="shared" si="52"/>
        <v>2.4597597673660445</v>
      </c>
      <c r="AJ222" s="121">
        <v>410</v>
      </c>
      <c r="AK222" s="120">
        <f t="shared" si="53"/>
        <v>6.0161571596983539</v>
      </c>
      <c r="AL222" s="108">
        <v>49.2</v>
      </c>
      <c r="AM222" s="119">
        <v>10571</v>
      </c>
      <c r="AN222" s="120">
        <f t="shared" si="54"/>
        <v>9.2658696817686632</v>
      </c>
      <c r="AO222" s="96">
        <v>127.94199999999999</v>
      </c>
      <c r="AP222" s="94">
        <v>492.6</v>
      </c>
      <c r="AQ222" s="95">
        <v>6.1997</v>
      </c>
      <c r="AR222" s="94">
        <v>3.9</v>
      </c>
      <c r="AS222" s="95">
        <f t="shared" si="55"/>
        <v>1.3609765531356006</v>
      </c>
      <c r="AT222" s="96">
        <v>87.134</v>
      </c>
    </row>
    <row r="223" spans="1:46">
      <c r="A223" s="109">
        <v>21</v>
      </c>
      <c r="B223" s="110" t="s">
        <v>13</v>
      </c>
      <c r="C223" s="110" t="s">
        <v>12</v>
      </c>
      <c r="D223" s="111">
        <v>2011</v>
      </c>
      <c r="E223" s="109">
        <v>25.5</v>
      </c>
      <c r="F223" s="111">
        <f t="shared" si="42"/>
        <v>3.2386784521643803</v>
      </c>
      <c r="G223" s="93">
        <v>38.813299999999998</v>
      </c>
      <c r="H223" s="93">
        <v>350000000000</v>
      </c>
      <c r="I223" s="94">
        <v>45239.7</v>
      </c>
      <c r="J223" s="95">
        <v>10.7197</v>
      </c>
      <c r="K223" s="96">
        <v>0.78</v>
      </c>
      <c r="L223" s="109">
        <v>11.914999999999999</v>
      </c>
      <c r="M223" s="111">
        <f t="shared" si="43"/>
        <v>2.4777981105507054</v>
      </c>
      <c r="N223" s="112">
        <v>3.6305999999999998</v>
      </c>
      <c r="O223" s="113">
        <f t="shared" si="44"/>
        <v>1.2893979238741937</v>
      </c>
      <c r="P223" s="109">
        <v>411</v>
      </c>
      <c r="Q223" s="111">
        <f t="shared" si="45"/>
        <v>6.0185932144962342</v>
      </c>
      <c r="R223" s="93">
        <v>49.099997999999999</v>
      </c>
      <c r="S223" s="114">
        <v>81.8</v>
      </c>
      <c r="T223" s="113">
        <f t="shared" si="46"/>
        <v>4.4042772436087017</v>
      </c>
      <c r="U223" s="112">
        <v>25</v>
      </c>
      <c r="V223" s="113">
        <f t="shared" si="47"/>
        <v>3.2188758248682006</v>
      </c>
      <c r="W223" s="115">
        <v>22106.2</v>
      </c>
      <c r="X223" s="101">
        <f t="shared" si="48"/>
        <v>10.003613391147445</v>
      </c>
      <c r="Y223" s="116">
        <v>7245</v>
      </c>
      <c r="Z223" s="102">
        <v>98805</v>
      </c>
      <c r="AA223" s="235">
        <v>1.1100000000000001</v>
      </c>
      <c r="AB223" s="117">
        <f t="shared" si="49"/>
        <v>0.10436001532424286</v>
      </c>
      <c r="AC223" s="115">
        <v>97</v>
      </c>
      <c r="AD223" s="117">
        <f t="shared" si="50"/>
        <v>4.5747109785033828</v>
      </c>
      <c r="AE223" s="109">
        <v>10515.981</v>
      </c>
      <c r="AF223" s="111">
        <f t="shared" si="51"/>
        <v>9.2606513790775047</v>
      </c>
      <c r="AG223" s="118">
        <v>72.5</v>
      </c>
      <c r="AH223" s="119">
        <v>11.914999999999999</v>
      </c>
      <c r="AI223" s="120">
        <f t="shared" si="52"/>
        <v>2.4777981105507054</v>
      </c>
      <c r="AJ223" s="121">
        <v>411</v>
      </c>
      <c r="AK223" s="120">
        <f t="shared" si="53"/>
        <v>6.0185932144962342</v>
      </c>
      <c r="AL223" s="108">
        <v>49.1</v>
      </c>
      <c r="AM223" s="119">
        <v>10516</v>
      </c>
      <c r="AN223" s="120">
        <f t="shared" si="54"/>
        <v>9.2606531858497725</v>
      </c>
      <c r="AO223" s="96">
        <v>138.14599999999999</v>
      </c>
      <c r="AP223" s="94">
        <v>495.05</v>
      </c>
      <c r="AQ223" s="95">
        <v>6.2046599999999996</v>
      </c>
      <c r="AR223" s="94">
        <v>4.7</v>
      </c>
      <c r="AS223" s="95">
        <f t="shared" si="55"/>
        <v>1.547562508716013</v>
      </c>
      <c r="AT223" s="96">
        <v>87.879000000000005</v>
      </c>
    </row>
    <row r="224" spans="1:46">
      <c r="A224" s="109">
        <v>21</v>
      </c>
      <c r="B224" s="110" t="s">
        <v>13</v>
      </c>
      <c r="C224" s="110" t="s">
        <v>12</v>
      </c>
      <c r="D224" s="111">
        <v>2012</v>
      </c>
      <c r="E224" s="109">
        <v>27</v>
      </c>
      <c r="F224" s="111">
        <f t="shared" si="42"/>
        <v>3.2958368660043291</v>
      </c>
      <c r="G224" s="93">
        <v>30.700500000000002</v>
      </c>
      <c r="H224" s="93">
        <v>260000000000</v>
      </c>
      <c r="I224" s="94">
        <v>44631.9</v>
      </c>
      <c r="J224" s="95">
        <v>10.706200000000001</v>
      </c>
      <c r="K224" s="96">
        <v>0.75</v>
      </c>
      <c r="L224" s="109">
        <v>10.426</v>
      </c>
      <c r="M224" s="111">
        <f t="shared" si="43"/>
        <v>2.3443026863459142</v>
      </c>
      <c r="N224" s="112">
        <v>3.7286999999999999</v>
      </c>
      <c r="O224" s="113">
        <f t="shared" si="44"/>
        <v>1.3160596474374384</v>
      </c>
      <c r="P224" s="109">
        <v>407</v>
      </c>
      <c r="Q224" s="111">
        <f t="shared" si="45"/>
        <v>6.0088131854425946</v>
      </c>
      <c r="R224" s="93">
        <v>49.400002000000001</v>
      </c>
      <c r="S224" s="114">
        <v>83</v>
      </c>
      <c r="T224" s="113">
        <f t="shared" si="46"/>
        <v>4.4188406077965983</v>
      </c>
      <c r="U224" s="112">
        <v>26.3</v>
      </c>
      <c r="V224" s="113">
        <f t="shared" si="47"/>
        <v>3.2695689391837188</v>
      </c>
      <c r="W224" s="115">
        <v>25925</v>
      </c>
      <c r="X224" s="101">
        <f t="shared" si="48"/>
        <v>10.162963033097729</v>
      </c>
      <c r="Y224" s="116">
        <v>7386</v>
      </c>
      <c r="Z224" s="102">
        <v>99896</v>
      </c>
      <c r="AA224" s="235">
        <v>1.1100000000000001</v>
      </c>
      <c r="AB224" s="117">
        <f t="shared" si="49"/>
        <v>0.10436001532424286</v>
      </c>
      <c r="AC224" s="115">
        <v>98</v>
      </c>
      <c r="AD224" s="117">
        <f t="shared" si="50"/>
        <v>4.5849674786705723</v>
      </c>
      <c r="AE224" s="109">
        <v>10431.257</v>
      </c>
      <c r="AF224" s="111">
        <f t="shared" si="51"/>
        <v>9.2525620584704349</v>
      </c>
      <c r="AG224" s="118">
        <v>73.400000000000006</v>
      </c>
      <c r="AH224" s="119">
        <v>10.426</v>
      </c>
      <c r="AI224" s="120">
        <f t="shared" si="52"/>
        <v>2.3443026863459142</v>
      </c>
      <c r="AJ224" s="121">
        <v>407</v>
      </c>
      <c r="AK224" s="120">
        <f t="shared" si="53"/>
        <v>6.0088131854425946</v>
      </c>
      <c r="AL224" s="108">
        <v>49.4</v>
      </c>
      <c r="AM224" s="119">
        <v>10431.299999999999</v>
      </c>
      <c r="AN224" s="120">
        <f t="shared" si="54"/>
        <v>9.2525661806880528</v>
      </c>
      <c r="AO224" s="96">
        <v>146.898</v>
      </c>
      <c r="AP224" s="94">
        <v>496.88499999999999</v>
      </c>
      <c r="AQ224" s="95">
        <v>6.2083599999999999</v>
      </c>
      <c r="AR224" s="94">
        <v>4.9000000000000004</v>
      </c>
      <c r="AS224" s="95">
        <f t="shared" si="55"/>
        <v>1.589235205116581</v>
      </c>
      <c r="AT224" s="96">
        <v>88.587999999999994</v>
      </c>
    </row>
    <row r="225" spans="1:46">
      <c r="A225" s="109">
        <v>21</v>
      </c>
      <c r="B225" s="110" t="s">
        <v>13</v>
      </c>
      <c r="C225" s="110" t="s">
        <v>12</v>
      </c>
      <c r="D225" s="111">
        <v>2013</v>
      </c>
      <c r="E225" s="109">
        <v>27</v>
      </c>
      <c r="F225" s="111">
        <f t="shared" si="42"/>
        <v>3.2958368660043291</v>
      </c>
      <c r="G225" s="93">
        <v>35.131500000000003</v>
      </c>
      <c r="H225" s="93">
        <v>310000000000</v>
      </c>
      <c r="I225" s="94">
        <v>44487</v>
      </c>
      <c r="J225" s="95">
        <v>10.702999999999999</v>
      </c>
      <c r="K225" s="96">
        <v>0.74</v>
      </c>
      <c r="L225" s="109">
        <v>9.5290002999999999</v>
      </c>
      <c r="M225" s="111">
        <f t="shared" si="43"/>
        <v>2.2543398118488924</v>
      </c>
      <c r="N225" s="112">
        <v>3.9167000000000001</v>
      </c>
      <c r="O225" s="113">
        <f t="shared" si="44"/>
        <v>1.3652494625241409</v>
      </c>
      <c r="P225" s="109">
        <v>439</v>
      </c>
      <c r="Q225" s="111">
        <f t="shared" si="45"/>
        <v>6.0844994130751715</v>
      </c>
      <c r="R225" s="93">
        <v>49.799999</v>
      </c>
      <c r="S225" s="114">
        <v>83.1</v>
      </c>
      <c r="T225" s="113">
        <f t="shared" si="46"/>
        <v>4.4200447018614026</v>
      </c>
      <c r="U225" s="112">
        <v>26.8</v>
      </c>
      <c r="V225" s="113">
        <f t="shared" si="47"/>
        <v>3.2884018875168111</v>
      </c>
      <c r="W225" s="115">
        <v>19481.2</v>
      </c>
      <c r="X225" s="101">
        <f t="shared" si="48"/>
        <v>9.8772051769419331</v>
      </c>
      <c r="Y225" s="116">
        <v>7023</v>
      </c>
      <c r="Z225" s="102">
        <v>95338</v>
      </c>
      <c r="AA225" s="235">
        <v>1.06</v>
      </c>
      <c r="AB225" s="117">
        <f t="shared" si="49"/>
        <v>5.8268908123975824E-2</v>
      </c>
      <c r="AC225" s="115">
        <v>102</v>
      </c>
      <c r="AD225" s="117">
        <f t="shared" si="50"/>
        <v>4.6249728132842707</v>
      </c>
      <c r="AE225" s="109">
        <v>10750.746999999999</v>
      </c>
      <c r="AF225" s="111">
        <f t="shared" si="51"/>
        <v>9.2827305195136969</v>
      </c>
      <c r="AG225" s="118">
        <v>73.3</v>
      </c>
      <c r="AH225" s="119">
        <v>9.5289999999999999</v>
      </c>
      <c r="AI225" s="120">
        <f t="shared" si="52"/>
        <v>2.2543397803660512</v>
      </c>
      <c r="AJ225" s="121">
        <v>439</v>
      </c>
      <c r="AK225" s="120">
        <f t="shared" si="53"/>
        <v>6.0844994130751715</v>
      </c>
      <c r="AL225" s="108">
        <v>49.8</v>
      </c>
      <c r="AM225" s="119">
        <v>10750.7</v>
      </c>
      <c r="AN225" s="120">
        <f t="shared" si="54"/>
        <v>9.2827261477149055</v>
      </c>
      <c r="AO225" s="96">
        <v>142.684</v>
      </c>
      <c r="AP225" s="94">
        <v>498.79599999999999</v>
      </c>
      <c r="AQ225" s="95">
        <v>6.2122000000000002</v>
      </c>
      <c r="AR225" s="94">
        <v>5</v>
      </c>
      <c r="AS225" s="95">
        <f t="shared" si="55"/>
        <v>1.6094379124341003</v>
      </c>
      <c r="AT225" s="96">
        <v>89.186999999999998</v>
      </c>
    </row>
    <row r="226" spans="1:46">
      <c r="A226" s="109">
        <v>21</v>
      </c>
      <c r="B226" s="110" t="s">
        <v>13</v>
      </c>
      <c r="C226" s="110" t="s">
        <v>12</v>
      </c>
      <c r="D226" s="111">
        <v>2014</v>
      </c>
      <c r="E226" s="109">
        <v>26.2</v>
      </c>
      <c r="F226" s="111">
        <f t="shared" si="42"/>
        <v>3.2657594107670511</v>
      </c>
      <c r="G226" s="93">
        <v>15.8698</v>
      </c>
      <c r="H226" s="93">
        <v>140000000000</v>
      </c>
      <c r="I226" s="94">
        <v>45042.1</v>
      </c>
      <c r="J226" s="95">
        <v>10.715400000000001</v>
      </c>
      <c r="K226" s="96">
        <v>0.73</v>
      </c>
      <c r="L226" s="109">
        <v>9.2299994999999999</v>
      </c>
      <c r="M226" s="111">
        <f t="shared" si="43"/>
        <v>2.2224589943435782</v>
      </c>
      <c r="N226" s="112">
        <v>3.9037000000000002</v>
      </c>
      <c r="O226" s="113">
        <f t="shared" si="44"/>
        <v>1.3619248213358794</v>
      </c>
      <c r="P226" s="109">
        <v>478</v>
      </c>
      <c r="Q226" s="111">
        <f t="shared" si="45"/>
        <v>6.1696107324914564</v>
      </c>
      <c r="R226" s="93">
        <v>50.900002000000001</v>
      </c>
      <c r="S226" s="114">
        <v>82.4</v>
      </c>
      <c r="T226" s="113">
        <f t="shared" si="46"/>
        <v>4.4115854369154262</v>
      </c>
      <c r="U226" s="112">
        <v>26.5</v>
      </c>
      <c r="V226" s="113">
        <f t="shared" si="47"/>
        <v>3.2771447329921766</v>
      </c>
      <c r="W226" s="115">
        <v>17750.400000000001</v>
      </c>
      <c r="X226" s="101">
        <f t="shared" si="48"/>
        <v>9.784163329860915</v>
      </c>
      <c r="Y226" s="116">
        <v>7024</v>
      </c>
      <c r="Z226" s="102">
        <v>92761</v>
      </c>
      <c r="AA226" s="235">
        <v>1.32</v>
      </c>
      <c r="AB226" s="117">
        <f t="shared" si="49"/>
        <v>0.27763173659827955</v>
      </c>
      <c r="AC226" s="115">
        <v>105</v>
      </c>
      <c r="AD226" s="117">
        <f t="shared" si="50"/>
        <v>4.6539603501575231</v>
      </c>
      <c r="AE226" s="109">
        <v>10647.218999999999</v>
      </c>
      <c r="AF226" s="111">
        <f t="shared" si="51"/>
        <v>9.2730540102774786</v>
      </c>
      <c r="AG226" s="118">
        <v>74.3</v>
      </c>
      <c r="AH226" s="119">
        <v>9.23</v>
      </c>
      <c r="AI226" s="120">
        <f t="shared" si="52"/>
        <v>2.2224590485147608</v>
      </c>
      <c r="AJ226" s="121">
        <v>478</v>
      </c>
      <c r="AK226" s="120">
        <f t="shared" si="53"/>
        <v>6.1696107324914564</v>
      </c>
      <c r="AL226" s="108">
        <v>50.9</v>
      </c>
      <c r="AM226" s="119">
        <v>10647.2</v>
      </c>
      <c r="AN226" s="120">
        <f t="shared" si="54"/>
        <v>9.2730522257723464</v>
      </c>
      <c r="AO226" s="96">
        <v>139.97800000000001</v>
      </c>
      <c r="AP226" s="94">
        <v>500.59399999999999</v>
      </c>
      <c r="AQ226" s="95">
        <v>6.2157999999999998</v>
      </c>
      <c r="AR226" s="94">
        <v>5.6</v>
      </c>
      <c r="AS226" s="95">
        <f t="shared" si="55"/>
        <v>1.7227665977411035</v>
      </c>
      <c r="AT226" s="96">
        <v>89.69</v>
      </c>
    </row>
    <row r="227" spans="1:46">
      <c r="A227" s="109">
        <v>21</v>
      </c>
      <c r="B227" s="110" t="s">
        <v>13</v>
      </c>
      <c r="C227" s="110" t="s">
        <v>12</v>
      </c>
      <c r="D227" s="111">
        <v>2015</v>
      </c>
      <c r="E227" s="109">
        <v>27</v>
      </c>
      <c r="F227" s="111">
        <f t="shared" si="42"/>
        <v>3.2958368660043291</v>
      </c>
      <c r="G227" s="93">
        <v>48.501100000000001</v>
      </c>
      <c r="H227" s="93">
        <v>380000000000</v>
      </c>
      <c r="I227" s="94">
        <v>45793.8</v>
      </c>
      <c r="J227" s="95">
        <v>10.7319</v>
      </c>
      <c r="K227" s="96">
        <v>0.72</v>
      </c>
      <c r="L227" s="109">
        <v>10.803000000000001</v>
      </c>
      <c r="M227" s="111">
        <f t="shared" si="43"/>
        <v>2.379823873334848</v>
      </c>
      <c r="N227" s="112">
        <v>3.8976000000000002</v>
      </c>
      <c r="O227" s="113">
        <f t="shared" si="44"/>
        <v>1.3603609790933862</v>
      </c>
      <c r="P227" s="109">
        <v>461</v>
      </c>
      <c r="Q227" s="111">
        <f t="shared" si="45"/>
        <v>6.1333980429966486</v>
      </c>
      <c r="R227" s="93">
        <v>51.799999</v>
      </c>
      <c r="S227" s="114">
        <v>82.1</v>
      </c>
      <c r="T227" s="113">
        <f t="shared" si="46"/>
        <v>4.4079380164583828</v>
      </c>
      <c r="U227" s="112">
        <v>26.7</v>
      </c>
      <c r="V227" s="113">
        <f t="shared" si="47"/>
        <v>3.2846635654062037</v>
      </c>
      <c r="W227" s="115">
        <v>27479.5</v>
      </c>
      <c r="X227" s="101">
        <f t="shared" si="48"/>
        <v>10.221195551119807</v>
      </c>
      <c r="Y227" s="116">
        <v>7178</v>
      </c>
      <c r="Z227" s="102">
        <v>95504</v>
      </c>
      <c r="AA227" s="235">
        <v>1.41</v>
      </c>
      <c r="AB227" s="117">
        <f t="shared" si="49"/>
        <v>0.34358970439007686</v>
      </c>
      <c r="AC227" s="115">
        <v>106</v>
      </c>
      <c r="AD227" s="117">
        <f t="shared" si="50"/>
        <v>4.6634390941120669</v>
      </c>
      <c r="AE227" s="109">
        <v>10424.392</v>
      </c>
      <c r="AF227" s="111">
        <f t="shared" si="51"/>
        <v>9.2519037236233217</v>
      </c>
      <c r="AG227" s="118">
        <v>77.099999999999994</v>
      </c>
      <c r="AH227" s="119">
        <v>10.803000000000001</v>
      </c>
      <c r="AI227" s="120">
        <f t="shared" si="52"/>
        <v>2.379823873334848</v>
      </c>
      <c r="AJ227" s="121">
        <v>461</v>
      </c>
      <c r="AK227" s="120">
        <f t="shared" si="53"/>
        <v>6.1333980429966486</v>
      </c>
      <c r="AL227" s="108">
        <v>51.8</v>
      </c>
      <c r="AM227" s="119">
        <v>10424.4</v>
      </c>
      <c r="AN227" s="120">
        <f t="shared" si="54"/>
        <v>9.2519044910538746</v>
      </c>
      <c r="AO227" s="96">
        <v>139.55000000000001</v>
      </c>
      <c r="AP227" s="94">
        <v>503.11599999999999</v>
      </c>
      <c r="AQ227" s="95">
        <v>6.2208199999999998</v>
      </c>
      <c r="AR227" s="94">
        <v>5.8</v>
      </c>
      <c r="AS227" s="95">
        <f t="shared" si="55"/>
        <v>1.7578579175523736</v>
      </c>
      <c r="AT227" s="96">
        <v>90.173000000000002</v>
      </c>
    </row>
    <row r="228" spans="1:46">
      <c r="A228" s="109">
        <v>21</v>
      </c>
      <c r="B228" s="110" t="s">
        <v>13</v>
      </c>
      <c r="C228" s="110" t="s">
        <v>12</v>
      </c>
      <c r="D228" s="111">
        <v>2016</v>
      </c>
      <c r="E228" s="109">
        <v>25.9</v>
      </c>
      <c r="F228" s="111">
        <f t="shared" si="42"/>
        <v>3.2542429687054919</v>
      </c>
      <c r="G228" s="93">
        <v>34.567799999999998</v>
      </c>
      <c r="H228" s="93">
        <v>280000000000</v>
      </c>
      <c r="I228" s="94">
        <v>46655</v>
      </c>
      <c r="J228" s="95">
        <v>10.750500000000001</v>
      </c>
      <c r="K228" s="96">
        <v>0.73</v>
      </c>
      <c r="L228" s="109">
        <v>8.3210000999999991</v>
      </c>
      <c r="M228" s="111">
        <f t="shared" si="43"/>
        <v>2.1187824519360792</v>
      </c>
      <c r="N228" s="112">
        <v>4.3448000000000002</v>
      </c>
      <c r="O228" s="113">
        <f t="shared" si="44"/>
        <v>1.4689797277384986</v>
      </c>
      <c r="P228" s="109">
        <v>464</v>
      </c>
      <c r="Q228" s="111">
        <f t="shared" si="45"/>
        <v>6.1398845522262553</v>
      </c>
      <c r="R228" s="93">
        <v>53.5</v>
      </c>
      <c r="S228" s="114">
        <v>80.900000000000006</v>
      </c>
      <c r="T228" s="113">
        <f t="shared" si="46"/>
        <v>4.3932138240644463</v>
      </c>
      <c r="U228" s="112">
        <v>29</v>
      </c>
      <c r="V228" s="113">
        <f t="shared" si="47"/>
        <v>3.3672958299864741</v>
      </c>
      <c r="W228" s="115">
        <v>24224.9</v>
      </c>
      <c r="X228" s="101">
        <f t="shared" si="48"/>
        <v>10.09513630878347</v>
      </c>
      <c r="Y228" s="116">
        <v>7654</v>
      </c>
      <c r="Z228" s="102">
        <v>97501</v>
      </c>
      <c r="AA228" s="235">
        <v>1.42</v>
      </c>
      <c r="AB228" s="117">
        <f t="shared" si="49"/>
        <v>0.35065687161316933</v>
      </c>
      <c r="AC228" s="115">
        <v>109</v>
      </c>
      <c r="AD228" s="117">
        <f t="shared" si="50"/>
        <v>4.6913478822291435</v>
      </c>
      <c r="AE228" s="109">
        <v>10047.965</v>
      </c>
      <c r="AF228" s="111">
        <f t="shared" si="51"/>
        <v>9.2151254054216594</v>
      </c>
      <c r="AG228" s="118">
        <v>78.099999999999994</v>
      </c>
      <c r="AH228" s="119">
        <v>8.3209999999999997</v>
      </c>
      <c r="AI228" s="120">
        <f t="shared" si="52"/>
        <v>2.1187824399182928</v>
      </c>
      <c r="AJ228" s="121">
        <v>464</v>
      </c>
      <c r="AK228" s="120">
        <f t="shared" si="53"/>
        <v>6.1398845522262553</v>
      </c>
      <c r="AL228" s="108">
        <v>53.5</v>
      </c>
      <c r="AM228" s="119">
        <v>10048</v>
      </c>
      <c r="AN228" s="120">
        <f t="shared" si="54"/>
        <v>9.2151288887079801</v>
      </c>
      <c r="AO228" s="96">
        <v>134.40199999999999</v>
      </c>
      <c r="AP228" s="94">
        <v>505.80099999999999</v>
      </c>
      <c r="AQ228" s="95">
        <v>6.22614</v>
      </c>
      <c r="AR228" s="94">
        <v>5.6</v>
      </c>
      <c r="AS228" s="95">
        <f t="shared" si="55"/>
        <v>1.7227665977411035</v>
      </c>
      <c r="AT228" s="96">
        <v>90.635000000000005</v>
      </c>
    </row>
    <row r="229" spans="1:46">
      <c r="A229" s="109">
        <v>21</v>
      </c>
      <c r="B229" s="110" t="s">
        <v>13</v>
      </c>
      <c r="C229" s="110" t="s">
        <v>12</v>
      </c>
      <c r="D229" s="111">
        <v>2017</v>
      </c>
      <c r="E229" s="109">
        <v>26.7</v>
      </c>
      <c r="F229" s="111">
        <f t="shared" si="42"/>
        <v>3.2846635654062037</v>
      </c>
      <c r="G229" s="93">
        <v>23.520199999999999</v>
      </c>
      <c r="H229" s="93">
        <v>200000000000</v>
      </c>
      <c r="I229" s="94">
        <v>47670.1</v>
      </c>
      <c r="J229" s="95">
        <v>10.7721</v>
      </c>
      <c r="K229" s="96">
        <v>0.75</v>
      </c>
      <c r="L229" s="109">
        <v>7.9310001999999997</v>
      </c>
      <c r="M229" s="111">
        <f t="shared" si="43"/>
        <v>2.0707791563186833</v>
      </c>
      <c r="N229" s="112">
        <v>4.0293999999999999</v>
      </c>
      <c r="O229" s="113">
        <f t="shared" si="44"/>
        <v>1.393617481499672</v>
      </c>
      <c r="P229" s="109">
        <v>533</v>
      </c>
      <c r="Q229" s="111">
        <f t="shared" si="45"/>
        <v>6.2785214241658442</v>
      </c>
      <c r="R229" s="93">
        <v>54.599997999999999</v>
      </c>
      <c r="S229" s="114">
        <v>81.599999999999994</v>
      </c>
      <c r="T229" s="113">
        <f t="shared" si="46"/>
        <v>4.401829261970061</v>
      </c>
      <c r="U229" s="112">
        <v>26.7</v>
      </c>
      <c r="V229" s="113">
        <f t="shared" si="47"/>
        <v>3.2846635654062037</v>
      </c>
      <c r="W229" s="115">
        <v>34742.199999999997</v>
      </c>
      <c r="X229" s="101">
        <f t="shared" si="48"/>
        <v>10.45571036536627</v>
      </c>
      <c r="Y229" s="116">
        <v>7991</v>
      </c>
      <c r="Z229" s="102">
        <v>101143</v>
      </c>
      <c r="AA229" s="235">
        <v>1.43</v>
      </c>
      <c r="AB229" s="117">
        <f t="shared" si="49"/>
        <v>0.35767444427181588</v>
      </c>
      <c r="AC229" s="115">
        <v>111</v>
      </c>
      <c r="AD229" s="117">
        <f t="shared" si="50"/>
        <v>4.7095302013123339</v>
      </c>
      <c r="AE229" s="109">
        <v>9810.5889000000006</v>
      </c>
      <c r="AF229" s="111">
        <f t="shared" si="51"/>
        <v>9.1912175813386856</v>
      </c>
      <c r="AG229" s="118">
        <v>78.8</v>
      </c>
      <c r="AH229" s="119">
        <v>7.931</v>
      </c>
      <c r="AI229" s="120">
        <f t="shared" si="52"/>
        <v>2.0707791311011827</v>
      </c>
      <c r="AJ229" s="121">
        <v>533</v>
      </c>
      <c r="AK229" s="120">
        <f t="shared" si="53"/>
        <v>6.2785214241658442</v>
      </c>
      <c r="AL229" s="108">
        <v>54.6</v>
      </c>
      <c r="AM229" s="119">
        <v>9810.59</v>
      </c>
      <c r="AN229" s="120">
        <f t="shared" si="54"/>
        <v>9.191217693462427</v>
      </c>
      <c r="AO229" s="96">
        <v>144.619</v>
      </c>
      <c r="AP229" s="94">
        <v>508.8</v>
      </c>
      <c r="AQ229" s="95">
        <v>6.2320599999999997</v>
      </c>
      <c r="AR229" s="94">
        <v>6.4</v>
      </c>
      <c r="AS229" s="95">
        <f t="shared" si="55"/>
        <v>1.8562979903656263</v>
      </c>
      <c r="AT229" s="96">
        <v>91.076999999999998</v>
      </c>
    </row>
    <row r="230" spans="1:46">
      <c r="A230" s="109">
        <v>21</v>
      </c>
      <c r="B230" s="110" t="s">
        <v>13</v>
      </c>
      <c r="C230" s="110" t="s">
        <v>12</v>
      </c>
      <c r="D230" s="111">
        <v>2018</v>
      </c>
      <c r="E230" s="109">
        <v>27</v>
      </c>
      <c r="F230" s="111">
        <f t="shared" si="42"/>
        <v>3.2958368660043291</v>
      </c>
      <c r="G230" s="93">
        <v>-30.7775</v>
      </c>
      <c r="H230" s="93">
        <v>-290000000000</v>
      </c>
      <c r="I230" s="94">
        <v>48463</v>
      </c>
      <c r="J230" s="95">
        <v>10.788600000000001</v>
      </c>
      <c r="K230" s="96">
        <v>0.74</v>
      </c>
      <c r="L230" s="109">
        <v>9.0010004000000006</v>
      </c>
      <c r="M230" s="111">
        <f t="shared" si="43"/>
        <v>2.1973357267144542</v>
      </c>
      <c r="N230" s="112">
        <v>3.9192999999999998</v>
      </c>
      <c r="O230" s="113">
        <f t="shared" si="44"/>
        <v>1.3659130664280239</v>
      </c>
      <c r="P230" s="109">
        <v>540</v>
      </c>
      <c r="Q230" s="111">
        <f t="shared" si="45"/>
        <v>6.2915691395583204</v>
      </c>
      <c r="R230" s="93">
        <v>55.900002000000001</v>
      </c>
      <c r="S230" s="114">
        <v>75.599999999999994</v>
      </c>
      <c r="T230" s="113">
        <f t="shared" si="46"/>
        <v>4.3254562831854875</v>
      </c>
      <c r="U230" s="112">
        <v>25.8</v>
      </c>
      <c r="V230" s="113">
        <f t="shared" si="47"/>
        <v>3.2503744919275719</v>
      </c>
      <c r="W230" s="115">
        <v>41549.9</v>
      </c>
      <c r="X230" s="101">
        <f t="shared" si="48"/>
        <v>10.634650393541829</v>
      </c>
      <c r="Y230" s="116">
        <v>8539</v>
      </c>
      <c r="Z230" s="102">
        <v>105760</v>
      </c>
      <c r="AA230" s="235">
        <v>1.94</v>
      </c>
      <c r="AB230" s="117">
        <f t="shared" si="49"/>
        <v>0.66268797307523675</v>
      </c>
      <c r="AC230" s="115">
        <v>116</v>
      </c>
      <c r="AD230" s="117">
        <f t="shared" si="50"/>
        <v>4.7535901911063645</v>
      </c>
      <c r="AE230" s="109">
        <v>8679.0342000000001</v>
      </c>
      <c r="AF230" s="111">
        <f t="shared" si="51"/>
        <v>9.0686655341826263</v>
      </c>
      <c r="AG230" s="118">
        <v>80.400000000000006</v>
      </c>
      <c r="AH230" s="119">
        <v>9.0009999999999994</v>
      </c>
      <c r="AI230" s="120">
        <f t="shared" si="52"/>
        <v>2.1973356822749484</v>
      </c>
      <c r="AJ230" s="121">
        <v>540</v>
      </c>
      <c r="AK230" s="120">
        <f t="shared" si="53"/>
        <v>6.2915691395583204</v>
      </c>
      <c r="AL230" s="108">
        <v>55.9</v>
      </c>
      <c r="AM230" s="119">
        <v>8679.0300000000007</v>
      </c>
      <c r="AN230" s="120">
        <f t="shared" si="54"/>
        <v>9.0686650502576978</v>
      </c>
      <c r="AO230" s="96">
        <v>147.59100000000001</v>
      </c>
      <c r="AP230" s="94">
        <v>511.78</v>
      </c>
      <c r="AQ230" s="95">
        <v>6.2378900000000002</v>
      </c>
      <c r="AR230" s="94">
        <v>7.4</v>
      </c>
      <c r="AS230" s="95">
        <f t="shared" si="55"/>
        <v>2.0014800002101243</v>
      </c>
      <c r="AT230" s="96">
        <v>91.49</v>
      </c>
    </row>
    <row r="231" spans="1:46">
      <c r="A231" s="109">
        <v>21</v>
      </c>
      <c r="B231" s="110" t="s">
        <v>13</v>
      </c>
      <c r="C231" s="110" t="s">
        <v>12</v>
      </c>
      <c r="D231" s="111">
        <v>2019</v>
      </c>
      <c r="E231" s="109">
        <v>27.7</v>
      </c>
      <c r="F231" s="111">
        <f t="shared" si="42"/>
        <v>3.3214324131932926</v>
      </c>
      <c r="G231" s="93">
        <v>-13.673999999999999</v>
      </c>
      <c r="H231" s="93">
        <v>-130000000000</v>
      </c>
      <c r="I231" s="94">
        <v>49254</v>
      </c>
      <c r="J231" s="95">
        <v>10.8047</v>
      </c>
      <c r="K231" s="96">
        <v>0.73</v>
      </c>
      <c r="L231" s="109">
        <v>9.2959995000000006</v>
      </c>
      <c r="M231" s="111">
        <f t="shared" si="43"/>
        <v>2.2295841463229791</v>
      </c>
      <c r="N231" s="112">
        <v>4.1224999999999996</v>
      </c>
      <c r="O231" s="113">
        <f t="shared" si="44"/>
        <v>1.4164597754516168</v>
      </c>
      <c r="P231" s="109">
        <v>541</v>
      </c>
      <c r="Q231" s="111">
        <f t="shared" si="45"/>
        <v>6.2934192788464811</v>
      </c>
      <c r="R231" s="93">
        <v>56.900002000000001</v>
      </c>
      <c r="S231" s="114">
        <v>69.599999999999994</v>
      </c>
      <c r="T231" s="113">
        <f t="shared" si="46"/>
        <v>4.242764567340374</v>
      </c>
      <c r="U231" s="112">
        <v>25.6</v>
      </c>
      <c r="V231" s="113">
        <f t="shared" si="47"/>
        <v>3.2425923514855168</v>
      </c>
      <c r="W231" s="115">
        <v>35751.1</v>
      </c>
      <c r="X231" s="101">
        <f t="shared" si="48"/>
        <v>10.48433631687956</v>
      </c>
      <c r="Y231" s="116">
        <v>8986</v>
      </c>
      <c r="Z231" s="102">
        <v>108283</v>
      </c>
      <c r="AA231" s="235">
        <v>1.93</v>
      </c>
      <c r="AB231" s="117">
        <f t="shared" si="49"/>
        <v>0.65752000291679413</v>
      </c>
      <c r="AC231" s="115">
        <v>117</v>
      </c>
      <c r="AD231" s="117">
        <f t="shared" si="50"/>
        <v>4.7621739347977563</v>
      </c>
      <c r="AE231" s="109">
        <v>7547.4795000000004</v>
      </c>
      <c r="AF231" s="111">
        <f t="shared" si="51"/>
        <v>8.9289689454461367</v>
      </c>
      <c r="AG231" s="118">
        <v>80.599999999999994</v>
      </c>
      <c r="AH231" s="119">
        <v>9.2959999999999994</v>
      </c>
      <c r="AI231" s="120">
        <f t="shared" si="52"/>
        <v>2.2295842001095552</v>
      </c>
      <c r="AJ231" s="121">
        <v>541</v>
      </c>
      <c r="AK231" s="120">
        <f t="shared" si="53"/>
        <v>6.2934192788464811</v>
      </c>
      <c r="AL231" s="108">
        <v>56.9</v>
      </c>
      <c r="AM231" s="119">
        <v>0</v>
      </c>
      <c r="AN231" s="120">
        <v>0</v>
      </c>
      <c r="AO231" s="96">
        <v>144.71600000000001</v>
      </c>
      <c r="AP231" s="94">
        <v>515.14300000000003</v>
      </c>
      <c r="AQ231" s="95">
        <v>6.24444</v>
      </c>
      <c r="AR231" s="94">
        <v>8.6</v>
      </c>
      <c r="AS231" s="95">
        <f t="shared" si="55"/>
        <v>2.1517622032594619</v>
      </c>
      <c r="AT231" s="96">
        <v>91.876000000000005</v>
      </c>
    </row>
    <row r="232" spans="1:46">
      <c r="A232" s="109">
        <v>21</v>
      </c>
      <c r="B232" s="110" t="s">
        <v>13</v>
      </c>
      <c r="C232" s="110" t="s">
        <v>12</v>
      </c>
      <c r="D232" s="111">
        <v>2020</v>
      </c>
      <c r="E232" s="109">
        <v>28.3</v>
      </c>
      <c r="F232" s="111">
        <f t="shared" si="42"/>
        <v>3.3428618046491918</v>
      </c>
      <c r="G232" s="93">
        <v>-23.709499999999998</v>
      </c>
      <c r="H232" s="93">
        <v>-220000000000</v>
      </c>
      <c r="I232" s="94">
        <v>47086.6</v>
      </c>
      <c r="J232" s="95">
        <v>10.7597</v>
      </c>
      <c r="K232" s="96">
        <v>0.72</v>
      </c>
      <c r="L232" s="109">
        <v>9.2639999</v>
      </c>
      <c r="M232" s="111">
        <f t="shared" si="43"/>
        <v>2.2261359100361662</v>
      </c>
      <c r="N232" s="112">
        <v>4.3422000000000001</v>
      </c>
      <c r="O232" s="113">
        <f t="shared" si="44"/>
        <v>1.468381132118</v>
      </c>
      <c r="P232" s="109">
        <v>580</v>
      </c>
      <c r="Q232" s="111">
        <f t="shared" si="45"/>
        <v>6.363028103540465</v>
      </c>
      <c r="R232" s="93">
        <v>56.900002000000001</v>
      </c>
      <c r="S232" s="114">
        <v>74</v>
      </c>
      <c r="T232" s="113">
        <f t="shared" si="46"/>
        <v>4.3040650932041702</v>
      </c>
      <c r="U232" s="112">
        <v>27.1</v>
      </c>
      <c r="V232" s="113">
        <f t="shared" si="47"/>
        <v>3.2995337278856551</v>
      </c>
      <c r="W232" s="115">
        <v>39992.400000000001</v>
      </c>
      <c r="X232" s="101">
        <f t="shared" si="48"/>
        <v>10.596444715043786</v>
      </c>
      <c r="Y232" s="116">
        <v>8488</v>
      </c>
      <c r="Z232" s="102">
        <v>104905</v>
      </c>
      <c r="AA232" s="235">
        <v>0.76</v>
      </c>
      <c r="AB232" s="117">
        <f t="shared" si="49"/>
        <v>-0.2744368457017603</v>
      </c>
      <c r="AC232" s="115">
        <v>109</v>
      </c>
      <c r="AD232" s="117">
        <f t="shared" si="50"/>
        <v>4.6913478822291435</v>
      </c>
      <c r="AE232" s="109">
        <v>6415.9247999999998</v>
      </c>
      <c r="AF232" s="111">
        <f t="shared" si="51"/>
        <v>8.7665384287794073</v>
      </c>
      <c r="AG232" s="118">
        <v>81</v>
      </c>
      <c r="AH232" s="119">
        <v>9.2639999999999993</v>
      </c>
      <c r="AI232" s="120">
        <f t="shared" si="52"/>
        <v>2.2261359208306395</v>
      </c>
      <c r="AJ232" s="121">
        <v>580</v>
      </c>
      <c r="AK232" s="120">
        <f t="shared" si="53"/>
        <v>6.363028103540465</v>
      </c>
      <c r="AL232" s="108">
        <v>56.9</v>
      </c>
      <c r="AM232" s="119">
        <v>0</v>
      </c>
      <c r="AN232" s="120">
        <v>0</v>
      </c>
      <c r="AO232" s="96">
        <v>136.155</v>
      </c>
      <c r="AP232" s="94">
        <v>518.01300000000003</v>
      </c>
      <c r="AQ232" s="95">
        <v>6.25</v>
      </c>
      <c r="AR232" s="94">
        <v>10.7</v>
      </c>
      <c r="AS232" s="95">
        <f t="shared" si="55"/>
        <v>2.3702437414678603</v>
      </c>
      <c r="AT232" s="96">
        <v>92.236000000000004</v>
      </c>
    </row>
    <row r="233" spans="1:46">
      <c r="A233" s="109">
        <v>22</v>
      </c>
      <c r="B233" s="110" t="s">
        <v>11</v>
      </c>
      <c r="C233" s="110" t="s">
        <v>10</v>
      </c>
      <c r="D233" s="111">
        <v>2010</v>
      </c>
      <c r="E233" s="109">
        <v>17.5</v>
      </c>
      <c r="F233" s="111">
        <f t="shared" si="42"/>
        <v>2.8622008809294686</v>
      </c>
      <c r="G233" s="93">
        <v>3.94489</v>
      </c>
      <c r="H233" s="93">
        <v>19000000000</v>
      </c>
      <c r="I233" s="94">
        <v>10808.4</v>
      </c>
      <c r="J233" s="95">
        <v>9.2880800000000008</v>
      </c>
      <c r="K233" s="96">
        <v>0.45</v>
      </c>
      <c r="L233" s="109">
        <v>15.673</v>
      </c>
      <c r="M233" s="111">
        <f t="shared" si="43"/>
        <v>2.7519394866719309</v>
      </c>
      <c r="N233" s="112">
        <v>0.58730000000000004</v>
      </c>
      <c r="O233" s="113">
        <f t="shared" si="44"/>
        <v>-0.53221951645366317</v>
      </c>
      <c r="P233" s="109">
        <v>629</v>
      </c>
      <c r="Q233" s="111">
        <f t="shared" si="45"/>
        <v>6.444131256700441</v>
      </c>
      <c r="R233" s="93">
        <v>16.299999</v>
      </c>
      <c r="S233" s="114">
        <v>78.400000000000006</v>
      </c>
      <c r="T233" s="113">
        <f t="shared" si="46"/>
        <v>4.3618239273563626</v>
      </c>
      <c r="U233" s="112">
        <v>11.1</v>
      </c>
      <c r="V233" s="113">
        <f t="shared" si="47"/>
        <v>2.4069451083182885</v>
      </c>
      <c r="W233" s="115">
        <v>556.4</v>
      </c>
      <c r="X233" s="101">
        <f t="shared" si="48"/>
        <v>6.3214874600492879</v>
      </c>
      <c r="Y233" s="116">
        <v>6629</v>
      </c>
      <c r="Z233" s="102">
        <v>371159</v>
      </c>
      <c r="AA233" s="235">
        <v>0.91</v>
      </c>
      <c r="AB233" s="117">
        <f t="shared" si="49"/>
        <v>-9.431067947124129E-2</v>
      </c>
      <c r="AC233" s="115">
        <v>100</v>
      </c>
      <c r="AD233" s="117">
        <f t="shared" si="50"/>
        <v>4.6051701859880918</v>
      </c>
      <c r="AE233" s="109">
        <v>9139.2353999999996</v>
      </c>
      <c r="AF233" s="111">
        <f t="shared" si="51"/>
        <v>9.1203320066820233</v>
      </c>
      <c r="AG233" s="118">
        <v>16.899999999999999</v>
      </c>
      <c r="AH233" s="119">
        <v>15.673</v>
      </c>
      <c r="AI233" s="120">
        <f t="shared" si="52"/>
        <v>2.7519394866719309</v>
      </c>
      <c r="AJ233" s="121">
        <v>629</v>
      </c>
      <c r="AK233" s="120">
        <f t="shared" si="53"/>
        <v>6.444131256700441</v>
      </c>
      <c r="AL233" s="108">
        <v>16.3</v>
      </c>
      <c r="AM233" s="119">
        <v>9139.24</v>
      </c>
      <c r="AN233" s="120">
        <f t="shared" si="54"/>
        <v>9.1203325100062784</v>
      </c>
      <c r="AO233" s="96">
        <v>70.647300000000001</v>
      </c>
      <c r="AP233" s="94">
        <v>124.209</v>
      </c>
      <c r="AQ233" s="95">
        <v>4.8219700000000003</v>
      </c>
      <c r="AR233" s="94">
        <v>9.5</v>
      </c>
      <c r="AS233" s="95">
        <f t="shared" si="55"/>
        <v>2.2512917986064953</v>
      </c>
      <c r="AT233" s="96">
        <v>60.892000000000003</v>
      </c>
    </row>
    <row r="234" spans="1:46">
      <c r="A234" s="109">
        <v>22</v>
      </c>
      <c r="B234" s="110" t="s">
        <v>11</v>
      </c>
      <c r="C234" s="110" t="s">
        <v>10</v>
      </c>
      <c r="D234" s="111">
        <v>2011</v>
      </c>
      <c r="E234" s="109">
        <v>19</v>
      </c>
      <c r="F234" s="111">
        <f t="shared" si="42"/>
        <v>2.9444389791664403</v>
      </c>
      <c r="G234" s="93">
        <v>3.5712899999999999</v>
      </c>
      <c r="H234" s="93">
        <v>19000000000</v>
      </c>
      <c r="I234" s="94">
        <v>11370.3</v>
      </c>
      <c r="J234" s="95">
        <v>9.3387600000000006</v>
      </c>
      <c r="K234" s="96">
        <v>0.48</v>
      </c>
      <c r="L234" s="109">
        <v>19.528998999999999</v>
      </c>
      <c r="M234" s="111">
        <f t="shared" si="43"/>
        <v>2.9719004890947449</v>
      </c>
      <c r="N234" s="112">
        <v>0.498</v>
      </c>
      <c r="O234" s="113">
        <f t="shared" si="44"/>
        <v>-0.69715520195748415</v>
      </c>
      <c r="P234" s="109">
        <v>643</v>
      </c>
      <c r="Q234" s="111">
        <f t="shared" si="45"/>
        <v>6.4661447242376191</v>
      </c>
      <c r="R234" s="93">
        <v>11.4</v>
      </c>
      <c r="S234" s="114">
        <v>90</v>
      </c>
      <c r="T234" s="113">
        <f t="shared" si="46"/>
        <v>4.499809670330265</v>
      </c>
      <c r="U234" s="112">
        <v>9.4</v>
      </c>
      <c r="V234" s="113">
        <f t="shared" si="47"/>
        <v>2.2407096892759584</v>
      </c>
      <c r="W234" s="115">
        <v>1331.9</v>
      </c>
      <c r="X234" s="101">
        <f t="shared" si="48"/>
        <v>7.1943617732069853</v>
      </c>
      <c r="Y234" s="116">
        <v>7384</v>
      </c>
      <c r="Z234" s="102">
        <v>380152</v>
      </c>
      <c r="AA234" s="235">
        <v>0.97</v>
      </c>
      <c r="AB234" s="117">
        <f t="shared" si="49"/>
        <v>-3.0459207484708574E-2</v>
      </c>
      <c r="AC234" s="115">
        <v>100</v>
      </c>
      <c r="AD234" s="117">
        <f t="shared" si="50"/>
        <v>4.6051701859880918</v>
      </c>
      <c r="AE234" s="109">
        <v>9072.0234</v>
      </c>
      <c r="AF234" s="111">
        <f t="shared" si="51"/>
        <v>9.1129506053292868</v>
      </c>
      <c r="AG234" s="118">
        <v>15.3</v>
      </c>
      <c r="AH234" s="119">
        <v>19.529</v>
      </c>
      <c r="AI234" s="120">
        <f t="shared" si="52"/>
        <v>2.9719005403006453</v>
      </c>
      <c r="AJ234" s="121">
        <v>643</v>
      </c>
      <c r="AK234" s="120">
        <f t="shared" si="53"/>
        <v>6.4661447242376191</v>
      </c>
      <c r="AL234" s="108">
        <v>11.4</v>
      </c>
      <c r="AM234" s="119">
        <v>9072.02</v>
      </c>
      <c r="AN234" s="120">
        <f t="shared" si="54"/>
        <v>9.1129502305506414</v>
      </c>
      <c r="AO234" s="96">
        <v>75.645399999999995</v>
      </c>
      <c r="AP234" s="94">
        <v>124.29600000000001</v>
      </c>
      <c r="AQ234" s="95">
        <v>4.8226699999999996</v>
      </c>
      <c r="AR234" s="94">
        <v>10.4</v>
      </c>
      <c r="AS234" s="95">
        <f t="shared" si="55"/>
        <v>2.341805806147327</v>
      </c>
      <c r="AT234" s="96">
        <v>60.78</v>
      </c>
    </row>
    <row r="235" spans="1:46">
      <c r="A235" s="109">
        <v>22</v>
      </c>
      <c r="B235" s="110" t="s">
        <v>11</v>
      </c>
      <c r="C235" s="110" t="s">
        <v>10</v>
      </c>
      <c r="D235" s="111">
        <v>2012</v>
      </c>
      <c r="E235" s="109">
        <v>20.5</v>
      </c>
      <c r="F235" s="111">
        <f t="shared" si="42"/>
        <v>3.0204248861443626</v>
      </c>
      <c r="G235" s="93">
        <v>1.5288600000000001</v>
      </c>
      <c r="H235" s="93">
        <v>7600000000</v>
      </c>
      <c r="I235" s="94">
        <v>11542.2</v>
      </c>
      <c r="J235" s="95">
        <v>9.3537700000000008</v>
      </c>
      <c r="K235" s="96">
        <v>0.46</v>
      </c>
      <c r="L235" s="109">
        <v>16.399000000000001</v>
      </c>
      <c r="M235" s="111">
        <f t="shared" si="43"/>
        <v>2.7972203573613088</v>
      </c>
      <c r="N235" s="112">
        <v>0.58960000000000001</v>
      </c>
      <c r="O235" s="113">
        <f t="shared" si="44"/>
        <v>-0.52831093810701013</v>
      </c>
      <c r="P235" s="109">
        <v>643</v>
      </c>
      <c r="Q235" s="111">
        <f t="shared" si="45"/>
        <v>6.4661447242376191</v>
      </c>
      <c r="R235" s="93">
        <v>12</v>
      </c>
      <c r="S235" s="114">
        <v>76.3</v>
      </c>
      <c r="T235" s="113">
        <f t="shared" si="46"/>
        <v>4.334672938290411</v>
      </c>
      <c r="U235" s="112">
        <v>11</v>
      </c>
      <c r="V235" s="113">
        <f t="shared" si="47"/>
        <v>2.3978952727983707</v>
      </c>
      <c r="W235" s="115">
        <v>217.5</v>
      </c>
      <c r="X235" s="101">
        <f t="shared" si="48"/>
        <v>5.3821988505287388</v>
      </c>
      <c r="Y235" s="116">
        <v>7376</v>
      </c>
      <c r="Z235" s="102">
        <v>387443</v>
      </c>
      <c r="AA235" s="235">
        <v>1.46</v>
      </c>
      <c r="AB235" s="117">
        <f t="shared" si="49"/>
        <v>0.37843643572024505</v>
      </c>
      <c r="AC235" s="115">
        <v>100</v>
      </c>
      <c r="AD235" s="117">
        <f t="shared" si="50"/>
        <v>4.6051701859880918</v>
      </c>
      <c r="AE235" s="109">
        <v>8864.9326000000001</v>
      </c>
      <c r="AF235" s="111">
        <f t="shared" si="51"/>
        <v>9.0898586155465235</v>
      </c>
      <c r="AG235" s="118">
        <v>16.2</v>
      </c>
      <c r="AH235" s="119">
        <v>16.399000000000001</v>
      </c>
      <c r="AI235" s="120">
        <f t="shared" si="52"/>
        <v>2.7972203573613088</v>
      </c>
      <c r="AJ235" s="121">
        <v>643</v>
      </c>
      <c r="AK235" s="120">
        <f t="shared" si="53"/>
        <v>6.4661447242376191</v>
      </c>
      <c r="AL235" s="108">
        <v>12</v>
      </c>
      <c r="AM235" s="119">
        <v>8864.93</v>
      </c>
      <c r="AN235" s="120">
        <f t="shared" si="54"/>
        <v>9.0898583222560383</v>
      </c>
      <c r="AO235" s="96">
        <v>77.172499999999999</v>
      </c>
      <c r="AP235" s="94">
        <v>124.3</v>
      </c>
      <c r="AQ235" s="95">
        <v>4.8227000000000002</v>
      </c>
      <c r="AR235" s="94">
        <v>10.9</v>
      </c>
      <c r="AS235" s="95">
        <f t="shared" si="55"/>
        <v>2.388762789235098</v>
      </c>
      <c r="AT235" s="96">
        <v>60.654000000000003</v>
      </c>
    </row>
    <row r="236" spans="1:46">
      <c r="A236" s="109">
        <v>22</v>
      </c>
      <c r="B236" s="110" t="s">
        <v>11</v>
      </c>
      <c r="C236" s="110" t="s">
        <v>10</v>
      </c>
      <c r="D236" s="111">
        <v>2013</v>
      </c>
      <c r="E236" s="109">
        <v>20.5</v>
      </c>
      <c r="F236" s="111">
        <f t="shared" si="42"/>
        <v>3.0204248861443626</v>
      </c>
      <c r="G236" s="93">
        <v>0.25898300000000002</v>
      </c>
      <c r="H236" s="93">
        <v>1300000000</v>
      </c>
      <c r="I236" s="94">
        <v>11628.2</v>
      </c>
      <c r="J236" s="95">
        <v>9.3611900000000006</v>
      </c>
      <c r="K236" s="96">
        <v>0.46</v>
      </c>
      <c r="L236" s="109">
        <v>15.401999999999999</v>
      </c>
      <c r="M236" s="111">
        <f t="shared" si="43"/>
        <v>2.7344973711170582</v>
      </c>
      <c r="N236" s="112">
        <v>0.62360000000000004</v>
      </c>
      <c r="O236" s="113">
        <f t="shared" si="44"/>
        <v>-0.47224614179851554</v>
      </c>
      <c r="P236" s="109">
        <v>667</v>
      </c>
      <c r="Q236" s="111">
        <f t="shared" si="45"/>
        <v>6.5027900459156234</v>
      </c>
      <c r="R236" s="93">
        <v>15.1</v>
      </c>
      <c r="S236" s="114">
        <v>75.599999999999994</v>
      </c>
      <c r="T236" s="113">
        <f t="shared" si="46"/>
        <v>4.3254562831854875</v>
      </c>
      <c r="U236" s="112">
        <v>12.2</v>
      </c>
      <c r="V236" s="113">
        <f t="shared" si="47"/>
        <v>2.5014359517392109</v>
      </c>
      <c r="W236" s="115">
        <v>288.8</v>
      </c>
      <c r="X236" s="101">
        <f t="shared" si="48"/>
        <v>5.6657344070186708</v>
      </c>
      <c r="Y236" s="116">
        <v>7781</v>
      </c>
      <c r="Z236" s="102">
        <v>399380</v>
      </c>
      <c r="AA236" s="235">
        <v>0.97</v>
      </c>
      <c r="AB236" s="117">
        <f t="shared" si="49"/>
        <v>-3.0459207484708574E-2</v>
      </c>
      <c r="AC236" s="115">
        <v>100</v>
      </c>
      <c r="AD236" s="117">
        <f t="shared" si="50"/>
        <v>4.6051701859880918</v>
      </c>
      <c r="AE236" s="109">
        <v>8943.4727000000003</v>
      </c>
      <c r="AF236" s="111">
        <f t="shared" si="51"/>
        <v>9.0986792379324157</v>
      </c>
      <c r="AG236" s="118">
        <v>16</v>
      </c>
      <c r="AH236" s="119">
        <v>15.401999999999999</v>
      </c>
      <c r="AI236" s="120">
        <f t="shared" si="52"/>
        <v>2.7344973711170582</v>
      </c>
      <c r="AJ236" s="121">
        <v>667</v>
      </c>
      <c r="AK236" s="120">
        <f t="shared" si="53"/>
        <v>6.5027900459156234</v>
      </c>
      <c r="AL236" s="108">
        <v>15.1</v>
      </c>
      <c r="AM236" s="119">
        <v>8943.4699999999993</v>
      </c>
      <c r="AN236" s="120">
        <f t="shared" si="54"/>
        <v>9.098678936036217</v>
      </c>
      <c r="AO236" s="96">
        <v>79.623099999999994</v>
      </c>
      <c r="AP236" s="94">
        <v>124.229</v>
      </c>
      <c r="AQ236" s="95">
        <v>4.8221299999999996</v>
      </c>
      <c r="AR236" s="94">
        <v>11.4</v>
      </c>
      <c r="AS236" s="95">
        <f t="shared" si="55"/>
        <v>2.4336133554004498</v>
      </c>
      <c r="AT236" s="96">
        <v>60.529000000000003</v>
      </c>
    </row>
    <row r="237" spans="1:46">
      <c r="A237" s="109">
        <v>22</v>
      </c>
      <c r="B237" s="110" t="s">
        <v>11</v>
      </c>
      <c r="C237" s="110" t="s">
        <v>10</v>
      </c>
      <c r="D237" s="111">
        <v>2014</v>
      </c>
      <c r="E237" s="109">
        <v>20.2</v>
      </c>
      <c r="F237" s="111">
        <f t="shared" si="42"/>
        <v>3.0056826044071592</v>
      </c>
      <c r="G237" s="93">
        <v>3.8508900000000001</v>
      </c>
      <c r="H237" s="93">
        <v>21000000000</v>
      </c>
      <c r="I237" s="94">
        <v>12093.2</v>
      </c>
      <c r="J237" s="95">
        <v>9.4003999999999994</v>
      </c>
      <c r="K237" s="96">
        <v>0.45</v>
      </c>
      <c r="L237" s="109">
        <v>15.516999999999999</v>
      </c>
      <c r="M237" s="111">
        <f t="shared" si="43"/>
        <v>2.7419361971013467</v>
      </c>
      <c r="N237" s="112">
        <v>0.65339999999999998</v>
      </c>
      <c r="O237" s="113">
        <f t="shared" si="44"/>
        <v>-0.4255657798151673</v>
      </c>
      <c r="P237" s="109">
        <v>673</v>
      </c>
      <c r="Q237" s="111">
        <f t="shared" si="45"/>
        <v>6.5117453296447279</v>
      </c>
      <c r="R237" s="93">
        <v>26.5</v>
      </c>
      <c r="S237" s="114">
        <v>73.5</v>
      </c>
      <c r="T237" s="113">
        <f t="shared" si="46"/>
        <v>4.2972854062187906</v>
      </c>
      <c r="U237" s="112">
        <v>13</v>
      </c>
      <c r="V237" s="113">
        <f t="shared" si="47"/>
        <v>2.5649493574615367</v>
      </c>
      <c r="W237" s="115">
        <v>466.6</v>
      </c>
      <c r="X237" s="101">
        <f t="shared" si="48"/>
        <v>6.1454723595873295</v>
      </c>
      <c r="Y237" s="116">
        <v>8000</v>
      </c>
      <c r="Z237" s="102">
        <v>398677</v>
      </c>
      <c r="AA237" s="235">
        <v>0.74</v>
      </c>
      <c r="AB237" s="117">
        <f t="shared" si="49"/>
        <v>-0.30110509278392161</v>
      </c>
      <c r="AC237" s="115">
        <v>105</v>
      </c>
      <c r="AD237" s="117">
        <f t="shared" si="50"/>
        <v>4.6539603501575231</v>
      </c>
      <c r="AE237" s="109">
        <v>9228.9053000000004</v>
      </c>
      <c r="AF237" s="111">
        <f t="shared" si="51"/>
        <v>9.1300957180795468</v>
      </c>
      <c r="AG237" s="118">
        <v>17</v>
      </c>
      <c r="AH237" s="119">
        <v>15.516999999999999</v>
      </c>
      <c r="AI237" s="120">
        <f t="shared" si="52"/>
        <v>2.7419361971013467</v>
      </c>
      <c r="AJ237" s="121">
        <v>673</v>
      </c>
      <c r="AK237" s="120">
        <f t="shared" si="53"/>
        <v>6.5117453296447279</v>
      </c>
      <c r="AL237" s="108">
        <v>26.5</v>
      </c>
      <c r="AM237" s="119">
        <v>9228.91</v>
      </c>
      <c r="AN237" s="120">
        <f t="shared" si="54"/>
        <v>9.1300962273489183</v>
      </c>
      <c r="AO237" s="96">
        <v>81.8262</v>
      </c>
      <c r="AP237" s="94">
        <v>124.14400000000001</v>
      </c>
      <c r="AQ237" s="95">
        <v>4.8214399999999999</v>
      </c>
      <c r="AR237" s="94">
        <v>11.6</v>
      </c>
      <c r="AS237" s="95">
        <f t="shared" si="55"/>
        <v>2.451005098112319</v>
      </c>
      <c r="AT237" s="96">
        <v>60.402999999999999</v>
      </c>
    </row>
    <row r="238" spans="1:46">
      <c r="A238" s="109">
        <v>22</v>
      </c>
      <c r="B238" s="110" t="s">
        <v>11</v>
      </c>
      <c r="C238" s="110" t="s">
        <v>10</v>
      </c>
      <c r="D238" s="111">
        <v>2015</v>
      </c>
      <c r="E238" s="109">
        <v>20.9</v>
      </c>
      <c r="F238" s="111">
        <f t="shared" si="42"/>
        <v>3.039749158970765</v>
      </c>
      <c r="G238" s="93">
        <v>3.2954599999999998</v>
      </c>
      <c r="H238" s="93">
        <v>16000000000</v>
      </c>
      <c r="I238" s="94">
        <v>12637.5</v>
      </c>
      <c r="J238" s="95">
        <v>9.4444300000000005</v>
      </c>
      <c r="K238" s="96">
        <v>0.46</v>
      </c>
      <c r="L238" s="109">
        <v>15.577</v>
      </c>
      <c r="M238" s="111">
        <f t="shared" si="43"/>
        <v>2.7457954673444687</v>
      </c>
      <c r="N238" s="112">
        <v>0.68720000000000003</v>
      </c>
      <c r="O238" s="113">
        <f t="shared" si="44"/>
        <v>-0.37512990831209136</v>
      </c>
      <c r="P238" s="109">
        <v>697</v>
      </c>
      <c r="Q238" s="111">
        <f t="shared" si="45"/>
        <v>6.5467854107605241</v>
      </c>
      <c r="R238" s="93">
        <v>32.5</v>
      </c>
      <c r="S238" s="114">
        <v>69.7</v>
      </c>
      <c r="T238" s="113">
        <f t="shared" si="46"/>
        <v>4.2442003177664782</v>
      </c>
      <c r="U238" s="112">
        <v>11.9</v>
      </c>
      <c r="V238" s="113">
        <f t="shared" si="47"/>
        <v>2.4765384001174837</v>
      </c>
      <c r="W238" s="115">
        <v>484.5</v>
      </c>
      <c r="X238" s="101">
        <f t="shared" si="48"/>
        <v>6.183117431330821</v>
      </c>
      <c r="Y238" s="116">
        <v>8160</v>
      </c>
      <c r="Z238" s="102">
        <v>418033</v>
      </c>
      <c r="AA238" s="235">
        <v>1.83</v>
      </c>
      <c r="AB238" s="117">
        <f t="shared" si="49"/>
        <v>0.60431596685332956</v>
      </c>
      <c r="AC238" s="115">
        <v>108</v>
      </c>
      <c r="AD238" s="117">
        <f t="shared" si="50"/>
        <v>4.6821312271242199</v>
      </c>
      <c r="AE238" s="109">
        <v>9703.5810999999994</v>
      </c>
      <c r="AF238" s="111">
        <f t="shared" si="51"/>
        <v>9.180250281926261</v>
      </c>
      <c r="AG238" s="118">
        <v>17.600000000000001</v>
      </c>
      <c r="AH238" s="119">
        <v>15.577</v>
      </c>
      <c r="AI238" s="120">
        <f t="shared" si="52"/>
        <v>2.7457954673444687</v>
      </c>
      <c r="AJ238" s="121">
        <v>697</v>
      </c>
      <c r="AK238" s="120">
        <f t="shared" si="53"/>
        <v>6.5467854107605241</v>
      </c>
      <c r="AL238" s="108">
        <v>32.5</v>
      </c>
      <c r="AM238" s="119">
        <v>9703.58</v>
      </c>
      <c r="AN238" s="120">
        <f t="shared" si="54"/>
        <v>9.1802501685660438</v>
      </c>
      <c r="AO238" s="96">
        <v>82.406800000000004</v>
      </c>
      <c r="AP238" s="94">
        <v>124.062</v>
      </c>
      <c r="AQ238" s="95">
        <v>4.8207800000000001</v>
      </c>
      <c r="AR238" s="94">
        <v>11.9</v>
      </c>
      <c r="AS238" s="95">
        <f t="shared" si="55"/>
        <v>2.4765384001174837</v>
      </c>
      <c r="AT238" s="96">
        <v>60.277999999999999</v>
      </c>
    </row>
    <row r="239" spans="1:46">
      <c r="A239" s="109">
        <v>22</v>
      </c>
      <c r="B239" s="110" t="s">
        <v>11</v>
      </c>
      <c r="C239" s="110" t="s">
        <v>10</v>
      </c>
      <c r="D239" s="111">
        <v>2016</v>
      </c>
      <c r="E239" s="109">
        <v>19.600000000000001</v>
      </c>
      <c r="F239" s="111">
        <f t="shared" si="42"/>
        <v>2.9755295662364718</v>
      </c>
      <c r="G239" s="93">
        <v>3.81609</v>
      </c>
      <c r="H239" s="93">
        <v>18000000000</v>
      </c>
      <c r="I239" s="94">
        <v>13026.2</v>
      </c>
      <c r="J239" s="95">
        <v>9.4747199999999996</v>
      </c>
      <c r="K239" s="96">
        <v>0.45</v>
      </c>
      <c r="L239" s="109">
        <v>15.962</v>
      </c>
      <c r="M239" s="111">
        <f t="shared" si="43"/>
        <v>2.7702108974538171</v>
      </c>
      <c r="N239" s="112">
        <v>0.68889999999999996</v>
      </c>
      <c r="O239" s="113">
        <f t="shared" si="44"/>
        <v>-0.37265915638298697</v>
      </c>
      <c r="P239" s="109">
        <v>642</v>
      </c>
      <c r="Q239" s="111">
        <f t="shared" si="45"/>
        <v>6.4645883036899612</v>
      </c>
      <c r="R239" s="93">
        <v>34.799999</v>
      </c>
      <c r="S239" s="114">
        <v>82.2</v>
      </c>
      <c r="T239" s="113">
        <f t="shared" si="46"/>
        <v>4.4091553020621346</v>
      </c>
      <c r="U239" s="112">
        <v>1.6</v>
      </c>
      <c r="V239" s="113">
        <f t="shared" si="47"/>
        <v>0.47000362924573563</v>
      </c>
      <c r="W239" s="115">
        <v>412.7</v>
      </c>
      <c r="X239" s="101">
        <f t="shared" si="48"/>
        <v>6.0227209367585361</v>
      </c>
      <c r="Y239" s="116">
        <v>8263</v>
      </c>
      <c r="Z239" s="102">
        <v>422007</v>
      </c>
      <c r="AA239" s="235">
        <v>1.17</v>
      </c>
      <c r="AB239" s="117">
        <f t="shared" si="49"/>
        <v>0.15700374880966469</v>
      </c>
      <c r="AC239" s="115">
        <v>116</v>
      </c>
      <c r="AD239" s="117">
        <f t="shared" si="50"/>
        <v>4.7535901911063645</v>
      </c>
      <c r="AE239" s="109">
        <v>9701.8330000000005</v>
      </c>
      <c r="AF239" s="111">
        <f t="shared" si="51"/>
        <v>9.1800701157112332</v>
      </c>
      <c r="AG239" s="118">
        <v>17.8</v>
      </c>
      <c r="AH239" s="119">
        <v>15.962</v>
      </c>
      <c r="AI239" s="120">
        <f t="shared" si="52"/>
        <v>2.7702108974538171</v>
      </c>
      <c r="AJ239" s="121">
        <v>642</v>
      </c>
      <c r="AK239" s="120">
        <f t="shared" si="53"/>
        <v>6.4645883036899612</v>
      </c>
      <c r="AL239" s="108">
        <v>34.799999999999997</v>
      </c>
      <c r="AM239" s="119">
        <v>9701.83</v>
      </c>
      <c r="AN239" s="120">
        <f t="shared" si="54"/>
        <v>9.180069806491268</v>
      </c>
      <c r="AO239" s="96">
        <v>85.222399999999993</v>
      </c>
      <c r="AP239" s="94">
        <v>124.008</v>
      </c>
      <c r="AQ239" s="95">
        <v>4.8203500000000004</v>
      </c>
      <c r="AR239" s="94">
        <v>11.3</v>
      </c>
      <c r="AS239" s="95">
        <f t="shared" si="55"/>
        <v>2.4248027257182949</v>
      </c>
      <c r="AT239" s="96">
        <v>60.177999999999997</v>
      </c>
    </row>
    <row r="240" spans="1:46">
      <c r="A240" s="109">
        <v>22</v>
      </c>
      <c r="B240" s="110" t="s">
        <v>11</v>
      </c>
      <c r="C240" s="110" t="s">
        <v>10</v>
      </c>
      <c r="D240" s="111">
        <v>2017</v>
      </c>
      <c r="E240" s="109">
        <v>20.100000000000001</v>
      </c>
      <c r="F240" s="111">
        <f t="shared" si="42"/>
        <v>3.0007198150650303</v>
      </c>
      <c r="G240" s="93">
        <v>2.3781300000000001</v>
      </c>
      <c r="H240" s="93">
        <v>13000000000</v>
      </c>
      <c r="I240" s="94">
        <v>13695.6</v>
      </c>
      <c r="J240" s="95">
        <v>9.5248299999999997</v>
      </c>
      <c r="K240" s="96">
        <v>0.47</v>
      </c>
      <c r="L240" s="109">
        <v>17.292998999999998</v>
      </c>
      <c r="M240" s="111">
        <f t="shared" si="43"/>
        <v>2.8503017375169168</v>
      </c>
      <c r="N240" s="112">
        <v>0.68049999999999999</v>
      </c>
      <c r="O240" s="113">
        <f t="shared" si="44"/>
        <v>-0.3849274568906163</v>
      </c>
      <c r="P240" s="109">
        <v>611</v>
      </c>
      <c r="Q240" s="111">
        <f t="shared" si="45"/>
        <v>6.4150969591715956</v>
      </c>
      <c r="R240" s="93">
        <v>33.799999</v>
      </c>
      <c r="S240" s="114">
        <v>82.7</v>
      </c>
      <c r="T240" s="113">
        <f t="shared" si="46"/>
        <v>4.4152196020296453</v>
      </c>
      <c r="U240" s="112">
        <v>1.4</v>
      </c>
      <c r="V240" s="113">
        <f t="shared" si="47"/>
        <v>0.33647223662121289</v>
      </c>
      <c r="W240" s="115">
        <v>1619.4</v>
      </c>
      <c r="X240" s="101">
        <f t="shared" si="48"/>
        <v>7.3898109892520143</v>
      </c>
      <c r="Y240" s="116">
        <v>9092</v>
      </c>
      <c r="Z240" s="102">
        <v>427247</v>
      </c>
      <c r="AA240" s="235">
        <v>0.9</v>
      </c>
      <c r="AB240" s="117">
        <f t="shared" si="49"/>
        <v>-0.10536051565782628</v>
      </c>
      <c r="AC240" s="115">
        <v>119</v>
      </c>
      <c r="AD240" s="117">
        <f t="shared" si="50"/>
        <v>4.7791234931115296</v>
      </c>
      <c r="AE240" s="109">
        <v>9251.5985999999994</v>
      </c>
      <c r="AF240" s="111">
        <f t="shared" si="51"/>
        <v>9.1325516371961566</v>
      </c>
      <c r="AG240" s="118">
        <v>18.100000000000001</v>
      </c>
      <c r="AH240" s="119">
        <v>17.292999999999999</v>
      </c>
      <c r="AI240" s="120">
        <f t="shared" si="52"/>
        <v>2.850301795343785</v>
      </c>
      <c r="AJ240" s="121">
        <v>611</v>
      </c>
      <c r="AK240" s="120">
        <f t="shared" si="53"/>
        <v>6.4150969591715956</v>
      </c>
      <c r="AL240" s="108">
        <v>33.799999999999997</v>
      </c>
      <c r="AM240" s="119">
        <v>9251.6</v>
      </c>
      <c r="AN240" s="120">
        <f t="shared" si="54"/>
        <v>9.1325517885213436</v>
      </c>
      <c r="AO240" s="96">
        <v>88.609800000000007</v>
      </c>
      <c r="AP240" s="94">
        <v>124.024</v>
      </c>
      <c r="AQ240" s="95">
        <v>4.8204700000000003</v>
      </c>
      <c r="AR240" s="94">
        <v>11.1</v>
      </c>
      <c r="AS240" s="95">
        <f t="shared" si="55"/>
        <v>2.4069451083182885</v>
      </c>
      <c r="AT240" s="96">
        <v>60.104999999999997</v>
      </c>
    </row>
    <row r="241" spans="1:46">
      <c r="A241" s="109">
        <v>22</v>
      </c>
      <c r="B241" s="110" t="s">
        <v>11</v>
      </c>
      <c r="C241" s="110" t="s">
        <v>10</v>
      </c>
      <c r="D241" s="111">
        <v>2018</v>
      </c>
      <c r="E241" s="109">
        <v>20.399999999999999</v>
      </c>
      <c r="F241" s="111">
        <f t="shared" si="42"/>
        <v>3.0155349008501706</v>
      </c>
      <c r="G241" s="93">
        <v>3.3480400000000001</v>
      </c>
      <c r="H241" s="93">
        <v>20000000000</v>
      </c>
      <c r="I241" s="94">
        <v>14551.1</v>
      </c>
      <c r="J241" s="95">
        <v>9.5854199999999992</v>
      </c>
      <c r="K241" s="96">
        <v>0.44</v>
      </c>
      <c r="L241" s="109">
        <v>17.794001000000002</v>
      </c>
      <c r="M241" s="111">
        <f t="shared" si="43"/>
        <v>2.8788613780212926</v>
      </c>
      <c r="N241" s="112">
        <v>0.70269999999999999</v>
      </c>
      <c r="O241" s="113">
        <f t="shared" si="44"/>
        <v>-0.35282522078398504</v>
      </c>
      <c r="P241" s="109">
        <v>618</v>
      </c>
      <c r="Q241" s="111">
        <f t="shared" si="45"/>
        <v>6.4264884574576904</v>
      </c>
      <c r="R241" s="93">
        <v>34.299999</v>
      </c>
      <c r="S241" s="114">
        <v>87.6</v>
      </c>
      <c r="T241" s="113">
        <f t="shared" si="46"/>
        <v>4.4727809979423458</v>
      </c>
      <c r="U241" s="112">
        <v>1.5</v>
      </c>
      <c r="V241" s="113">
        <f t="shared" si="47"/>
        <v>0.40546510810816438</v>
      </c>
      <c r="W241" s="115">
        <v>1975.2</v>
      </c>
      <c r="X241" s="101">
        <f t="shared" si="48"/>
        <v>7.5884249380309701</v>
      </c>
      <c r="Y241" s="116">
        <v>9628</v>
      </c>
      <c r="Z241" s="102">
        <v>429029</v>
      </c>
      <c r="AA241" s="235">
        <v>0.57999999999999996</v>
      </c>
      <c r="AB241" s="117">
        <f t="shared" si="49"/>
        <v>-0.54472717544167215</v>
      </c>
      <c r="AC241" s="115">
        <v>122</v>
      </c>
      <c r="AD241" s="117">
        <f t="shared" si="50"/>
        <v>4.8040210447332568</v>
      </c>
      <c r="AE241" s="109">
        <v>8841.4385000000002</v>
      </c>
      <c r="AF241" s="111">
        <f t="shared" si="51"/>
        <v>9.0872048686375546</v>
      </c>
      <c r="AG241" s="118">
        <v>19.5</v>
      </c>
      <c r="AH241" s="119">
        <v>17.794</v>
      </c>
      <c r="AI241" s="120">
        <f t="shared" si="52"/>
        <v>2.8788613218225758</v>
      </c>
      <c r="AJ241" s="121">
        <v>618</v>
      </c>
      <c r="AK241" s="120">
        <f t="shared" si="53"/>
        <v>6.4264884574576904</v>
      </c>
      <c r="AL241" s="108">
        <v>34.299999999999997</v>
      </c>
      <c r="AM241" s="119">
        <v>8841.44</v>
      </c>
      <c r="AN241" s="120">
        <f t="shared" si="54"/>
        <v>9.0872050382931899</v>
      </c>
      <c r="AO241" s="96">
        <v>89.558199999999999</v>
      </c>
      <c r="AP241" s="94">
        <v>124.032</v>
      </c>
      <c r="AQ241" s="95">
        <v>4.8205400000000003</v>
      </c>
      <c r="AR241" s="94">
        <v>15.1</v>
      </c>
      <c r="AS241" s="95">
        <f t="shared" si="55"/>
        <v>2.7146947438208788</v>
      </c>
      <c r="AT241" s="96">
        <v>60.058</v>
      </c>
    </row>
    <row r="242" spans="1:46">
      <c r="A242" s="109">
        <v>22</v>
      </c>
      <c r="B242" s="110" t="s">
        <v>11</v>
      </c>
      <c r="C242" s="110" t="s">
        <v>10</v>
      </c>
      <c r="D242" s="111">
        <v>2019</v>
      </c>
      <c r="E242" s="109">
        <v>20.9</v>
      </c>
      <c r="F242" s="111">
        <f t="shared" si="42"/>
        <v>3.039749158970765</v>
      </c>
      <c r="G242" s="93">
        <v>3.15456</v>
      </c>
      <c r="H242" s="93">
        <v>19000000000</v>
      </c>
      <c r="I242" s="94">
        <v>15221.3</v>
      </c>
      <c r="J242" s="95">
        <v>9.6304499999999997</v>
      </c>
      <c r="K242" s="96">
        <v>0.43</v>
      </c>
      <c r="L242" s="109">
        <v>17.056999000000001</v>
      </c>
      <c r="M242" s="111">
        <f t="shared" si="43"/>
        <v>2.8365606180317777</v>
      </c>
      <c r="N242" s="112">
        <v>0.77110000000000001</v>
      </c>
      <c r="O242" s="113">
        <f t="shared" si="44"/>
        <v>-0.25993721214322207</v>
      </c>
      <c r="P242" s="109">
        <v>598</v>
      </c>
      <c r="Q242" s="111">
        <f t="shared" si="45"/>
        <v>6.3935907539506314</v>
      </c>
      <c r="R242" s="93">
        <v>34.099997999999999</v>
      </c>
      <c r="S242" s="114">
        <v>82.4</v>
      </c>
      <c r="T242" s="113">
        <f t="shared" si="46"/>
        <v>4.4115854369154262</v>
      </c>
      <c r="U242" s="112">
        <v>9.1999999999999993</v>
      </c>
      <c r="V242" s="113">
        <f t="shared" si="47"/>
        <v>2.2192034840549946</v>
      </c>
      <c r="W242" s="115">
        <v>1577.3</v>
      </c>
      <c r="X242" s="101">
        <f t="shared" si="48"/>
        <v>7.3634698034934285</v>
      </c>
      <c r="Y242" s="116">
        <v>10590</v>
      </c>
      <c r="Z242" s="102">
        <v>435574</v>
      </c>
      <c r="AA242" s="235">
        <v>0.53</v>
      </c>
      <c r="AB242" s="117">
        <f t="shared" si="49"/>
        <v>-0.6348782724359695</v>
      </c>
      <c r="AC242" s="115">
        <v>124</v>
      </c>
      <c r="AD242" s="117">
        <f t="shared" si="50"/>
        <v>4.8202815656050371</v>
      </c>
      <c r="AE242" s="109">
        <v>6967.3500999999997</v>
      </c>
      <c r="AF242" s="111">
        <f t="shared" si="51"/>
        <v>8.8489902449517235</v>
      </c>
      <c r="AG242" s="118">
        <v>19.5</v>
      </c>
      <c r="AH242" s="119">
        <v>17.056999999999999</v>
      </c>
      <c r="AI242" s="120">
        <f t="shared" si="52"/>
        <v>2.8365606766587357</v>
      </c>
      <c r="AJ242" s="121">
        <v>598</v>
      </c>
      <c r="AK242" s="120">
        <f t="shared" si="53"/>
        <v>6.3935907539506314</v>
      </c>
      <c r="AL242" s="108">
        <v>34.1</v>
      </c>
      <c r="AM242" s="119">
        <v>6967.35</v>
      </c>
      <c r="AN242" s="120">
        <f t="shared" si="54"/>
        <v>8.8489902305990658</v>
      </c>
      <c r="AO242" s="96">
        <v>88.251400000000004</v>
      </c>
      <c r="AP242" s="94">
        <v>124.026</v>
      </c>
      <c r="AQ242" s="95">
        <v>4.8204900000000004</v>
      </c>
      <c r="AR242" s="94">
        <v>15.6</v>
      </c>
      <c r="AS242" s="95">
        <f t="shared" si="55"/>
        <v>2.7472709142554912</v>
      </c>
      <c r="AT242" s="96">
        <v>60.036999999999999</v>
      </c>
    </row>
    <row r="243" spans="1:46">
      <c r="A243" s="109">
        <v>22</v>
      </c>
      <c r="B243" s="110" t="s">
        <v>11</v>
      </c>
      <c r="C243" s="110" t="s">
        <v>10</v>
      </c>
      <c r="D243" s="111">
        <v>2020</v>
      </c>
      <c r="E243" s="109">
        <v>21.5</v>
      </c>
      <c r="F243" s="111">
        <f t="shared" si="42"/>
        <v>3.068052935133617</v>
      </c>
      <c r="G243" s="93">
        <v>3.3149899999999999</v>
      </c>
      <c r="H243" s="93">
        <v>20000000000</v>
      </c>
      <c r="I243" s="94">
        <v>14937.6</v>
      </c>
      <c r="J243" s="95">
        <v>9.6116399999999995</v>
      </c>
      <c r="K243" s="96">
        <v>0.45</v>
      </c>
      <c r="L243" s="109">
        <v>16.774999999999999</v>
      </c>
      <c r="M243" s="111">
        <f t="shared" si="43"/>
        <v>2.8198896828577453</v>
      </c>
      <c r="N243" s="112">
        <v>0.76490000000000002</v>
      </c>
      <c r="O243" s="113">
        <f t="shared" si="44"/>
        <v>-0.26801017265431665</v>
      </c>
      <c r="P243" s="109">
        <v>595</v>
      </c>
      <c r="Q243" s="111">
        <f t="shared" si="45"/>
        <v>6.3885614055456301</v>
      </c>
      <c r="R243" s="93">
        <v>38.700001</v>
      </c>
      <c r="S243" s="114">
        <v>85.9</v>
      </c>
      <c r="T243" s="113">
        <f t="shared" si="46"/>
        <v>4.4531838289902099</v>
      </c>
      <c r="U243" s="112">
        <v>7.4</v>
      </c>
      <c r="V243" s="113">
        <f t="shared" si="47"/>
        <v>2.0014800002101243</v>
      </c>
      <c r="W243" s="115">
        <v>736.6</v>
      </c>
      <c r="X243" s="101">
        <f t="shared" si="48"/>
        <v>6.6020450040109653</v>
      </c>
      <c r="Y243" s="116">
        <v>10025</v>
      </c>
      <c r="Z243" s="102">
        <v>437080</v>
      </c>
      <c r="AA243" s="235">
        <v>0.46</v>
      </c>
      <c r="AB243" s="117">
        <f t="shared" si="49"/>
        <v>-0.77652878949899629</v>
      </c>
      <c r="AC243" s="115">
        <v>127</v>
      </c>
      <c r="AD243" s="117">
        <f t="shared" si="50"/>
        <v>4.8441870864585912</v>
      </c>
      <c r="AE243" s="109">
        <v>6900.0181000000002</v>
      </c>
      <c r="AF243" s="111">
        <f t="shared" si="51"/>
        <v>8.8392793137703158</v>
      </c>
      <c r="AG243" s="118">
        <v>19.3</v>
      </c>
      <c r="AH243" s="119">
        <v>16.774999999999999</v>
      </c>
      <c r="AI243" s="120">
        <f t="shared" si="52"/>
        <v>2.8198896828577453</v>
      </c>
      <c r="AJ243" s="121">
        <v>595</v>
      </c>
      <c r="AK243" s="120">
        <f t="shared" si="53"/>
        <v>6.3885614055456301</v>
      </c>
      <c r="AL243" s="108">
        <v>38.700000000000003</v>
      </c>
      <c r="AM243" s="119">
        <v>6900.02</v>
      </c>
      <c r="AN243" s="120">
        <f t="shared" si="54"/>
        <v>8.8392795891318752</v>
      </c>
      <c r="AO243" s="96">
        <v>88.372399999999999</v>
      </c>
      <c r="AP243" s="94">
        <v>123.801</v>
      </c>
      <c r="AQ243" s="95">
        <v>4.81867</v>
      </c>
      <c r="AR243" s="94">
        <v>16.100000000000001</v>
      </c>
      <c r="AS243" s="95">
        <f t="shared" si="55"/>
        <v>2.7788192719904172</v>
      </c>
      <c r="AT243" s="96">
        <v>60.042999999999999</v>
      </c>
    </row>
    <row r="244" spans="1:46">
      <c r="A244" s="109">
        <v>23</v>
      </c>
      <c r="B244" s="110" t="s">
        <v>9</v>
      </c>
      <c r="C244" s="110" t="s">
        <v>8</v>
      </c>
      <c r="D244" s="111">
        <v>2010</v>
      </c>
      <c r="E244" s="109">
        <v>31</v>
      </c>
      <c r="F244" s="111">
        <f t="shared" si="42"/>
        <v>3.4339872044851463</v>
      </c>
      <c r="G244" s="93">
        <v>3.7606000000000002</v>
      </c>
      <c r="H244" s="93">
        <v>9000000000</v>
      </c>
      <c r="I244" s="94">
        <v>19698.7</v>
      </c>
      <c r="J244" s="95">
        <v>9.8883100000000006</v>
      </c>
      <c r="K244" s="96">
        <v>0.72</v>
      </c>
      <c r="L244" s="109">
        <v>19.722000000000001</v>
      </c>
      <c r="M244" s="111">
        <f t="shared" si="43"/>
        <v>2.9817347639101373</v>
      </c>
      <c r="N244" s="112">
        <v>0.92290000000000005</v>
      </c>
      <c r="O244" s="113">
        <f t="shared" si="44"/>
        <v>-8.0234392710605951E-2</v>
      </c>
      <c r="P244" s="109">
        <v>549</v>
      </c>
      <c r="Q244" s="111">
        <f t="shared" si="45"/>
        <v>6.3080984415095305</v>
      </c>
      <c r="R244" s="93">
        <v>18.700001</v>
      </c>
      <c r="S244" s="114">
        <v>85</v>
      </c>
      <c r="T244" s="113">
        <f t="shared" si="46"/>
        <v>4.4426512564903167</v>
      </c>
      <c r="U244" s="112">
        <v>1.8</v>
      </c>
      <c r="V244" s="113">
        <f t="shared" si="47"/>
        <v>0.58778666490211906</v>
      </c>
      <c r="W244" s="115">
        <v>17661</v>
      </c>
      <c r="X244" s="101">
        <f t="shared" si="48"/>
        <v>9.7791140976963717</v>
      </c>
      <c r="Y244" s="116">
        <v>2750</v>
      </c>
      <c r="Z244" s="102">
        <v>89774</v>
      </c>
      <c r="AA244" s="235">
        <v>0.24</v>
      </c>
      <c r="AB244" s="117">
        <f t="shared" si="49"/>
        <v>-1.4271163556401458</v>
      </c>
      <c r="AC244" s="115">
        <v>100</v>
      </c>
      <c r="AD244" s="117">
        <f t="shared" si="50"/>
        <v>4.6051701859880918</v>
      </c>
      <c r="AE244" s="109">
        <v>5589.5312999999996</v>
      </c>
      <c r="AF244" s="111">
        <f t="shared" si="51"/>
        <v>8.6286507164800135</v>
      </c>
      <c r="AG244" s="118">
        <v>23.6</v>
      </c>
      <c r="AH244" s="119">
        <v>19.722000000000001</v>
      </c>
      <c r="AI244" s="120">
        <f t="shared" si="52"/>
        <v>2.9817347639101373</v>
      </c>
      <c r="AJ244" s="121">
        <v>549</v>
      </c>
      <c r="AK244" s="120">
        <f t="shared" si="53"/>
        <v>6.3080984415095305</v>
      </c>
      <c r="AL244" s="108">
        <v>18.7</v>
      </c>
      <c r="AM244" s="119">
        <v>5589.53</v>
      </c>
      <c r="AN244" s="120">
        <f t="shared" si="54"/>
        <v>8.6286504839023461</v>
      </c>
      <c r="AO244" s="96">
        <v>53.326999999999998</v>
      </c>
      <c r="AP244" s="94">
        <v>115.43899999999999</v>
      </c>
      <c r="AQ244" s="95">
        <v>4.7487500000000002</v>
      </c>
      <c r="AR244" s="94">
        <v>27.8</v>
      </c>
      <c r="AS244" s="95">
        <f t="shared" si="55"/>
        <v>3.3250360206965914</v>
      </c>
      <c r="AT244" s="96">
        <v>60.567</v>
      </c>
    </row>
    <row r="245" spans="1:46">
      <c r="A245" s="109">
        <v>23</v>
      </c>
      <c r="B245" s="110" t="s">
        <v>9</v>
      </c>
      <c r="C245" s="110" t="s">
        <v>8</v>
      </c>
      <c r="D245" s="111">
        <v>2011</v>
      </c>
      <c r="E245" s="109">
        <v>31.5</v>
      </c>
      <c r="F245" s="111">
        <f t="shared" si="42"/>
        <v>3.4499875458315872</v>
      </c>
      <c r="G245" s="93">
        <v>4.0016299999999996</v>
      </c>
      <c r="H245" s="93">
        <v>9800000000</v>
      </c>
      <c r="I245" s="94">
        <v>19389.599999999999</v>
      </c>
      <c r="J245" s="95">
        <v>9.8724900000000009</v>
      </c>
      <c r="K245" s="96">
        <v>0.67</v>
      </c>
      <c r="L245" s="109">
        <v>18.235001</v>
      </c>
      <c r="M245" s="111">
        <f t="shared" si="43"/>
        <v>2.9033428791002365</v>
      </c>
      <c r="N245" s="112">
        <v>0.97929999999999995</v>
      </c>
      <c r="O245" s="113">
        <f t="shared" si="44"/>
        <v>-2.0917248255388307E-2</v>
      </c>
      <c r="P245" s="109">
        <v>526</v>
      </c>
      <c r="Q245" s="111">
        <f t="shared" si="45"/>
        <v>6.2653012127377101</v>
      </c>
      <c r="R245" s="93">
        <v>20.100000000000001</v>
      </c>
      <c r="S245" s="114">
        <v>83</v>
      </c>
      <c r="T245" s="113">
        <f t="shared" si="46"/>
        <v>4.4188406077965983</v>
      </c>
      <c r="U245" s="112">
        <v>1.7</v>
      </c>
      <c r="V245" s="113">
        <f t="shared" si="47"/>
        <v>0.53062825106217038</v>
      </c>
      <c r="W245" s="115">
        <v>17629</v>
      </c>
      <c r="X245" s="101">
        <f t="shared" si="48"/>
        <v>9.7773005522857428</v>
      </c>
      <c r="Y245" s="116">
        <v>2626</v>
      </c>
      <c r="Z245" s="102">
        <v>87587</v>
      </c>
      <c r="AA245" s="235">
        <v>0.5</v>
      </c>
      <c r="AB245" s="117">
        <f t="shared" si="49"/>
        <v>-0.69314718055994529</v>
      </c>
      <c r="AC245" s="115">
        <v>95</v>
      </c>
      <c r="AD245" s="117">
        <f t="shared" si="50"/>
        <v>4.5538768916005408</v>
      </c>
      <c r="AE245" s="109">
        <v>5443.8306000000002</v>
      </c>
      <c r="AF245" s="111">
        <f t="shared" si="51"/>
        <v>8.6022382464613543</v>
      </c>
      <c r="AG245" s="118">
        <v>24.3</v>
      </c>
      <c r="AH245" s="119">
        <v>18.234999999999999</v>
      </c>
      <c r="AI245" s="120">
        <f t="shared" si="52"/>
        <v>2.9033428242606436</v>
      </c>
      <c r="AJ245" s="121">
        <v>526</v>
      </c>
      <c r="AK245" s="120">
        <f t="shared" si="53"/>
        <v>6.2653012127377101</v>
      </c>
      <c r="AL245" s="108">
        <v>20.100000000000001</v>
      </c>
      <c r="AM245" s="119">
        <v>5443.83</v>
      </c>
      <c r="AN245" s="120">
        <f t="shared" si="54"/>
        <v>8.602238136244841</v>
      </c>
      <c r="AO245" s="96">
        <v>58.067399999999999</v>
      </c>
      <c r="AP245" s="94">
        <v>115.27</v>
      </c>
      <c r="AQ245" s="95">
        <v>4.7472799999999999</v>
      </c>
      <c r="AR245" s="94">
        <v>27.2</v>
      </c>
      <c r="AS245" s="95">
        <f t="shared" si="55"/>
        <v>3.3032169733019514</v>
      </c>
      <c r="AT245" s="96">
        <v>61.167000000000002</v>
      </c>
    </row>
    <row r="246" spans="1:46">
      <c r="A246" s="109">
        <v>23</v>
      </c>
      <c r="B246" s="110" t="s">
        <v>9</v>
      </c>
      <c r="C246" s="110" t="s">
        <v>8</v>
      </c>
      <c r="D246" s="111">
        <v>2012</v>
      </c>
      <c r="E246" s="109">
        <v>34</v>
      </c>
      <c r="F246" s="111">
        <f t="shared" si="42"/>
        <v>3.5263605246161616</v>
      </c>
      <c r="G246" s="93">
        <v>9.8811800000000005</v>
      </c>
      <c r="H246" s="93">
        <v>21000000000</v>
      </c>
      <c r="I246" s="94">
        <v>18679.8</v>
      </c>
      <c r="J246" s="95">
        <v>9.8352000000000004</v>
      </c>
      <c r="K246" s="96">
        <v>0.65</v>
      </c>
      <c r="L246" s="109">
        <v>16.080998999999998</v>
      </c>
      <c r="M246" s="111">
        <f t="shared" si="43"/>
        <v>2.777638388686698</v>
      </c>
      <c r="N246" s="112">
        <v>1.0243</v>
      </c>
      <c r="O246" s="113">
        <f t="shared" si="44"/>
        <v>2.4009452460351854E-2</v>
      </c>
      <c r="P246" s="109">
        <v>527</v>
      </c>
      <c r="Q246" s="111">
        <f t="shared" si="45"/>
        <v>6.2672005485413624</v>
      </c>
      <c r="R246" s="93">
        <v>26.1</v>
      </c>
      <c r="S246" s="114">
        <v>86.6</v>
      </c>
      <c r="T246" s="113">
        <f t="shared" si="46"/>
        <v>4.4612998155683892</v>
      </c>
      <c r="U246" s="112">
        <v>2</v>
      </c>
      <c r="V246" s="113">
        <f t="shared" si="47"/>
        <v>0.69314718055994529</v>
      </c>
      <c r="W246" s="115">
        <v>19036.900000000001</v>
      </c>
      <c r="X246" s="101">
        <f t="shared" si="48"/>
        <v>9.8541344799634842</v>
      </c>
      <c r="Y246" s="116">
        <v>2453</v>
      </c>
      <c r="Z246" s="102">
        <v>82546</v>
      </c>
      <c r="AA246" s="235">
        <v>0.27</v>
      </c>
      <c r="AB246" s="117">
        <f t="shared" si="49"/>
        <v>-1.3093333199837622</v>
      </c>
      <c r="AC246" s="115">
        <v>91</v>
      </c>
      <c r="AD246" s="117">
        <f t="shared" si="50"/>
        <v>4.5108595065168497</v>
      </c>
      <c r="AE246" s="109">
        <v>5466.8407999999999</v>
      </c>
      <c r="AF246" s="111">
        <f t="shared" si="51"/>
        <v>8.6064561782953994</v>
      </c>
      <c r="AG246" s="118">
        <v>25.4</v>
      </c>
      <c r="AH246" s="119">
        <v>16.081</v>
      </c>
      <c r="AI246" s="120">
        <f t="shared" si="52"/>
        <v>2.7776384508718874</v>
      </c>
      <c r="AJ246" s="121">
        <v>527</v>
      </c>
      <c r="AK246" s="120">
        <f t="shared" si="53"/>
        <v>6.2672005485413624</v>
      </c>
      <c r="AL246" s="108">
        <v>26.1</v>
      </c>
      <c r="AM246" s="119">
        <v>5466.84</v>
      </c>
      <c r="AN246" s="120">
        <f t="shared" si="54"/>
        <v>8.6064560319585865</v>
      </c>
      <c r="AO246" s="96">
        <v>60.275700000000001</v>
      </c>
      <c r="AP246" s="94">
        <v>114.803</v>
      </c>
      <c r="AQ246" s="95">
        <v>4.74322</v>
      </c>
      <c r="AR246" s="94">
        <v>25.5</v>
      </c>
      <c r="AS246" s="95">
        <f t="shared" si="55"/>
        <v>3.2386784521643803</v>
      </c>
      <c r="AT246" s="96">
        <v>61.762999999999998</v>
      </c>
    </row>
    <row r="247" spans="1:46">
      <c r="A247" s="109">
        <v>23</v>
      </c>
      <c r="B247" s="110" t="s">
        <v>9</v>
      </c>
      <c r="C247" s="110" t="s">
        <v>8</v>
      </c>
      <c r="D247" s="111">
        <v>2013</v>
      </c>
      <c r="E247" s="109">
        <v>34</v>
      </c>
      <c r="F247" s="111">
        <f t="shared" si="42"/>
        <v>3.5263605246161616</v>
      </c>
      <c r="G247" s="93">
        <v>6.9460899999999999</v>
      </c>
      <c r="H247" s="93">
        <v>16000000000</v>
      </c>
      <c r="I247" s="94">
        <v>18597.7</v>
      </c>
      <c r="J247" s="95">
        <v>9.8307900000000004</v>
      </c>
      <c r="K247" s="96">
        <v>0.68</v>
      </c>
      <c r="L247" s="109">
        <v>13.871</v>
      </c>
      <c r="M247" s="111">
        <f t="shared" si="43"/>
        <v>2.629800329781153</v>
      </c>
      <c r="N247" s="112">
        <v>1.1931</v>
      </c>
      <c r="O247" s="113">
        <f t="shared" si="44"/>
        <v>0.17655496189961761</v>
      </c>
      <c r="P247" s="109">
        <v>523</v>
      </c>
      <c r="Q247" s="111">
        <f t="shared" si="45"/>
        <v>6.2595814640649232</v>
      </c>
      <c r="R247" s="93">
        <v>25.799999</v>
      </c>
      <c r="S247" s="114">
        <v>86.6</v>
      </c>
      <c r="T247" s="113">
        <f t="shared" si="46"/>
        <v>4.4612998155683892</v>
      </c>
      <c r="U247" s="112">
        <v>2.5</v>
      </c>
      <c r="V247" s="113">
        <f t="shared" si="47"/>
        <v>0.91629073187415511</v>
      </c>
      <c r="W247" s="115">
        <v>17528.8</v>
      </c>
      <c r="X247" s="101">
        <f t="shared" si="48"/>
        <v>9.77160052149347</v>
      </c>
      <c r="Y247" s="116">
        <v>2361</v>
      </c>
      <c r="Z247" s="102">
        <v>79255</v>
      </c>
      <c r="AA247" s="235">
        <v>0.28999999999999998</v>
      </c>
      <c r="AB247" s="117">
        <f t="shared" si="49"/>
        <v>-1.2378743560016174</v>
      </c>
      <c r="AC247" s="115">
        <v>92</v>
      </c>
      <c r="AD247" s="117">
        <f t="shared" si="50"/>
        <v>4.5217885770490405</v>
      </c>
      <c r="AE247" s="109">
        <v>5890.4008999999996</v>
      </c>
      <c r="AF247" s="111">
        <f t="shared" si="51"/>
        <v>8.6810793388454766</v>
      </c>
      <c r="AG247" s="118">
        <v>28.8</v>
      </c>
      <c r="AH247" s="119">
        <v>13.871</v>
      </c>
      <c r="AI247" s="120">
        <f t="shared" si="52"/>
        <v>2.629800329781153</v>
      </c>
      <c r="AJ247" s="121">
        <v>523</v>
      </c>
      <c r="AK247" s="120">
        <f t="shared" si="53"/>
        <v>6.2595814640649232</v>
      </c>
      <c r="AL247" s="108">
        <v>25.8</v>
      </c>
      <c r="AM247" s="119">
        <v>5890.4</v>
      </c>
      <c r="AN247" s="120">
        <f t="shared" si="54"/>
        <v>8.6810791860545073</v>
      </c>
      <c r="AO247" s="96">
        <v>61.118600000000001</v>
      </c>
      <c r="AP247" s="94">
        <v>114.15600000000001</v>
      </c>
      <c r="AQ247" s="95">
        <v>4.7375699999999998</v>
      </c>
      <c r="AR247" s="94">
        <v>30.2</v>
      </c>
      <c r="AS247" s="95">
        <f t="shared" si="55"/>
        <v>3.4078419243808238</v>
      </c>
      <c r="AT247" s="96">
        <v>62.351999999999997</v>
      </c>
    </row>
    <row r="248" spans="1:46">
      <c r="A248" s="109">
        <v>23</v>
      </c>
      <c r="B248" s="110" t="s">
        <v>9</v>
      </c>
      <c r="C248" s="110" t="s">
        <v>8</v>
      </c>
      <c r="D248" s="111">
        <v>2014</v>
      </c>
      <c r="E248" s="109">
        <v>33.6</v>
      </c>
      <c r="F248" s="111">
        <f t="shared" si="42"/>
        <v>3.5145260669691587</v>
      </c>
      <c r="G248" s="93">
        <v>5.2355200000000002</v>
      </c>
      <c r="H248" s="93">
        <v>12000000000</v>
      </c>
      <c r="I248" s="94">
        <v>18836.900000000001</v>
      </c>
      <c r="J248" s="95">
        <v>9.8435699999999997</v>
      </c>
      <c r="K248" s="96">
        <v>0.74</v>
      </c>
      <c r="L248" s="109">
        <v>15.398999999999999</v>
      </c>
      <c r="M248" s="111">
        <f t="shared" si="43"/>
        <v>2.7343025722462757</v>
      </c>
      <c r="N248" s="112">
        <v>1.0931999999999999</v>
      </c>
      <c r="O248" s="113">
        <f t="shared" si="44"/>
        <v>8.9109175071775848E-2</v>
      </c>
      <c r="P248" s="109">
        <v>520</v>
      </c>
      <c r="Q248" s="111">
        <f t="shared" si="45"/>
        <v>6.253828811575473</v>
      </c>
      <c r="R248" s="93">
        <v>30.4</v>
      </c>
      <c r="S248" s="114">
        <v>76.900000000000006</v>
      </c>
      <c r="T248" s="113">
        <f t="shared" si="46"/>
        <v>4.3425058765115985</v>
      </c>
      <c r="U248" s="112">
        <v>2.4</v>
      </c>
      <c r="V248" s="113">
        <f t="shared" si="47"/>
        <v>0.87546873735389985</v>
      </c>
      <c r="W248" s="115">
        <v>19966.2</v>
      </c>
      <c r="X248" s="101">
        <f t="shared" si="48"/>
        <v>9.9017961228751492</v>
      </c>
      <c r="Y248" s="116">
        <v>2378</v>
      </c>
      <c r="Z248" s="102">
        <v>79264</v>
      </c>
      <c r="AA248" s="235">
        <v>0</v>
      </c>
      <c r="AB248" s="117">
        <v>0</v>
      </c>
      <c r="AC248" s="115">
        <v>95</v>
      </c>
      <c r="AD248" s="117">
        <f t="shared" si="50"/>
        <v>4.5538768916005408</v>
      </c>
      <c r="AE248" s="109">
        <v>5697.8456999999999</v>
      </c>
      <c r="AF248" s="111">
        <f t="shared" si="51"/>
        <v>8.6478434350141136</v>
      </c>
      <c r="AG248" s="118">
        <v>28.5</v>
      </c>
      <c r="AH248" s="119">
        <v>15.398999999999999</v>
      </c>
      <c r="AI248" s="120">
        <f t="shared" si="52"/>
        <v>2.7343025722462757</v>
      </c>
      <c r="AJ248" s="121">
        <v>520</v>
      </c>
      <c r="AK248" s="120">
        <f t="shared" si="53"/>
        <v>6.253828811575473</v>
      </c>
      <c r="AL248" s="108">
        <v>30.4</v>
      </c>
      <c r="AM248" s="119">
        <v>5697.85</v>
      </c>
      <c r="AN248" s="120">
        <f t="shared" si="54"/>
        <v>8.6478441896850189</v>
      </c>
      <c r="AO248" s="96">
        <v>61.814100000000003</v>
      </c>
      <c r="AP248" s="94">
        <v>113.542</v>
      </c>
      <c r="AQ248" s="95">
        <v>4.73217</v>
      </c>
      <c r="AR248" s="94">
        <v>30.5</v>
      </c>
      <c r="AS248" s="95">
        <f t="shared" si="55"/>
        <v>3.417726683613366</v>
      </c>
      <c r="AT248" s="96">
        <v>62.936</v>
      </c>
    </row>
    <row r="249" spans="1:46">
      <c r="A249" s="109">
        <v>23</v>
      </c>
      <c r="B249" s="110" t="s">
        <v>9</v>
      </c>
      <c r="C249" s="110" t="s">
        <v>8</v>
      </c>
      <c r="D249" s="111">
        <v>2015</v>
      </c>
      <c r="E249" s="109">
        <v>34.700000000000003</v>
      </c>
      <c r="F249" s="111">
        <f t="shared" si="42"/>
        <v>3.5467396869528134</v>
      </c>
      <c r="G249" s="93">
        <v>0.63807499999999995</v>
      </c>
      <c r="H249" s="93">
        <v>1300000000</v>
      </c>
      <c r="I249" s="94">
        <v>19215.8</v>
      </c>
      <c r="J249" s="95">
        <v>9.8634900000000005</v>
      </c>
      <c r="K249" s="96">
        <v>0.69</v>
      </c>
      <c r="L249" s="109">
        <v>16.191998999999999</v>
      </c>
      <c r="M249" s="111">
        <f t="shared" si="43"/>
        <v>2.7845172313461597</v>
      </c>
      <c r="N249" s="112">
        <v>1.1097999999999999</v>
      </c>
      <c r="O249" s="113">
        <f t="shared" si="44"/>
        <v>0.10417981890966373</v>
      </c>
      <c r="P249" s="109">
        <v>513</v>
      </c>
      <c r="Q249" s="111">
        <f t="shared" si="45"/>
        <v>6.2402758451707694</v>
      </c>
      <c r="R249" s="93">
        <v>29.799999</v>
      </c>
      <c r="S249" s="114">
        <v>78</v>
      </c>
      <c r="T249" s="113">
        <f t="shared" si="46"/>
        <v>4.3567088266895917</v>
      </c>
      <c r="U249" s="112">
        <v>2.1</v>
      </c>
      <c r="V249" s="113">
        <f t="shared" si="47"/>
        <v>0.74193734472937733</v>
      </c>
      <c r="W249" s="115">
        <v>25832.6</v>
      </c>
      <c r="X249" s="101">
        <f t="shared" si="48"/>
        <v>10.159392539173632</v>
      </c>
      <c r="Y249" s="116">
        <v>2620</v>
      </c>
      <c r="Z249" s="102">
        <v>82202</v>
      </c>
      <c r="AA249" s="235">
        <v>0.48</v>
      </c>
      <c r="AB249" s="117">
        <f t="shared" si="49"/>
        <v>-0.73396917508020043</v>
      </c>
      <c r="AC249" s="115">
        <v>95</v>
      </c>
      <c r="AD249" s="117">
        <f t="shared" si="50"/>
        <v>4.5538768916005408</v>
      </c>
      <c r="AE249" s="109">
        <v>6223.1187</v>
      </c>
      <c r="AF249" s="111">
        <f t="shared" si="51"/>
        <v>8.736026458788718</v>
      </c>
      <c r="AG249" s="118">
        <v>30.3</v>
      </c>
      <c r="AH249" s="119">
        <v>16.192</v>
      </c>
      <c r="AI249" s="120">
        <f t="shared" si="52"/>
        <v>2.784517293105055</v>
      </c>
      <c r="AJ249" s="121">
        <v>513</v>
      </c>
      <c r="AK249" s="120">
        <f t="shared" si="53"/>
        <v>6.2402758451707694</v>
      </c>
      <c r="AL249" s="108">
        <v>29.8</v>
      </c>
      <c r="AM249" s="119">
        <v>6223.12</v>
      </c>
      <c r="AN249" s="120">
        <f t="shared" si="54"/>
        <v>8.7360266676871703</v>
      </c>
      <c r="AO249" s="96">
        <v>61.275100000000002</v>
      </c>
      <c r="AP249" s="94">
        <v>113.07299999999999</v>
      </c>
      <c r="AQ249" s="95">
        <v>4.7280300000000004</v>
      </c>
      <c r="AR249" s="94">
        <v>27.2</v>
      </c>
      <c r="AS249" s="95">
        <f t="shared" si="55"/>
        <v>3.3032169733019514</v>
      </c>
      <c r="AT249" s="96">
        <v>63.514000000000003</v>
      </c>
    </row>
    <row r="250" spans="1:46">
      <c r="A250" s="109">
        <v>23</v>
      </c>
      <c r="B250" s="110" t="s">
        <v>9</v>
      </c>
      <c r="C250" s="110" t="s">
        <v>8</v>
      </c>
      <c r="D250" s="111">
        <v>2016</v>
      </c>
      <c r="E250" s="109">
        <v>33.700000000000003</v>
      </c>
      <c r="F250" s="111">
        <f t="shared" si="42"/>
        <v>3.5174978373583161</v>
      </c>
      <c r="G250" s="93">
        <v>3.56501</v>
      </c>
      <c r="H250" s="93">
        <v>7400000000</v>
      </c>
      <c r="I250" s="94">
        <v>19662.8</v>
      </c>
      <c r="J250" s="95">
        <v>9.8864900000000002</v>
      </c>
      <c r="K250" s="96">
        <v>0.72</v>
      </c>
      <c r="L250" s="109">
        <v>15.394</v>
      </c>
      <c r="M250" s="111">
        <f t="shared" si="43"/>
        <v>2.7339778231121259</v>
      </c>
      <c r="N250" s="112">
        <v>1.1846000000000001</v>
      </c>
      <c r="O250" s="113">
        <f t="shared" si="44"/>
        <v>0.16940516486072782</v>
      </c>
      <c r="P250" s="109">
        <v>511</v>
      </c>
      <c r="Q250" s="111">
        <f t="shared" si="45"/>
        <v>6.2363695902037044</v>
      </c>
      <c r="R250" s="93">
        <v>30.9</v>
      </c>
      <c r="S250" s="114">
        <v>82.1</v>
      </c>
      <c r="T250" s="113">
        <f t="shared" si="46"/>
        <v>4.4079380164583828</v>
      </c>
      <c r="U250" s="112">
        <v>2.1</v>
      </c>
      <c r="V250" s="113">
        <f t="shared" si="47"/>
        <v>0.74193734472937733</v>
      </c>
      <c r="W250" s="115">
        <v>30961.7</v>
      </c>
      <c r="X250" s="101">
        <f t="shared" si="48"/>
        <v>10.340506235756912</v>
      </c>
      <c r="Y250" s="116">
        <v>2758</v>
      </c>
      <c r="Z250" s="102">
        <v>84026</v>
      </c>
      <c r="AA250" s="235">
        <v>0.1</v>
      </c>
      <c r="AB250" s="117">
        <f t="shared" si="49"/>
        <v>-2.3025850929940455</v>
      </c>
      <c r="AC250" s="115">
        <v>98</v>
      </c>
      <c r="AD250" s="117">
        <f t="shared" si="50"/>
        <v>4.5849674786705723</v>
      </c>
      <c r="AE250" s="109">
        <v>5897.2084999999997</v>
      </c>
      <c r="AF250" s="111">
        <f t="shared" si="51"/>
        <v>8.6822343823366275</v>
      </c>
      <c r="AG250" s="118">
        <v>32.1</v>
      </c>
      <c r="AH250" s="119">
        <v>15.394</v>
      </c>
      <c r="AI250" s="120">
        <f t="shared" si="52"/>
        <v>2.7339778231121259</v>
      </c>
      <c r="AJ250" s="121">
        <v>511</v>
      </c>
      <c r="AK250" s="120">
        <f t="shared" si="53"/>
        <v>6.2363695902037044</v>
      </c>
      <c r="AL250" s="108">
        <v>30.9</v>
      </c>
      <c r="AM250" s="119">
        <v>5897.21</v>
      </c>
      <c r="AN250" s="120">
        <f t="shared" si="54"/>
        <v>8.6822346366942291</v>
      </c>
      <c r="AO250" s="96">
        <v>59.778399999999998</v>
      </c>
      <c r="AP250" s="94">
        <v>112.71599999999999</v>
      </c>
      <c r="AQ250" s="95">
        <v>4.7248700000000001</v>
      </c>
      <c r="AR250" s="94">
        <v>29</v>
      </c>
      <c r="AS250" s="95">
        <f t="shared" si="55"/>
        <v>3.3672958299864741</v>
      </c>
      <c r="AT250" s="96">
        <v>64.085999999999999</v>
      </c>
    </row>
    <row r="251" spans="1:46">
      <c r="A251" s="109">
        <v>23</v>
      </c>
      <c r="B251" s="110" t="s">
        <v>9</v>
      </c>
      <c r="C251" s="110" t="s">
        <v>8</v>
      </c>
      <c r="D251" s="111">
        <v>2017</v>
      </c>
      <c r="E251" s="109">
        <v>34.6</v>
      </c>
      <c r="F251" s="111">
        <f t="shared" si="42"/>
        <v>3.5438536820636788</v>
      </c>
      <c r="G251" s="93">
        <v>4.8373200000000001</v>
      </c>
      <c r="H251" s="93">
        <v>11000000000</v>
      </c>
      <c r="I251" s="94">
        <v>20364.2</v>
      </c>
      <c r="J251" s="95">
        <v>9.9215300000000006</v>
      </c>
      <c r="K251" s="96">
        <v>0.71</v>
      </c>
      <c r="L251" s="109">
        <v>17.212999</v>
      </c>
      <c r="M251" s="111">
        <f t="shared" si="43"/>
        <v>2.8456648541937417</v>
      </c>
      <c r="N251" s="112">
        <v>1.1186</v>
      </c>
      <c r="O251" s="113">
        <f t="shared" si="44"/>
        <v>0.11207790340535058</v>
      </c>
      <c r="P251" s="109">
        <v>508</v>
      </c>
      <c r="Q251" s="111">
        <f t="shared" si="45"/>
        <v>6.230481447578482</v>
      </c>
      <c r="R251" s="93">
        <v>29.1</v>
      </c>
      <c r="S251" s="114">
        <v>80.900000000000006</v>
      </c>
      <c r="T251" s="113">
        <f t="shared" si="46"/>
        <v>4.3932138240644463</v>
      </c>
      <c r="U251" s="112">
        <v>2</v>
      </c>
      <c r="V251" s="113">
        <f t="shared" si="47"/>
        <v>0.69314718055994529</v>
      </c>
      <c r="W251" s="115">
        <v>34223.5</v>
      </c>
      <c r="X251" s="101">
        <f t="shared" si="48"/>
        <v>10.440667821584796</v>
      </c>
      <c r="Y251" s="116">
        <v>2961</v>
      </c>
      <c r="Z251" s="102">
        <v>93140</v>
      </c>
      <c r="AA251" s="235">
        <v>0.1</v>
      </c>
      <c r="AB251" s="117">
        <f t="shared" si="49"/>
        <v>-2.3025850929940455</v>
      </c>
      <c r="AC251" s="115">
        <v>102</v>
      </c>
      <c r="AD251" s="117">
        <f t="shared" si="50"/>
        <v>4.6249728132842707</v>
      </c>
      <c r="AE251" s="109">
        <v>5542.2597999999998</v>
      </c>
      <c r="AF251" s="111">
        <f t="shared" si="51"/>
        <v>8.6201576027074225</v>
      </c>
      <c r="AG251" s="118">
        <v>31.2</v>
      </c>
      <c r="AH251" s="119">
        <v>17.213000000000001</v>
      </c>
      <c r="AI251" s="120">
        <f t="shared" si="52"/>
        <v>2.8456649122893687</v>
      </c>
      <c r="AJ251" s="121">
        <v>508</v>
      </c>
      <c r="AK251" s="120">
        <f t="shared" si="53"/>
        <v>6.230481447578482</v>
      </c>
      <c r="AL251" s="108">
        <v>29.1</v>
      </c>
      <c r="AM251" s="119">
        <v>5542.26</v>
      </c>
      <c r="AN251" s="120">
        <f t="shared" si="54"/>
        <v>8.6201576387937848</v>
      </c>
      <c r="AO251" s="96">
        <v>63.792000000000002</v>
      </c>
      <c r="AP251" s="94">
        <v>112.44199999999999</v>
      </c>
      <c r="AQ251" s="95">
        <v>4.7224399999999997</v>
      </c>
      <c r="AR251" s="94">
        <v>24.4</v>
      </c>
      <c r="AS251" s="95">
        <f t="shared" si="55"/>
        <v>3.1945831322991562</v>
      </c>
      <c r="AT251" s="96">
        <v>64.652000000000001</v>
      </c>
    </row>
    <row r="252" spans="1:46">
      <c r="A252" s="109">
        <v>23</v>
      </c>
      <c r="B252" s="110" t="s">
        <v>9</v>
      </c>
      <c r="C252" s="110" t="s">
        <v>8</v>
      </c>
      <c r="D252" s="111">
        <v>2018</v>
      </c>
      <c r="E252" s="109">
        <v>34.799999999999997</v>
      </c>
      <c r="F252" s="111">
        <f t="shared" si="42"/>
        <v>3.5496173867804286</v>
      </c>
      <c r="G252" s="93">
        <v>3.2409400000000002</v>
      </c>
      <c r="H252" s="93">
        <v>7800000000</v>
      </c>
      <c r="I252" s="94">
        <v>20997.8</v>
      </c>
      <c r="J252" s="95">
        <v>9.9521700000000006</v>
      </c>
      <c r="K252" s="96">
        <v>0.69</v>
      </c>
      <c r="L252" s="109">
        <v>17.062999999999999</v>
      </c>
      <c r="M252" s="111">
        <f t="shared" si="43"/>
        <v>2.8369123765451278</v>
      </c>
      <c r="N252" s="112">
        <v>1.1556</v>
      </c>
      <c r="O252" s="113">
        <f t="shared" si="44"/>
        <v>0.14461968960994309</v>
      </c>
      <c r="P252" s="109">
        <v>533</v>
      </c>
      <c r="Q252" s="111">
        <f t="shared" si="45"/>
        <v>6.2785214241658442</v>
      </c>
      <c r="R252" s="93">
        <v>29.1</v>
      </c>
      <c r="S252" s="114">
        <v>73</v>
      </c>
      <c r="T252" s="113">
        <f t="shared" si="46"/>
        <v>4.290459441148391</v>
      </c>
      <c r="U252" s="112">
        <v>2.2000000000000002</v>
      </c>
      <c r="V252" s="113">
        <f t="shared" si="47"/>
        <v>0.78845736036427028</v>
      </c>
      <c r="W252" s="115">
        <v>33186.1</v>
      </c>
      <c r="X252" s="101">
        <f t="shared" si="48"/>
        <v>10.409886392537063</v>
      </c>
      <c r="Y252" s="116">
        <v>3304</v>
      </c>
      <c r="Z252" s="102">
        <v>98264</v>
      </c>
      <c r="AA252" s="235">
        <v>0.19</v>
      </c>
      <c r="AB252" s="117">
        <f t="shared" si="49"/>
        <v>-1.6607312068216509</v>
      </c>
      <c r="AC252" s="115">
        <v>107</v>
      </c>
      <c r="AD252" s="117">
        <f t="shared" si="50"/>
        <v>4.6728288344619058</v>
      </c>
      <c r="AE252" s="109">
        <v>4808.8842999999997</v>
      </c>
      <c r="AF252" s="111">
        <f t="shared" si="51"/>
        <v>8.4782203819323012</v>
      </c>
      <c r="AG252" s="118">
        <v>31.4</v>
      </c>
      <c r="AH252" s="119">
        <v>17.062999999999999</v>
      </c>
      <c r="AI252" s="120">
        <f t="shared" si="52"/>
        <v>2.8369123765451278</v>
      </c>
      <c r="AJ252" s="121">
        <v>533</v>
      </c>
      <c r="AK252" s="120">
        <f t="shared" si="53"/>
        <v>6.2785214241658442</v>
      </c>
      <c r="AL252" s="108">
        <v>29.1</v>
      </c>
      <c r="AM252" s="119">
        <v>4808.88</v>
      </c>
      <c r="AN252" s="120">
        <f t="shared" si="54"/>
        <v>8.4782194877536003</v>
      </c>
      <c r="AO252" s="96">
        <v>65.025000000000006</v>
      </c>
      <c r="AP252" s="94">
        <v>112.262</v>
      </c>
      <c r="AQ252" s="95">
        <v>4.7208300000000003</v>
      </c>
      <c r="AR252" s="94">
        <v>27.5</v>
      </c>
      <c r="AS252" s="95">
        <f t="shared" si="55"/>
        <v>3.3141860046725258</v>
      </c>
      <c r="AT252" s="96">
        <v>65.210999999999999</v>
      </c>
    </row>
    <row r="253" spans="1:46">
      <c r="A253" s="109">
        <v>23</v>
      </c>
      <c r="B253" s="110" t="s">
        <v>9</v>
      </c>
      <c r="C253" s="110" t="s">
        <v>8</v>
      </c>
      <c r="D253" s="111">
        <v>2019</v>
      </c>
      <c r="E253" s="109">
        <v>35.5</v>
      </c>
      <c r="F253" s="111">
        <f t="shared" si="42"/>
        <v>3.5695326964813701</v>
      </c>
      <c r="G253" s="93">
        <v>4.2979399999999996</v>
      </c>
      <c r="H253" s="93">
        <v>10000000000</v>
      </c>
      <c r="I253" s="94">
        <v>21569.200000000001</v>
      </c>
      <c r="J253" s="95">
        <v>9.9790200000000002</v>
      </c>
      <c r="K253" s="96">
        <v>0.66</v>
      </c>
      <c r="L253" s="109">
        <v>17.274000000000001</v>
      </c>
      <c r="M253" s="111">
        <f t="shared" si="43"/>
        <v>2.8492024808580938</v>
      </c>
      <c r="N253" s="112">
        <v>1.1740999999999999</v>
      </c>
      <c r="O253" s="113">
        <f t="shared" si="44"/>
        <v>0.16050189665402903</v>
      </c>
      <c r="P253" s="109">
        <v>515</v>
      </c>
      <c r="Q253" s="111">
        <f t="shared" si="45"/>
        <v>6.2441669006637364</v>
      </c>
      <c r="R253" s="93">
        <v>28.9</v>
      </c>
      <c r="S253" s="114">
        <v>78.5</v>
      </c>
      <c r="T253" s="113">
        <f t="shared" si="46"/>
        <v>4.3630986247883632</v>
      </c>
      <c r="U253" s="112">
        <v>2.2999999999999998</v>
      </c>
      <c r="V253" s="113">
        <f t="shared" si="47"/>
        <v>0.83290912293510388</v>
      </c>
      <c r="W253" s="115">
        <v>26752.7</v>
      </c>
      <c r="X253" s="101">
        <f t="shared" si="48"/>
        <v>10.19439068181004</v>
      </c>
      <c r="Y253" s="116">
        <v>3230</v>
      </c>
      <c r="Z253" s="102">
        <v>90728</v>
      </c>
      <c r="AA253" s="235">
        <v>0.28999999999999998</v>
      </c>
      <c r="AB253" s="117">
        <f t="shared" si="49"/>
        <v>-1.2378743560016174</v>
      </c>
      <c r="AC253" s="115">
        <v>110</v>
      </c>
      <c r="AD253" s="117">
        <f t="shared" si="50"/>
        <v>4.7004803657924166</v>
      </c>
      <c r="AE253" s="109">
        <v>4075.5088000000001</v>
      </c>
      <c r="AF253" s="111">
        <f t="shared" si="51"/>
        <v>8.3127508767764446</v>
      </c>
      <c r="AG253" s="118">
        <v>30.7</v>
      </c>
      <c r="AH253" s="119">
        <v>17.274000000000001</v>
      </c>
      <c r="AI253" s="120">
        <f t="shared" si="52"/>
        <v>2.8492024808580938</v>
      </c>
      <c r="AJ253" s="121">
        <v>515</v>
      </c>
      <c r="AK253" s="120">
        <f t="shared" si="53"/>
        <v>6.2441669006637364</v>
      </c>
      <c r="AL253" s="108">
        <v>28.9</v>
      </c>
      <c r="AM253" s="119">
        <v>0</v>
      </c>
      <c r="AN253" s="120">
        <v>0</v>
      </c>
      <c r="AO253" s="96">
        <v>65.218900000000005</v>
      </c>
      <c r="AP253" s="94">
        <v>112.289</v>
      </c>
      <c r="AQ253" s="95">
        <v>4.7210700000000001</v>
      </c>
      <c r="AR253" s="94">
        <v>28.2</v>
      </c>
      <c r="AS253" s="95">
        <f t="shared" si="55"/>
        <v>3.3393219779440679</v>
      </c>
      <c r="AT253" s="96">
        <v>65.763999999999996</v>
      </c>
    </row>
    <row r="254" spans="1:46">
      <c r="A254" s="109">
        <v>23</v>
      </c>
      <c r="B254" s="110" t="s">
        <v>9</v>
      </c>
      <c r="C254" s="110" t="s">
        <v>8</v>
      </c>
      <c r="D254" s="111">
        <v>2020</v>
      </c>
      <c r="E254" s="109">
        <v>35.9</v>
      </c>
      <c r="F254" s="111">
        <f t="shared" si="42"/>
        <v>3.5807372954942331</v>
      </c>
      <c r="G254" s="93">
        <v>1.73847</v>
      </c>
      <c r="H254" s="93">
        <v>4000000000</v>
      </c>
      <c r="I254" s="94">
        <v>19778.7</v>
      </c>
      <c r="J254" s="95">
        <v>9.89236</v>
      </c>
      <c r="K254" s="96">
        <v>0.65</v>
      </c>
      <c r="L254" s="109">
        <v>15.542</v>
      </c>
      <c r="M254" s="111">
        <f t="shared" si="43"/>
        <v>2.7435460367870506</v>
      </c>
      <c r="N254" s="112">
        <v>1.1983999999999999</v>
      </c>
      <c r="O254" s="113">
        <f t="shared" si="44"/>
        <v>0.18098733378081791</v>
      </c>
      <c r="P254" s="109">
        <v>473</v>
      </c>
      <c r="Q254" s="111">
        <f t="shared" si="45"/>
        <v>6.1590953884919326</v>
      </c>
      <c r="R254" s="93">
        <v>26.799999</v>
      </c>
      <c r="S254" s="114">
        <v>62.9</v>
      </c>
      <c r="T254" s="113">
        <f t="shared" si="46"/>
        <v>4.1415461637063951</v>
      </c>
      <c r="U254" s="112">
        <v>2.5</v>
      </c>
      <c r="V254" s="113">
        <f t="shared" si="47"/>
        <v>0.91629073187415511</v>
      </c>
      <c r="W254" s="115">
        <v>12289.4</v>
      </c>
      <c r="X254" s="101">
        <f t="shared" si="48"/>
        <v>9.4164923811893289</v>
      </c>
      <c r="Y254" s="116">
        <v>3037</v>
      </c>
      <c r="Z254" s="102">
        <v>85587</v>
      </c>
      <c r="AA254" s="235">
        <v>0.53</v>
      </c>
      <c r="AB254" s="117">
        <f t="shared" si="49"/>
        <v>-0.6348782724359695</v>
      </c>
      <c r="AC254" s="115">
        <v>102</v>
      </c>
      <c r="AD254" s="117">
        <f t="shared" si="50"/>
        <v>4.6249728132842707</v>
      </c>
      <c r="AE254" s="109">
        <v>3342.1333</v>
      </c>
      <c r="AF254" s="111">
        <f t="shared" si="51"/>
        <v>8.1143645946555338</v>
      </c>
      <c r="AG254" s="118">
        <v>30.4</v>
      </c>
      <c r="AH254" s="119">
        <v>15.542</v>
      </c>
      <c r="AI254" s="120">
        <f t="shared" si="52"/>
        <v>2.7435460367870506</v>
      </c>
      <c r="AJ254" s="121">
        <v>473</v>
      </c>
      <c r="AK254" s="120">
        <f t="shared" si="53"/>
        <v>6.1590953884919326</v>
      </c>
      <c r="AL254" s="108">
        <v>26.8</v>
      </c>
      <c r="AM254" s="119">
        <v>0</v>
      </c>
      <c r="AN254" s="120">
        <v>0</v>
      </c>
      <c r="AO254" s="96">
        <v>60.705399999999997</v>
      </c>
      <c r="AP254" s="94">
        <v>112.407</v>
      </c>
      <c r="AQ254" s="95">
        <v>4.7221200000000003</v>
      </c>
      <c r="AR254" s="94">
        <v>31.3</v>
      </c>
      <c r="AS254" s="95">
        <f t="shared" si="55"/>
        <v>3.4436180975461075</v>
      </c>
      <c r="AT254" s="96">
        <v>66.31</v>
      </c>
    </row>
    <row r="255" spans="1:46">
      <c r="A255" s="109">
        <v>24</v>
      </c>
      <c r="B255" s="110" t="s">
        <v>7</v>
      </c>
      <c r="C255" s="110" t="s">
        <v>6</v>
      </c>
      <c r="D255" s="111">
        <v>2010</v>
      </c>
      <c r="E255" s="109">
        <v>35.5</v>
      </c>
      <c r="F255" s="111">
        <f t="shared" si="42"/>
        <v>3.5695326964813701</v>
      </c>
      <c r="G255" s="93">
        <v>1.8897200000000001</v>
      </c>
      <c r="H255" s="93">
        <v>3200000000</v>
      </c>
      <c r="I255" s="94">
        <v>7660.71</v>
      </c>
      <c r="J255" s="95">
        <v>8.9438600000000008</v>
      </c>
      <c r="K255" s="96">
        <v>0.28999999999999998</v>
      </c>
      <c r="L255" s="109">
        <v>13.743</v>
      </c>
      <c r="M255" s="111">
        <f t="shared" si="43"/>
        <v>2.6205296035727148</v>
      </c>
      <c r="N255" s="112">
        <v>0.50819999999999999</v>
      </c>
      <c r="O255" s="113">
        <f t="shared" si="44"/>
        <v>-0.67688020809607341</v>
      </c>
      <c r="P255" s="109">
        <v>316</v>
      </c>
      <c r="Q255" s="111">
        <f t="shared" si="45"/>
        <v>5.7557422135869123</v>
      </c>
      <c r="R255" s="93">
        <v>12.8</v>
      </c>
      <c r="S255" s="114">
        <v>84.7</v>
      </c>
      <c r="T255" s="113">
        <f t="shared" si="46"/>
        <v>4.4391156016580089</v>
      </c>
      <c r="U255" s="112">
        <v>3.5</v>
      </c>
      <c r="V255" s="113">
        <f t="shared" si="47"/>
        <v>1.2527629684953681</v>
      </c>
      <c r="W255" s="115">
        <v>67.7</v>
      </c>
      <c r="X255" s="101">
        <f t="shared" si="48"/>
        <v>4.2150861799182291</v>
      </c>
      <c r="Y255" s="116">
        <v>1405</v>
      </c>
      <c r="Z255" s="102">
        <v>77071</v>
      </c>
      <c r="AA255" s="235">
        <v>0.25</v>
      </c>
      <c r="AB255" s="117">
        <f t="shared" si="49"/>
        <v>-1.3862943611198906</v>
      </c>
      <c r="AC255" s="115">
        <v>100</v>
      </c>
      <c r="AD255" s="117">
        <f t="shared" si="50"/>
        <v>4.6051701859880918</v>
      </c>
      <c r="AE255" s="109">
        <v>5669.8887000000004</v>
      </c>
      <c r="AF255" s="111">
        <f t="shared" si="51"/>
        <v>8.6429247668995046</v>
      </c>
      <c r="AG255" s="118">
        <v>12.1</v>
      </c>
      <c r="AH255" s="119">
        <v>13.743</v>
      </c>
      <c r="AI255" s="120">
        <f t="shared" si="52"/>
        <v>2.6205296035727148</v>
      </c>
      <c r="AJ255" s="121">
        <v>316</v>
      </c>
      <c r="AK255" s="120">
        <f t="shared" si="53"/>
        <v>5.7557422135869123</v>
      </c>
      <c r="AL255" s="108">
        <v>12.8</v>
      </c>
      <c r="AM255" s="119">
        <v>5669.89</v>
      </c>
      <c r="AN255" s="120">
        <f t="shared" si="54"/>
        <v>8.6429249961808754</v>
      </c>
      <c r="AO255" s="96">
        <v>65.674000000000007</v>
      </c>
      <c r="AP255" s="94">
        <v>88.0107</v>
      </c>
      <c r="AQ255" s="95">
        <v>4.4774599999999998</v>
      </c>
      <c r="AR255" s="94">
        <v>24.1</v>
      </c>
      <c r="AS255" s="95">
        <f t="shared" si="55"/>
        <v>3.1822118404966093</v>
      </c>
      <c r="AT255" s="96">
        <v>53.829000000000001</v>
      </c>
    </row>
    <row r="256" spans="1:46">
      <c r="A256" s="109">
        <v>24</v>
      </c>
      <c r="B256" s="110" t="s">
        <v>7</v>
      </c>
      <c r="C256" s="110" t="s">
        <v>6</v>
      </c>
      <c r="D256" s="111">
        <v>2011</v>
      </c>
      <c r="E256" s="109">
        <v>37</v>
      </c>
      <c r="F256" s="111">
        <f t="shared" si="42"/>
        <v>3.6109179126442243</v>
      </c>
      <c r="G256" s="93">
        <v>1.2304299999999999</v>
      </c>
      <c r="H256" s="93">
        <v>2400000000</v>
      </c>
      <c r="I256" s="94">
        <v>8044.57</v>
      </c>
      <c r="J256" s="95">
        <v>8.9927499999999991</v>
      </c>
      <c r="K256" s="96">
        <v>0.31</v>
      </c>
      <c r="L256" s="109">
        <v>19.274000000000001</v>
      </c>
      <c r="M256" s="111">
        <f t="shared" si="43"/>
        <v>2.9587570374290957</v>
      </c>
      <c r="N256" s="112">
        <v>0.38300000000000001</v>
      </c>
      <c r="O256" s="113">
        <f t="shared" si="44"/>
        <v>-0.95972028980149104</v>
      </c>
      <c r="P256" s="109">
        <v>319</v>
      </c>
      <c r="Q256" s="111">
        <f t="shared" si="45"/>
        <v>5.7651911027848444</v>
      </c>
      <c r="R256" s="93">
        <v>11.7</v>
      </c>
      <c r="S256" s="114">
        <v>85.1</v>
      </c>
      <c r="T256" s="113">
        <f t="shared" si="46"/>
        <v>4.4438270355793286</v>
      </c>
      <c r="U256" s="112">
        <v>2.5</v>
      </c>
      <c r="V256" s="113">
        <f t="shared" si="47"/>
        <v>0.91629073187415511</v>
      </c>
      <c r="W256" s="115">
        <v>137.6</v>
      </c>
      <c r="X256" s="101">
        <f t="shared" si="48"/>
        <v>4.924350925499243</v>
      </c>
      <c r="Y256" s="116">
        <v>1551</v>
      </c>
      <c r="Z256" s="102">
        <v>81120</v>
      </c>
      <c r="AA256" s="235">
        <v>0.25</v>
      </c>
      <c r="AB256" s="117">
        <f t="shared" si="49"/>
        <v>-1.3862943611198906</v>
      </c>
      <c r="AC256" s="115">
        <v>99</v>
      </c>
      <c r="AD256" s="117">
        <f t="shared" si="50"/>
        <v>4.5951198501345898</v>
      </c>
      <c r="AE256" s="109">
        <v>5157.2583000000004</v>
      </c>
      <c r="AF256" s="111">
        <f t="shared" si="51"/>
        <v>8.5481603800566699</v>
      </c>
      <c r="AG256" s="118">
        <v>9.1999999999999993</v>
      </c>
      <c r="AH256" s="119">
        <v>19.274000000000001</v>
      </c>
      <c r="AI256" s="120">
        <f t="shared" si="52"/>
        <v>2.9587570374290957</v>
      </c>
      <c r="AJ256" s="121">
        <v>319</v>
      </c>
      <c r="AK256" s="120">
        <f t="shared" si="53"/>
        <v>5.7651911027848444</v>
      </c>
      <c r="AL256" s="108">
        <v>11.7</v>
      </c>
      <c r="AM256" s="119">
        <v>5157.26</v>
      </c>
      <c r="AN256" s="120">
        <f t="shared" si="54"/>
        <v>8.5481607096891246</v>
      </c>
      <c r="AO256" s="96">
        <v>72.428700000000006</v>
      </c>
      <c r="AP256" s="94">
        <v>87.533199999999994</v>
      </c>
      <c r="AQ256" s="95">
        <v>4.4720199999999997</v>
      </c>
      <c r="AR256" s="94">
        <v>21.1</v>
      </c>
      <c r="AS256" s="95">
        <f t="shared" si="55"/>
        <v>3.0492730404820207</v>
      </c>
      <c r="AT256" s="96">
        <v>53.96</v>
      </c>
    </row>
    <row r="257" spans="1:46">
      <c r="A257" s="109">
        <v>24</v>
      </c>
      <c r="B257" s="110" t="s">
        <v>7</v>
      </c>
      <c r="C257" s="110" t="s">
        <v>6</v>
      </c>
      <c r="D257" s="111">
        <v>2012</v>
      </c>
      <c r="E257" s="109">
        <v>39.5</v>
      </c>
      <c r="F257" s="111">
        <f t="shared" si="42"/>
        <v>3.6763006719070761</v>
      </c>
      <c r="G257" s="93">
        <v>1.7014400000000001</v>
      </c>
      <c r="H257" s="93">
        <v>3000000000</v>
      </c>
      <c r="I257" s="94">
        <v>8234.2900000000009</v>
      </c>
      <c r="J257" s="95">
        <v>9.0160599999999995</v>
      </c>
      <c r="K257" s="96">
        <v>0.3</v>
      </c>
      <c r="L257" s="109">
        <v>17.934000000000001</v>
      </c>
      <c r="M257" s="111">
        <f t="shared" si="43"/>
        <v>2.886698352529856</v>
      </c>
      <c r="N257" s="112">
        <v>0.4143</v>
      </c>
      <c r="O257" s="113">
        <f t="shared" si="44"/>
        <v>-0.88116492989878092</v>
      </c>
      <c r="P257" s="109">
        <v>317</v>
      </c>
      <c r="Q257" s="111">
        <f t="shared" si="45"/>
        <v>5.7589017738772803</v>
      </c>
      <c r="R257" s="93">
        <v>14.8</v>
      </c>
      <c r="S257" s="114">
        <v>84.3</v>
      </c>
      <c r="T257" s="113">
        <f t="shared" si="46"/>
        <v>4.4343818650078095</v>
      </c>
      <c r="U257" s="112">
        <v>2.6</v>
      </c>
      <c r="V257" s="113">
        <f t="shared" si="47"/>
        <v>0.95551144502743635</v>
      </c>
      <c r="W257" s="115">
        <v>674.4</v>
      </c>
      <c r="X257" s="101">
        <f t="shared" si="48"/>
        <v>6.5138234066876457</v>
      </c>
      <c r="Y257" s="116">
        <v>1538</v>
      </c>
      <c r="Z257" s="102">
        <v>84408</v>
      </c>
      <c r="AA257" s="235">
        <v>0.25</v>
      </c>
      <c r="AB257" s="117">
        <f t="shared" si="49"/>
        <v>-1.3862943611198906</v>
      </c>
      <c r="AC257" s="115">
        <v>99</v>
      </c>
      <c r="AD257" s="117">
        <f t="shared" si="50"/>
        <v>4.5951198501345898</v>
      </c>
      <c r="AE257" s="109">
        <v>5183.4731000000002</v>
      </c>
      <c r="AF257" s="111">
        <f t="shared" si="51"/>
        <v>8.5532305932059565</v>
      </c>
      <c r="AG257" s="118">
        <v>9.8000000000000007</v>
      </c>
      <c r="AH257" s="119">
        <v>17.934000000000001</v>
      </c>
      <c r="AI257" s="120">
        <f t="shared" si="52"/>
        <v>2.886698352529856</v>
      </c>
      <c r="AJ257" s="121">
        <v>317</v>
      </c>
      <c r="AK257" s="120">
        <f t="shared" si="53"/>
        <v>5.7589017738772803</v>
      </c>
      <c r="AL257" s="108">
        <v>14.8</v>
      </c>
      <c r="AM257" s="119">
        <v>5183.47</v>
      </c>
      <c r="AN257" s="120">
        <f t="shared" si="54"/>
        <v>8.553229995151165</v>
      </c>
      <c r="AO257" s="96">
        <v>71.488299999999995</v>
      </c>
      <c r="AP257" s="94">
        <v>87.201300000000003</v>
      </c>
      <c r="AQ257" s="95">
        <v>4.4682199999999996</v>
      </c>
      <c r="AR257" s="94">
        <v>21.5</v>
      </c>
      <c r="AS257" s="95">
        <f t="shared" si="55"/>
        <v>3.068052935133617</v>
      </c>
      <c r="AT257" s="96">
        <v>53.973999999999997</v>
      </c>
    </row>
    <row r="258" spans="1:46">
      <c r="A258" s="109">
        <v>24</v>
      </c>
      <c r="B258" s="110" t="s">
        <v>7</v>
      </c>
      <c r="C258" s="110" t="s">
        <v>6</v>
      </c>
      <c r="D258" s="111">
        <v>2013</v>
      </c>
      <c r="E258" s="109">
        <v>39.5</v>
      </c>
      <c r="F258" s="111">
        <f t="shared" ref="F258:F298" si="56">LN(E258)</f>
        <v>3.6763006719070761</v>
      </c>
      <c r="G258" s="93">
        <v>2.0310100000000002</v>
      </c>
      <c r="H258" s="93">
        <v>3900000000</v>
      </c>
      <c r="I258" s="94">
        <v>8287.9599999999991</v>
      </c>
      <c r="J258" s="95">
        <v>9.0225600000000004</v>
      </c>
      <c r="K258" s="96">
        <v>0.3</v>
      </c>
      <c r="L258" s="109">
        <v>17.716999000000001</v>
      </c>
      <c r="M258" s="111">
        <f t="shared" ref="M258:M298" si="57">LN(L258)</f>
        <v>2.8745245741753345</v>
      </c>
      <c r="N258" s="112">
        <v>0.41710000000000003</v>
      </c>
      <c r="O258" s="113">
        <f t="shared" ref="O258:O298" si="58">LN(N258)</f>
        <v>-0.8744292777792374</v>
      </c>
      <c r="P258" s="109">
        <v>297</v>
      </c>
      <c r="Q258" s="111">
        <f t="shared" ref="Q258:Q298" si="59">LN(P258)</f>
        <v>5.6937321388026998</v>
      </c>
      <c r="R258" s="93">
        <v>13.2</v>
      </c>
      <c r="S258" s="114">
        <v>86.7</v>
      </c>
      <c r="T258" s="113">
        <f t="shared" ref="T258:T298" si="60">LN(S258)</f>
        <v>4.4624538837864964</v>
      </c>
      <c r="U258" s="112">
        <v>2.5</v>
      </c>
      <c r="V258" s="113">
        <f t="shared" ref="V258:V298" si="61">LN(U258)</f>
        <v>0.91629073187415511</v>
      </c>
      <c r="W258" s="115">
        <v>598.29999999999995</v>
      </c>
      <c r="X258" s="101">
        <f t="shared" ref="X258:X298" si="62">LN(W258)</f>
        <v>6.394092300395986</v>
      </c>
      <c r="Y258" s="116">
        <v>1536</v>
      </c>
      <c r="Z258" s="102">
        <v>84826</v>
      </c>
      <c r="AA258" s="235">
        <v>0.12</v>
      </c>
      <c r="AB258" s="117">
        <f t="shared" ref="AB258:AB297" si="63">LN(AA258)</f>
        <v>-2.120263536200091</v>
      </c>
      <c r="AC258" s="115">
        <v>102</v>
      </c>
      <c r="AD258" s="117">
        <f t="shared" ref="AD258:AD298" si="64">LN(AC258)</f>
        <v>4.6249728132842707</v>
      </c>
      <c r="AE258" s="109">
        <v>5139.7002000000002</v>
      </c>
      <c r="AF258" s="111">
        <f t="shared" ref="AF258:AF298" si="65">LN(AE258)</f>
        <v>8.5447500298998857</v>
      </c>
      <c r="AG258" s="118">
        <v>9.1999999999999993</v>
      </c>
      <c r="AH258" s="119">
        <v>17.716999999999999</v>
      </c>
      <c r="AI258" s="120">
        <f t="shared" ref="AI258:AI298" si="66">LN(AH258)</f>
        <v>2.8745246306183003</v>
      </c>
      <c r="AJ258" s="121">
        <v>297</v>
      </c>
      <c r="AK258" s="120">
        <f t="shared" ref="AK258:AK298" si="67">LN(AJ258)</f>
        <v>5.6937321388026998</v>
      </c>
      <c r="AL258" s="108">
        <v>13.2</v>
      </c>
      <c r="AM258" s="119">
        <v>5139.7</v>
      </c>
      <c r="AN258" s="120">
        <f t="shared" ref="AN258:AN296" si="68">LN(AM258)</f>
        <v>8.5447499909871087</v>
      </c>
      <c r="AO258" s="96">
        <v>73.402000000000001</v>
      </c>
      <c r="AP258" s="94">
        <v>86.874300000000005</v>
      </c>
      <c r="AQ258" s="95">
        <v>4.4644599999999999</v>
      </c>
      <c r="AR258" s="94">
        <v>23.1</v>
      </c>
      <c r="AS258" s="95">
        <f t="shared" ref="AS258:AS298" si="69">LN(AR258)</f>
        <v>3.1398326175277478</v>
      </c>
      <c r="AT258" s="96">
        <v>53.936999999999998</v>
      </c>
    </row>
    <row r="259" spans="1:46">
      <c r="A259" s="109">
        <v>24</v>
      </c>
      <c r="B259" s="110" t="s">
        <v>7</v>
      </c>
      <c r="C259" s="110" t="s">
        <v>6</v>
      </c>
      <c r="D259" s="111">
        <v>2014</v>
      </c>
      <c r="E259" s="109">
        <v>40.200000000000003</v>
      </c>
      <c r="F259" s="111">
        <f t="shared" si="56"/>
        <v>3.6938669956249757</v>
      </c>
      <c r="G259" s="93">
        <v>1.93729</v>
      </c>
      <c r="H259" s="93">
        <v>3900000000</v>
      </c>
      <c r="I259" s="94">
        <v>8661.4699999999993</v>
      </c>
      <c r="J259" s="95">
        <v>9.0666399999999996</v>
      </c>
      <c r="K259" s="96">
        <v>0.26</v>
      </c>
      <c r="L259" s="109">
        <v>18.603999999999999</v>
      </c>
      <c r="M259" s="111">
        <f t="shared" si="57"/>
        <v>2.9233766113618507</v>
      </c>
      <c r="N259" s="112">
        <v>0.41770000000000002</v>
      </c>
      <c r="O259" s="113">
        <f t="shared" si="58"/>
        <v>-0.8729918074790074</v>
      </c>
      <c r="P259" s="109">
        <v>272</v>
      </c>
      <c r="Q259" s="111">
        <f t="shared" si="59"/>
        <v>5.6058020662959978</v>
      </c>
      <c r="R259" s="93">
        <v>13.1</v>
      </c>
      <c r="S259" s="114">
        <v>87.3</v>
      </c>
      <c r="T259" s="113">
        <f t="shared" si="60"/>
        <v>4.4693504628455569</v>
      </c>
      <c r="U259" s="112">
        <v>2.1</v>
      </c>
      <c r="V259" s="113">
        <f t="shared" si="61"/>
        <v>0.74193734472937733</v>
      </c>
      <c r="W259" s="115">
        <v>186.1</v>
      </c>
      <c r="X259" s="101">
        <f t="shared" si="62"/>
        <v>5.2262841636482049</v>
      </c>
      <c r="Y259" s="116">
        <v>1570</v>
      </c>
      <c r="Z259" s="102">
        <v>82744</v>
      </c>
      <c r="AA259" s="235">
        <v>0.25</v>
      </c>
      <c r="AB259" s="117">
        <f t="shared" si="63"/>
        <v>-1.3862943611198906</v>
      </c>
      <c r="AC259" s="115">
        <v>104</v>
      </c>
      <c r="AD259" s="117">
        <f t="shared" si="64"/>
        <v>4.6443908991413725</v>
      </c>
      <c r="AE259" s="109">
        <v>5050.1478999999999</v>
      </c>
      <c r="AF259" s="111">
        <f t="shared" si="65"/>
        <v>8.527172808969258</v>
      </c>
      <c r="AG259" s="118">
        <v>9.4</v>
      </c>
      <c r="AH259" s="119">
        <v>18.603999999999999</v>
      </c>
      <c r="AI259" s="120">
        <f t="shared" si="66"/>
        <v>2.9233766113618507</v>
      </c>
      <c r="AJ259" s="121">
        <v>272</v>
      </c>
      <c r="AK259" s="120">
        <f t="shared" si="67"/>
        <v>5.6058020662959978</v>
      </c>
      <c r="AL259" s="108">
        <v>13.1</v>
      </c>
      <c r="AM259" s="119">
        <v>5050.1499999999996</v>
      </c>
      <c r="AN259" s="120">
        <f t="shared" si="68"/>
        <v>8.5271732247985774</v>
      </c>
      <c r="AO259" s="96">
        <v>73.838999999999999</v>
      </c>
      <c r="AP259" s="94">
        <v>86.530699999999996</v>
      </c>
      <c r="AQ259" s="95">
        <v>4.4604999999999997</v>
      </c>
      <c r="AR259" s="94">
        <v>24.3</v>
      </c>
      <c r="AS259" s="95">
        <f t="shared" si="69"/>
        <v>3.1904763503465028</v>
      </c>
      <c r="AT259" s="96">
        <v>53.9</v>
      </c>
    </row>
    <row r="260" spans="1:46">
      <c r="A260" s="109">
        <v>24</v>
      </c>
      <c r="B260" s="110" t="s">
        <v>7</v>
      </c>
      <c r="C260" s="110" t="s">
        <v>6</v>
      </c>
      <c r="D260" s="111">
        <v>2015</v>
      </c>
      <c r="E260" s="109">
        <v>41.2</v>
      </c>
      <c r="F260" s="111">
        <f t="shared" si="56"/>
        <v>3.7184382563554808</v>
      </c>
      <c r="G260" s="93">
        <v>2.42726</v>
      </c>
      <c r="H260" s="93">
        <v>4300000000</v>
      </c>
      <c r="I260" s="94">
        <v>8977.02</v>
      </c>
      <c r="J260" s="95">
        <v>9.1024200000000004</v>
      </c>
      <c r="K260" s="96">
        <v>0.28999999999999998</v>
      </c>
      <c r="L260" s="109">
        <v>22.422001000000002</v>
      </c>
      <c r="M260" s="111">
        <f t="shared" si="57"/>
        <v>3.1100426643304555</v>
      </c>
      <c r="N260" s="112">
        <v>0.36099999999999999</v>
      </c>
      <c r="O260" s="113">
        <f t="shared" si="58"/>
        <v>-1.0188773206492561</v>
      </c>
      <c r="P260" s="109">
        <v>286</v>
      </c>
      <c r="Q260" s="111">
        <f t="shared" si="59"/>
        <v>5.6559918108198524</v>
      </c>
      <c r="R260" s="93">
        <v>13.3</v>
      </c>
      <c r="S260" s="114">
        <v>66</v>
      </c>
      <c r="T260" s="113">
        <f t="shared" si="60"/>
        <v>4.1896547420264252</v>
      </c>
      <c r="U260" s="112">
        <v>1.7</v>
      </c>
      <c r="V260" s="113">
        <f t="shared" si="61"/>
        <v>0.53062825106217038</v>
      </c>
      <c r="W260" s="115">
        <v>131.1</v>
      </c>
      <c r="X260" s="101">
        <f t="shared" si="62"/>
        <v>4.875960390769654</v>
      </c>
      <c r="Y260" s="116">
        <v>1674</v>
      </c>
      <c r="Z260" s="102">
        <v>84244</v>
      </c>
      <c r="AA260" s="235">
        <v>0.23</v>
      </c>
      <c r="AB260" s="117">
        <f t="shared" si="63"/>
        <v>-1.4696759700589417</v>
      </c>
      <c r="AC260" s="115">
        <v>110</v>
      </c>
      <c r="AD260" s="117">
        <f t="shared" si="64"/>
        <v>4.7004803657924166</v>
      </c>
      <c r="AE260" s="109">
        <v>5183.3456999999999</v>
      </c>
      <c r="AF260" s="111">
        <f t="shared" si="65"/>
        <v>8.5532060147885147</v>
      </c>
      <c r="AG260" s="118">
        <v>9.3000000000000007</v>
      </c>
      <c r="AH260" s="119">
        <v>22.422000000000001</v>
      </c>
      <c r="AI260" s="120">
        <f t="shared" si="66"/>
        <v>3.1100426197314017</v>
      </c>
      <c r="AJ260" s="121">
        <v>286</v>
      </c>
      <c r="AK260" s="120">
        <f t="shared" si="67"/>
        <v>5.6559918108198524</v>
      </c>
      <c r="AL260" s="108">
        <v>13.3</v>
      </c>
      <c r="AM260" s="119">
        <v>5183.3500000000004</v>
      </c>
      <c r="AN260" s="120">
        <f t="shared" si="68"/>
        <v>8.5532068443681855</v>
      </c>
      <c r="AO260" s="96">
        <v>73.316400000000002</v>
      </c>
      <c r="AP260" s="94">
        <v>86.124899999999997</v>
      </c>
      <c r="AQ260" s="95">
        <v>4.4558</v>
      </c>
      <c r="AR260" s="94">
        <v>23.7</v>
      </c>
      <c r="AS260" s="95">
        <f t="shared" si="69"/>
        <v>3.1654750481410856</v>
      </c>
      <c r="AT260" s="96">
        <v>53.887</v>
      </c>
    </row>
    <row r="261" spans="1:46">
      <c r="A261" s="109">
        <v>24</v>
      </c>
      <c r="B261" s="110" t="s">
        <v>7</v>
      </c>
      <c r="C261" s="110" t="s">
        <v>6</v>
      </c>
      <c r="D261" s="111">
        <v>2016</v>
      </c>
      <c r="E261" s="109">
        <v>40.200000000000003</v>
      </c>
      <c r="F261" s="111">
        <f t="shared" si="56"/>
        <v>3.6938669956249757</v>
      </c>
      <c r="G261" s="93">
        <v>3.37418</v>
      </c>
      <c r="H261" s="93">
        <v>6300000000</v>
      </c>
      <c r="I261" s="94">
        <v>9286.8799999999992</v>
      </c>
      <c r="J261" s="95">
        <v>9.1363599999999998</v>
      </c>
      <c r="K261" s="96">
        <v>0.28000000000000003</v>
      </c>
      <c r="L261" s="109">
        <v>23.004000000000001</v>
      </c>
      <c r="M261" s="111">
        <f t="shared" si="57"/>
        <v>3.1356681138515077</v>
      </c>
      <c r="N261" s="112">
        <v>0.36680000000000001</v>
      </c>
      <c r="O261" s="113">
        <f t="shared" si="58"/>
        <v>-1.0029385385998273</v>
      </c>
      <c r="P261" s="109">
        <v>307</v>
      </c>
      <c r="Q261" s="111">
        <f t="shared" si="59"/>
        <v>5.7268477475871968</v>
      </c>
      <c r="R261" s="93">
        <v>13.4</v>
      </c>
      <c r="S261" s="114">
        <v>74</v>
      </c>
      <c r="T261" s="113">
        <f t="shared" si="60"/>
        <v>4.3040650932041702</v>
      </c>
      <c r="U261" s="112">
        <v>1.7</v>
      </c>
      <c r="V261" s="113">
        <f t="shared" si="61"/>
        <v>0.53062825106217038</v>
      </c>
      <c r="W261" s="115">
        <v>149.30000000000001</v>
      </c>
      <c r="X261" s="101">
        <f t="shared" si="62"/>
        <v>5.0059577045451444</v>
      </c>
      <c r="Y261" s="116">
        <v>1830</v>
      </c>
      <c r="Z261" s="102">
        <v>85799</v>
      </c>
      <c r="AA261" s="235">
        <v>0.28999999999999998</v>
      </c>
      <c r="AB261" s="117">
        <f t="shared" si="63"/>
        <v>-1.2378743560016174</v>
      </c>
      <c r="AC261" s="115">
        <v>113</v>
      </c>
      <c r="AD261" s="117">
        <f t="shared" si="64"/>
        <v>4.7273878187123408</v>
      </c>
      <c r="AE261" s="109">
        <v>5216.1318000000001</v>
      </c>
      <c r="AF261" s="111">
        <f t="shared" si="65"/>
        <v>8.5595113716921567</v>
      </c>
      <c r="AG261" s="118">
        <v>10</v>
      </c>
      <c r="AH261" s="119">
        <v>23.004000000000001</v>
      </c>
      <c r="AI261" s="120">
        <f t="shared" si="66"/>
        <v>3.1356681138515077</v>
      </c>
      <c r="AJ261" s="121">
        <v>307</v>
      </c>
      <c r="AK261" s="120">
        <f t="shared" si="67"/>
        <v>5.7268477475871968</v>
      </c>
      <c r="AL261" s="108">
        <v>13.4</v>
      </c>
      <c r="AM261" s="119">
        <v>5216.13</v>
      </c>
      <c r="AN261" s="120">
        <f t="shared" si="68"/>
        <v>8.5595110266087922</v>
      </c>
      <c r="AO261" s="96">
        <v>74.528300000000002</v>
      </c>
      <c r="AP261" s="94">
        <v>85.632199999999997</v>
      </c>
      <c r="AQ261" s="95">
        <v>4.4500599999999997</v>
      </c>
      <c r="AR261" s="94">
        <v>24.4</v>
      </c>
      <c r="AS261" s="95">
        <f t="shared" si="69"/>
        <v>3.1945831322991562</v>
      </c>
      <c r="AT261" s="96">
        <v>53.9</v>
      </c>
    </row>
    <row r="262" spans="1:46">
      <c r="A262" s="109">
        <v>24</v>
      </c>
      <c r="B262" s="110" t="s">
        <v>7</v>
      </c>
      <c r="C262" s="110" t="s">
        <v>6</v>
      </c>
      <c r="D262" s="111">
        <v>2017</v>
      </c>
      <c r="E262" s="109">
        <v>41.1</v>
      </c>
      <c r="F262" s="111">
        <f t="shared" si="56"/>
        <v>3.7160081215021892</v>
      </c>
      <c r="G262" s="93">
        <v>2.8327300000000002</v>
      </c>
      <c r="H262" s="93">
        <v>6000000000</v>
      </c>
      <c r="I262" s="94">
        <v>10106.200000000001</v>
      </c>
      <c r="J262" s="95">
        <v>9.2209099999999999</v>
      </c>
      <c r="K262" s="96">
        <v>0.28000000000000003</v>
      </c>
      <c r="L262" s="109">
        <v>21.59</v>
      </c>
      <c r="M262" s="111">
        <f t="shared" si="57"/>
        <v>3.072230244526716</v>
      </c>
      <c r="N262" s="112">
        <v>0.42920000000000003</v>
      </c>
      <c r="O262" s="113">
        <f t="shared" si="58"/>
        <v>-0.84583226822559354</v>
      </c>
      <c r="P262" s="109">
        <v>315</v>
      </c>
      <c r="Q262" s="111">
        <f t="shared" si="59"/>
        <v>5.7525726388256331</v>
      </c>
      <c r="R262" s="93">
        <v>14</v>
      </c>
      <c r="S262" s="114">
        <v>83.4</v>
      </c>
      <c r="T262" s="113">
        <f t="shared" si="60"/>
        <v>4.423648309364701</v>
      </c>
      <c r="U262" s="112">
        <v>1.8</v>
      </c>
      <c r="V262" s="113">
        <f t="shared" si="61"/>
        <v>0.58778666490211906</v>
      </c>
      <c r="W262" s="115">
        <v>75.400000000000006</v>
      </c>
      <c r="X262" s="101">
        <f t="shared" si="62"/>
        <v>4.3228072750139104</v>
      </c>
      <c r="Y262" s="116">
        <v>2110</v>
      </c>
      <c r="Z262" s="102">
        <v>86361</v>
      </c>
      <c r="AA262" s="235">
        <v>0.43</v>
      </c>
      <c r="AB262" s="117">
        <f t="shared" si="63"/>
        <v>-0.84397007029452897</v>
      </c>
      <c r="AC262" s="115">
        <v>112</v>
      </c>
      <c r="AD262" s="117">
        <f t="shared" si="64"/>
        <v>4.7184988712950942</v>
      </c>
      <c r="AE262" s="109">
        <v>5067.7749000000003</v>
      </c>
      <c r="AF262" s="111">
        <f t="shared" si="65"/>
        <v>8.5306571245114391</v>
      </c>
      <c r="AG262" s="118">
        <v>10.8</v>
      </c>
      <c r="AH262" s="119">
        <v>21.59</v>
      </c>
      <c r="AI262" s="120">
        <f t="shared" si="66"/>
        <v>3.072230244526716</v>
      </c>
      <c r="AJ262" s="121">
        <v>315</v>
      </c>
      <c r="AK262" s="120">
        <f t="shared" si="67"/>
        <v>5.7525726388256331</v>
      </c>
      <c r="AL262" s="108">
        <v>14</v>
      </c>
      <c r="AM262" s="119">
        <v>5067.7700000000004</v>
      </c>
      <c r="AN262" s="120">
        <f t="shared" si="68"/>
        <v>8.530656157617198</v>
      </c>
      <c r="AO262" s="96">
        <v>74.351200000000006</v>
      </c>
      <c r="AP262" s="94">
        <v>85.1387</v>
      </c>
      <c r="AQ262" s="95">
        <v>4.44428</v>
      </c>
      <c r="AR262" s="94">
        <v>23.4</v>
      </c>
      <c r="AS262" s="95">
        <f t="shared" si="69"/>
        <v>3.1527360223636558</v>
      </c>
      <c r="AT262" s="96">
        <v>53.936</v>
      </c>
    </row>
    <row r="263" spans="1:46">
      <c r="A263" s="109">
        <v>24</v>
      </c>
      <c r="B263" s="110" t="s">
        <v>7</v>
      </c>
      <c r="C263" s="110" t="s">
        <v>6</v>
      </c>
      <c r="D263" s="111">
        <v>2018</v>
      </c>
      <c r="E263" s="109">
        <v>41.3</v>
      </c>
      <c r="F263" s="111">
        <f t="shared" si="56"/>
        <v>3.7208624999669868</v>
      </c>
      <c r="G263" s="93">
        <v>3.0162200000000001</v>
      </c>
      <c r="H263" s="93">
        <v>7300000000</v>
      </c>
      <c r="I263" s="94">
        <v>10788</v>
      </c>
      <c r="J263" s="95">
        <v>9.2861899999999995</v>
      </c>
      <c r="K263" s="96">
        <v>0.28000000000000003</v>
      </c>
      <c r="L263" s="109">
        <v>23.417000000000002</v>
      </c>
      <c r="M263" s="111">
        <f t="shared" si="57"/>
        <v>3.1534622543198756</v>
      </c>
      <c r="N263" s="112">
        <v>0.4224</v>
      </c>
      <c r="O263" s="113">
        <f t="shared" si="58"/>
        <v>-0.86180254659008537</v>
      </c>
      <c r="P263" s="109">
        <v>329</v>
      </c>
      <c r="Q263" s="111">
        <f t="shared" si="59"/>
        <v>5.7960577507653719</v>
      </c>
      <c r="R263" s="93">
        <v>11.1</v>
      </c>
      <c r="S263" s="114">
        <v>83.1</v>
      </c>
      <c r="T263" s="113">
        <f t="shared" si="60"/>
        <v>4.4200447018614026</v>
      </c>
      <c r="U263" s="112">
        <v>1.6</v>
      </c>
      <c r="V263" s="113">
        <f t="shared" si="61"/>
        <v>0.47000362924573563</v>
      </c>
      <c r="W263" s="115">
        <v>155.1</v>
      </c>
      <c r="X263" s="101">
        <f t="shared" si="62"/>
        <v>5.0440700701824932</v>
      </c>
      <c r="Y263" s="116">
        <v>2267</v>
      </c>
      <c r="Z263" s="102">
        <v>86347</v>
      </c>
      <c r="AA263" s="235">
        <v>0.49</v>
      </c>
      <c r="AB263" s="117">
        <f t="shared" si="63"/>
        <v>-0.71334988787746478</v>
      </c>
      <c r="AC263" s="115">
        <v>110</v>
      </c>
      <c r="AD263" s="117">
        <f t="shared" si="64"/>
        <v>4.7004803657924166</v>
      </c>
      <c r="AE263" s="109">
        <v>4851.9076999999997</v>
      </c>
      <c r="AF263" s="111">
        <f t="shared" si="65"/>
        <v>8.4871272467997354</v>
      </c>
      <c r="AG263" s="118">
        <v>10.7</v>
      </c>
      <c r="AH263" s="119">
        <v>23.417000000000002</v>
      </c>
      <c r="AI263" s="120">
        <f t="shared" si="66"/>
        <v>3.1534622543198756</v>
      </c>
      <c r="AJ263" s="121">
        <v>329</v>
      </c>
      <c r="AK263" s="120">
        <f t="shared" si="67"/>
        <v>5.7960577507653719</v>
      </c>
      <c r="AL263" s="108">
        <v>11.1</v>
      </c>
      <c r="AM263" s="119">
        <v>4851.91</v>
      </c>
      <c r="AN263" s="120">
        <f t="shared" si="68"/>
        <v>8.4871277208399682</v>
      </c>
      <c r="AO263" s="96">
        <v>72.866500000000002</v>
      </c>
      <c r="AP263" s="94">
        <v>84.64</v>
      </c>
      <c r="AQ263" s="95">
        <v>4.4384100000000002</v>
      </c>
      <c r="AR263" s="94">
        <v>23</v>
      </c>
      <c r="AS263" s="95">
        <f t="shared" si="69"/>
        <v>3.1354942159291497</v>
      </c>
      <c r="AT263" s="96">
        <v>53.997999999999998</v>
      </c>
    </row>
    <row r="264" spans="1:46">
      <c r="A264" s="109">
        <v>24</v>
      </c>
      <c r="B264" s="110" t="s">
        <v>7</v>
      </c>
      <c r="C264" s="110" t="s">
        <v>6</v>
      </c>
      <c r="D264" s="111">
        <v>2019</v>
      </c>
      <c r="E264" s="109">
        <v>42.1</v>
      </c>
      <c r="F264" s="111">
        <f t="shared" si="56"/>
        <v>3.7400477406883357</v>
      </c>
      <c r="G264" s="93">
        <v>2.9265400000000001</v>
      </c>
      <c r="H264" s="93">
        <v>7400000000</v>
      </c>
      <c r="I264" s="94">
        <v>11270.5</v>
      </c>
      <c r="J264" s="95">
        <v>9.3299400000000006</v>
      </c>
      <c r="K264" s="96">
        <v>0.26</v>
      </c>
      <c r="L264" s="109">
        <v>27.959999</v>
      </c>
      <c r="M264" s="111">
        <f t="shared" si="57"/>
        <v>3.3307748816002296</v>
      </c>
      <c r="N264" s="112">
        <v>0.36840000000000001</v>
      </c>
      <c r="O264" s="113">
        <f t="shared" si="58"/>
        <v>-0.9985859746009853</v>
      </c>
      <c r="P264" s="109">
        <v>336</v>
      </c>
      <c r="Q264" s="111">
        <f t="shared" si="59"/>
        <v>5.8171111599632042</v>
      </c>
      <c r="R264" s="93">
        <v>11.5</v>
      </c>
      <c r="S264" s="114">
        <v>81.5</v>
      </c>
      <c r="T264" s="113">
        <f t="shared" si="60"/>
        <v>4.4006030202468169</v>
      </c>
      <c r="U264" s="112">
        <v>1.4</v>
      </c>
      <c r="V264" s="113">
        <f t="shared" si="61"/>
        <v>0.33647223662121289</v>
      </c>
      <c r="W264" s="115">
        <v>428.6</v>
      </c>
      <c r="X264" s="101">
        <f t="shared" si="62"/>
        <v>6.0605240830394767</v>
      </c>
      <c r="Y264" s="116">
        <v>2486</v>
      </c>
      <c r="Z264" s="102">
        <v>90179</v>
      </c>
      <c r="AA264" s="235">
        <v>0.41</v>
      </c>
      <c r="AB264" s="117">
        <f t="shared" si="63"/>
        <v>-0.89159811928378363</v>
      </c>
      <c r="AC264" s="115">
        <v>111</v>
      </c>
      <c r="AD264" s="117">
        <f t="shared" si="64"/>
        <v>4.7095302013123339</v>
      </c>
      <c r="AE264" s="109">
        <v>4636.0405000000001</v>
      </c>
      <c r="AF264" s="111">
        <f t="shared" si="65"/>
        <v>8.4416159404007765</v>
      </c>
      <c r="AG264" s="118">
        <v>9.5</v>
      </c>
      <c r="AH264" s="119">
        <v>27.96</v>
      </c>
      <c r="AI264" s="120">
        <f t="shared" si="66"/>
        <v>3.3307749173656096</v>
      </c>
      <c r="AJ264" s="121">
        <v>336</v>
      </c>
      <c r="AK264" s="120">
        <f t="shared" si="67"/>
        <v>5.8171111599632042</v>
      </c>
      <c r="AL264" s="108">
        <v>11.5</v>
      </c>
      <c r="AM264" s="119">
        <v>0</v>
      </c>
      <c r="AN264" s="120">
        <v>0</v>
      </c>
      <c r="AO264" s="96">
        <v>68.903800000000004</v>
      </c>
      <c r="AP264" s="94">
        <v>84.195300000000003</v>
      </c>
      <c r="AQ264" s="95">
        <v>4.4331399999999999</v>
      </c>
      <c r="AR264" s="94">
        <v>23.5</v>
      </c>
      <c r="AS264" s="95">
        <f t="shared" si="69"/>
        <v>3.1570004211501135</v>
      </c>
      <c r="AT264" s="96">
        <v>54.084000000000003</v>
      </c>
    </row>
    <row r="265" spans="1:46">
      <c r="A265" s="109">
        <v>24</v>
      </c>
      <c r="B265" s="110" t="s">
        <v>7</v>
      </c>
      <c r="C265" s="110" t="s">
        <v>6</v>
      </c>
      <c r="D265" s="111">
        <v>2020</v>
      </c>
      <c r="E265" s="109">
        <v>42.7</v>
      </c>
      <c r="F265" s="111">
        <f t="shared" si="56"/>
        <v>3.7541989202345789</v>
      </c>
      <c r="G265" s="93">
        <v>1.4293400000000001</v>
      </c>
      <c r="H265" s="93">
        <v>3600000000</v>
      </c>
      <c r="I265" s="94">
        <v>10916.3</v>
      </c>
      <c r="J265" s="95">
        <v>9.2980099999999997</v>
      </c>
      <c r="K265" s="96">
        <v>0.27</v>
      </c>
      <c r="L265" s="109">
        <v>29.370999999999999</v>
      </c>
      <c r="M265" s="111">
        <f t="shared" si="57"/>
        <v>3.3800077929795518</v>
      </c>
      <c r="N265" s="112">
        <v>0.3448</v>
      </c>
      <c r="O265" s="113">
        <f t="shared" si="58"/>
        <v>-1.0647907401925991</v>
      </c>
      <c r="P265" s="109">
        <v>346</v>
      </c>
      <c r="Q265" s="111">
        <f t="shared" si="59"/>
        <v>5.8464387750577247</v>
      </c>
      <c r="R265" s="93">
        <v>11.9</v>
      </c>
      <c r="S265" s="114">
        <v>76</v>
      </c>
      <c r="T265" s="113">
        <f t="shared" si="60"/>
        <v>4.3307333402863311</v>
      </c>
      <c r="U265" s="112">
        <v>1.5</v>
      </c>
      <c r="V265" s="113">
        <f t="shared" si="61"/>
        <v>0.40546510810816438</v>
      </c>
      <c r="W265" s="115">
        <v>557.29999999999995</v>
      </c>
      <c r="X265" s="101">
        <f t="shared" si="62"/>
        <v>6.3231036945754902</v>
      </c>
      <c r="Y265" s="116">
        <v>2265</v>
      </c>
      <c r="Z265" s="102">
        <v>88583</v>
      </c>
      <c r="AA265" s="235">
        <v>0.26</v>
      </c>
      <c r="AB265" s="117">
        <f t="shared" si="63"/>
        <v>-1.3470736479666092</v>
      </c>
      <c r="AC265" s="115">
        <v>112</v>
      </c>
      <c r="AD265" s="117">
        <f t="shared" si="64"/>
        <v>4.7184988712950942</v>
      </c>
      <c r="AE265" s="109">
        <v>4420.1733000000004</v>
      </c>
      <c r="AF265" s="111">
        <f t="shared" si="65"/>
        <v>8.3939341824479214</v>
      </c>
      <c r="AG265" s="118">
        <v>9.3000000000000007</v>
      </c>
      <c r="AH265" s="119">
        <v>29.370999999999999</v>
      </c>
      <c r="AI265" s="120">
        <f t="shared" si="66"/>
        <v>3.3800077929795518</v>
      </c>
      <c r="AJ265" s="121">
        <v>346</v>
      </c>
      <c r="AK265" s="120">
        <f t="shared" si="67"/>
        <v>5.8464387750577247</v>
      </c>
      <c r="AL265" s="108">
        <v>11.9</v>
      </c>
      <c r="AM265" s="119">
        <v>0</v>
      </c>
      <c r="AN265" s="120">
        <v>0</v>
      </c>
      <c r="AO265" s="96">
        <v>64.6143</v>
      </c>
      <c r="AP265" s="94">
        <v>83.732799999999997</v>
      </c>
      <c r="AQ265" s="95">
        <v>4.4276299999999997</v>
      </c>
      <c r="AR265" s="94">
        <v>24.1</v>
      </c>
      <c r="AS265" s="95">
        <f t="shared" si="69"/>
        <v>3.1822118404966093</v>
      </c>
      <c r="AT265" s="96">
        <v>54.194000000000003</v>
      </c>
    </row>
    <row r="266" spans="1:46">
      <c r="A266" s="109">
        <v>25</v>
      </c>
      <c r="B266" s="110" t="s">
        <v>5</v>
      </c>
      <c r="C266" s="110" t="s">
        <v>4</v>
      </c>
      <c r="D266" s="111">
        <v>2010</v>
      </c>
      <c r="E266" s="109">
        <v>16</v>
      </c>
      <c r="F266" s="111">
        <f t="shared" si="56"/>
        <v>2.7725887222397811</v>
      </c>
      <c r="G266" s="93">
        <v>0.126859</v>
      </c>
      <c r="H266" s="93">
        <v>630000000</v>
      </c>
      <c r="I266" s="94">
        <v>48204.7</v>
      </c>
      <c r="J266" s="95">
        <v>10.783200000000001</v>
      </c>
      <c r="K266" s="96">
        <v>0.81</v>
      </c>
      <c r="L266" s="109">
        <v>22.777999999999999</v>
      </c>
      <c r="M266" s="111">
        <f t="shared" si="57"/>
        <v>3.1257951578521594</v>
      </c>
      <c r="N266" s="112">
        <v>1.9827999999999999</v>
      </c>
      <c r="O266" s="113">
        <f t="shared" si="58"/>
        <v>0.68450998716428169</v>
      </c>
      <c r="P266" s="109">
        <v>518</v>
      </c>
      <c r="Q266" s="111">
        <f t="shared" si="59"/>
        <v>6.2499752422594828</v>
      </c>
      <c r="R266" s="93">
        <v>47.799999</v>
      </c>
      <c r="S266" s="114">
        <v>83.9</v>
      </c>
      <c r="T266" s="113">
        <f t="shared" si="60"/>
        <v>4.4296256134731609</v>
      </c>
      <c r="U266" s="112">
        <v>7.2</v>
      </c>
      <c r="V266" s="113">
        <f t="shared" si="61"/>
        <v>1.9740810260220096</v>
      </c>
      <c r="W266" s="115">
        <v>82.3</v>
      </c>
      <c r="X266" s="101">
        <f t="shared" si="62"/>
        <v>4.4103711076830239</v>
      </c>
      <c r="Y266" s="116">
        <v>5279</v>
      </c>
      <c r="Z266" s="102">
        <v>69105</v>
      </c>
      <c r="AA266" s="235">
        <v>0.43</v>
      </c>
      <c r="AB266" s="117">
        <f t="shared" si="63"/>
        <v>-0.84397007029452897</v>
      </c>
      <c r="AC266" s="115">
        <v>100</v>
      </c>
      <c r="AD266" s="117">
        <f t="shared" si="64"/>
        <v>4.6051701859880918</v>
      </c>
      <c r="AE266" s="109">
        <v>5194.0454</v>
      </c>
      <c r="AF266" s="111">
        <f t="shared" si="65"/>
        <v>8.5552681330393252</v>
      </c>
      <c r="AG266" s="118">
        <v>27.6</v>
      </c>
      <c r="AH266" s="119">
        <v>22.777999999999999</v>
      </c>
      <c r="AI266" s="120">
        <f t="shared" si="66"/>
        <v>3.1257951578521594</v>
      </c>
      <c r="AJ266" s="121">
        <v>518</v>
      </c>
      <c r="AK266" s="120">
        <f t="shared" si="67"/>
        <v>6.2499752422594828</v>
      </c>
      <c r="AL266" s="108">
        <v>47.8</v>
      </c>
      <c r="AM266" s="119">
        <v>5194.05</v>
      </c>
      <c r="AN266" s="120">
        <f t="shared" si="68"/>
        <v>8.555269018668465</v>
      </c>
      <c r="AO266" s="96">
        <v>62.403399999999998</v>
      </c>
      <c r="AP266" s="94">
        <v>23.0229</v>
      </c>
      <c r="AQ266" s="95">
        <v>3.1364899999999998</v>
      </c>
      <c r="AR266" s="94">
        <v>44.7</v>
      </c>
      <c r="AS266" s="95">
        <f t="shared" si="69"/>
        <v>3.7999735016195233</v>
      </c>
      <c r="AT266" s="96">
        <v>85.055999999999997</v>
      </c>
    </row>
    <row r="267" spans="1:46">
      <c r="A267" s="109">
        <v>25</v>
      </c>
      <c r="B267" s="110" t="s">
        <v>5</v>
      </c>
      <c r="C267" s="110" t="s">
        <v>4</v>
      </c>
      <c r="D267" s="111">
        <v>2011</v>
      </c>
      <c r="E267" s="109">
        <v>16.5</v>
      </c>
      <c r="F267" s="111">
        <f t="shared" si="56"/>
        <v>2.8033603809065348</v>
      </c>
      <c r="G267" s="93">
        <v>1.22329</v>
      </c>
      <c r="H267" s="93">
        <v>7000000000</v>
      </c>
      <c r="I267" s="94">
        <v>49355.7</v>
      </c>
      <c r="J267" s="95">
        <v>10.806800000000001</v>
      </c>
      <c r="K267" s="96">
        <v>0.81</v>
      </c>
      <c r="L267" s="109">
        <v>24.24</v>
      </c>
      <c r="M267" s="111">
        <f t="shared" si="57"/>
        <v>3.1880041612011136</v>
      </c>
      <c r="N267" s="112">
        <v>1.9406000000000001</v>
      </c>
      <c r="O267" s="113">
        <f t="shared" si="58"/>
        <v>0.66299720360906211</v>
      </c>
      <c r="P267" s="109">
        <v>520</v>
      </c>
      <c r="Q267" s="111">
        <f t="shared" si="59"/>
        <v>6.253828811575473</v>
      </c>
      <c r="R267" s="93">
        <v>47</v>
      </c>
      <c r="S267" s="114">
        <v>83.6</v>
      </c>
      <c r="T267" s="113">
        <f t="shared" si="60"/>
        <v>4.4260435200906558</v>
      </c>
      <c r="U267" s="112">
        <v>7.6</v>
      </c>
      <c r="V267" s="113">
        <f t="shared" si="61"/>
        <v>2.0281482472922852</v>
      </c>
      <c r="W267" s="115">
        <v>122.8</v>
      </c>
      <c r="X267" s="101">
        <f t="shared" si="62"/>
        <v>4.8105570157130417</v>
      </c>
      <c r="Y267" s="116">
        <v>6058</v>
      </c>
      <c r="Z267" s="102">
        <v>74573</v>
      </c>
      <c r="AA267" s="235">
        <v>0.78</v>
      </c>
      <c r="AB267" s="117">
        <f t="shared" si="63"/>
        <v>-0.24846135929849961</v>
      </c>
      <c r="AC267" s="115">
        <v>100</v>
      </c>
      <c r="AD267" s="117">
        <f t="shared" si="64"/>
        <v>4.6051701859880918</v>
      </c>
      <c r="AE267" s="109">
        <v>5013.1665000000003</v>
      </c>
      <c r="AF267" s="111">
        <f t="shared" si="65"/>
        <v>8.5198230303564664</v>
      </c>
      <c r="AG267" s="118">
        <v>26.9</v>
      </c>
      <c r="AH267" s="119">
        <v>24.24</v>
      </c>
      <c r="AI267" s="120">
        <f t="shared" si="66"/>
        <v>3.1880041612011136</v>
      </c>
      <c r="AJ267" s="121">
        <v>520</v>
      </c>
      <c r="AK267" s="120">
        <f t="shared" si="67"/>
        <v>6.253828811575473</v>
      </c>
      <c r="AL267" s="108">
        <v>47</v>
      </c>
      <c r="AM267" s="119">
        <v>5013.17</v>
      </c>
      <c r="AN267" s="120">
        <f t="shared" si="68"/>
        <v>8.5198237285177552</v>
      </c>
      <c r="AO267" s="96">
        <v>63.7971</v>
      </c>
      <c r="AP267" s="94">
        <v>23.197399999999998</v>
      </c>
      <c r="AQ267" s="95">
        <v>3.1440399999999999</v>
      </c>
      <c r="AR267" s="94">
        <v>45.4</v>
      </c>
      <c r="AS267" s="95">
        <f t="shared" si="69"/>
        <v>3.8155121050473024</v>
      </c>
      <c r="AT267" s="96">
        <v>85.296999999999997</v>
      </c>
    </row>
    <row r="268" spans="1:46">
      <c r="A268" s="109">
        <v>25</v>
      </c>
      <c r="B268" s="110" t="s">
        <v>5</v>
      </c>
      <c r="C268" s="110" t="s">
        <v>4</v>
      </c>
      <c r="D268" s="111">
        <v>2012</v>
      </c>
      <c r="E268" s="109">
        <v>18</v>
      </c>
      <c r="F268" s="111">
        <f t="shared" si="56"/>
        <v>2.8903717578961645</v>
      </c>
      <c r="G268" s="93">
        <v>0.77737000000000001</v>
      </c>
      <c r="H268" s="93">
        <v>4300000000</v>
      </c>
      <c r="I268" s="94">
        <v>48788.9</v>
      </c>
      <c r="J268" s="95">
        <v>10.795299999999999</v>
      </c>
      <c r="K268" s="96">
        <v>0.81</v>
      </c>
      <c r="L268" s="109">
        <v>23.094999000000001</v>
      </c>
      <c r="M268" s="111">
        <f t="shared" si="57"/>
        <v>3.1396161005831522</v>
      </c>
      <c r="N268" s="112">
        <v>1.9404999999999999</v>
      </c>
      <c r="O268" s="113">
        <f t="shared" si="58"/>
        <v>0.66294567182682385</v>
      </c>
      <c r="P268" s="109">
        <v>516</v>
      </c>
      <c r="Q268" s="111">
        <f t="shared" si="59"/>
        <v>6.2461067654815627</v>
      </c>
      <c r="R268" s="93">
        <v>46.900002000000001</v>
      </c>
      <c r="S268" s="114">
        <v>84.3</v>
      </c>
      <c r="T268" s="113">
        <f t="shared" si="60"/>
        <v>4.4343818650078095</v>
      </c>
      <c r="U268" s="112">
        <v>8.1999999999999993</v>
      </c>
      <c r="V268" s="113">
        <f t="shared" si="61"/>
        <v>2.1041341542702074</v>
      </c>
      <c r="W268" s="115">
        <v>71.2</v>
      </c>
      <c r="X268" s="101">
        <f t="shared" si="62"/>
        <v>4.2654928184179299</v>
      </c>
      <c r="Y268" s="116">
        <v>6298</v>
      </c>
      <c r="Z268" s="102">
        <v>74598</v>
      </c>
      <c r="AA268" s="235">
        <v>0.48</v>
      </c>
      <c r="AB268" s="117">
        <f t="shared" si="63"/>
        <v>-0.73396917508020043</v>
      </c>
      <c r="AC268" s="115">
        <v>98</v>
      </c>
      <c r="AD268" s="117">
        <f t="shared" si="64"/>
        <v>4.5849674786705723</v>
      </c>
      <c r="AE268" s="109">
        <v>4817.7938999999997</v>
      </c>
      <c r="AF268" s="111">
        <f t="shared" si="65"/>
        <v>8.4800714051739234</v>
      </c>
      <c r="AG268" s="118">
        <v>26.3</v>
      </c>
      <c r="AH268" s="119">
        <v>23.094999999999999</v>
      </c>
      <c r="AI268" s="120">
        <f t="shared" si="66"/>
        <v>3.1396161438825687</v>
      </c>
      <c r="AJ268" s="121">
        <v>516</v>
      </c>
      <c r="AK268" s="120">
        <f t="shared" si="67"/>
        <v>6.2461067654815627</v>
      </c>
      <c r="AL268" s="108">
        <v>46.9</v>
      </c>
      <c r="AM268" s="119">
        <v>4817.79</v>
      </c>
      <c r="AN268" s="120">
        <f t="shared" si="68"/>
        <v>8.4800705956744586</v>
      </c>
      <c r="AO268" s="96">
        <v>61.261600000000001</v>
      </c>
      <c r="AP268" s="94">
        <v>23.369599999999998</v>
      </c>
      <c r="AQ268" s="95">
        <v>3.15144</v>
      </c>
      <c r="AR268" s="94">
        <v>48.3</v>
      </c>
      <c r="AS268" s="95">
        <f t="shared" si="69"/>
        <v>3.8774315606585268</v>
      </c>
      <c r="AT268" s="96">
        <v>85.62</v>
      </c>
    </row>
    <row r="269" spans="1:46">
      <c r="A269" s="109">
        <v>25</v>
      </c>
      <c r="B269" s="110" t="s">
        <v>5</v>
      </c>
      <c r="C269" s="110" t="s">
        <v>4</v>
      </c>
      <c r="D269" s="111">
        <v>2013</v>
      </c>
      <c r="E269" s="109">
        <v>18</v>
      </c>
      <c r="F269" s="111">
        <f t="shared" si="56"/>
        <v>2.8903717578961645</v>
      </c>
      <c r="G269" s="93">
        <v>0.25469599999999998</v>
      </c>
      <c r="H269" s="93">
        <v>1500000000</v>
      </c>
      <c r="I269" s="94">
        <v>48927.6</v>
      </c>
      <c r="J269" s="95">
        <v>10.7981</v>
      </c>
      <c r="K269" s="96">
        <v>0.81</v>
      </c>
      <c r="L269" s="109">
        <v>24.889999</v>
      </c>
      <c r="M269" s="111">
        <f t="shared" si="57"/>
        <v>3.2144660762027222</v>
      </c>
      <c r="N269" s="112">
        <v>1.9071</v>
      </c>
      <c r="O269" s="113">
        <f t="shared" si="58"/>
        <v>0.64558376362833569</v>
      </c>
      <c r="P269" s="109">
        <v>490</v>
      </c>
      <c r="Q269" s="111">
        <f t="shared" si="59"/>
        <v>6.1944053911046719</v>
      </c>
      <c r="R269" s="93">
        <v>48.200001</v>
      </c>
      <c r="S269" s="114">
        <v>83.7</v>
      </c>
      <c r="T269" s="113">
        <f t="shared" si="60"/>
        <v>4.4272389774954295</v>
      </c>
      <c r="U269" s="112">
        <v>7.2</v>
      </c>
      <c r="V269" s="113">
        <f t="shared" si="61"/>
        <v>1.9740810260220096</v>
      </c>
      <c r="W269" s="115">
        <v>43.2</v>
      </c>
      <c r="X269" s="101">
        <f t="shared" si="62"/>
        <v>3.7658404952500648</v>
      </c>
      <c r="Y269" s="116">
        <v>7108</v>
      </c>
      <c r="Z269" s="102">
        <v>74963</v>
      </c>
      <c r="AA269" s="235">
        <v>0.91</v>
      </c>
      <c r="AB269" s="117">
        <f t="shared" si="63"/>
        <v>-9.431067947124129E-2</v>
      </c>
      <c r="AC269" s="115">
        <v>99</v>
      </c>
      <c r="AD269" s="117">
        <f t="shared" si="64"/>
        <v>4.5951198501345898</v>
      </c>
      <c r="AE269" s="109">
        <v>4805.3521000000001</v>
      </c>
      <c r="AF269" s="111">
        <f t="shared" si="65"/>
        <v>8.477485596555292</v>
      </c>
      <c r="AG269" s="118">
        <v>24.9</v>
      </c>
      <c r="AH269" s="119">
        <v>24.89</v>
      </c>
      <c r="AI269" s="120">
        <f t="shared" si="66"/>
        <v>3.2144661163795005</v>
      </c>
      <c r="AJ269" s="121">
        <v>490</v>
      </c>
      <c r="AK269" s="120">
        <f t="shared" si="67"/>
        <v>6.1944053911046719</v>
      </c>
      <c r="AL269" s="108">
        <v>48.2</v>
      </c>
      <c r="AM269" s="119">
        <v>4805.3500000000004</v>
      </c>
      <c r="AN269" s="120">
        <f t="shared" si="68"/>
        <v>8.4774851595424749</v>
      </c>
      <c r="AO269" s="96">
        <v>56.179299999999998</v>
      </c>
      <c r="AP269" s="94">
        <v>23.5685</v>
      </c>
      <c r="AQ269" s="95">
        <v>3.15991</v>
      </c>
      <c r="AR269" s="94">
        <v>47.3</v>
      </c>
      <c r="AS269" s="95">
        <f t="shared" si="69"/>
        <v>3.8565102954978872</v>
      </c>
      <c r="AT269" s="96">
        <v>85.936000000000007</v>
      </c>
    </row>
    <row r="270" spans="1:46">
      <c r="A270" s="109">
        <v>25</v>
      </c>
      <c r="B270" s="110" t="s">
        <v>5</v>
      </c>
      <c r="C270" s="110" t="s">
        <v>4</v>
      </c>
      <c r="D270" s="111">
        <v>2014</v>
      </c>
      <c r="E270" s="109">
        <v>17.3</v>
      </c>
      <c r="F270" s="111">
        <f t="shared" si="56"/>
        <v>2.8507065015037334</v>
      </c>
      <c r="G270" s="93">
        <v>-1.0454300000000001</v>
      </c>
      <c r="H270" s="93">
        <v>-6000000000</v>
      </c>
      <c r="I270" s="94">
        <v>49556.7</v>
      </c>
      <c r="J270" s="95">
        <v>10.8109</v>
      </c>
      <c r="K270" s="96">
        <v>0.81</v>
      </c>
      <c r="L270" s="109">
        <v>23.040001</v>
      </c>
      <c r="M270" s="111">
        <f t="shared" si="57"/>
        <v>3.1372318792304674</v>
      </c>
      <c r="N270" s="112">
        <v>1.9057999999999999</v>
      </c>
      <c r="O270" s="113">
        <f t="shared" si="58"/>
        <v>0.64490186793195081</v>
      </c>
      <c r="P270" s="109">
        <v>453</v>
      </c>
      <c r="Q270" s="111">
        <f t="shared" si="59"/>
        <v>6.1158921254830343</v>
      </c>
      <c r="R270" s="93">
        <v>49.299999</v>
      </c>
      <c r="S270" s="114">
        <v>84.1</v>
      </c>
      <c r="T270" s="113">
        <f t="shared" si="60"/>
        <v>4.4320065669789024</v>
      </c>
      <c r="U270" s="112">
        <v>6.4</v>
      </c>
      <c r="V270" s="113">
        <f t="shared" si="61"/>
        <v>1.8562979903656263</v>
      </c>
      <c r="W270" s="115">
        <v>20.8</v>
      </c>
      <c r="X270" s="101">
        <f t="shared" si="62"/>
        <v>3.0349529867072724</v>
      </c>
      <c r="Y270" s="116">
        <v>6257</v>
      </c>
      <c r="Z270" s="102">
        <v>75670</v>
      </c>
      <c r="AA270" s="235">
        <v>0.7</v>
      </c>
      <c r="AB270" s="117">
        <f t="shared" si="63"/>
        <v>-0.35667494393873245</v>
      </c>
      <c r="AC270" s="115">
        <v>101</v>
      </c>
      <c r="AD270" s="117">
        <f t="shared" si="64"/>
        <v>4.6151205168412597</v>
      </c>
      <c r="AE270" s="109">
        <v>4866.1522999999997</v>
      </c>
      <c r="AF270" s="111">
        <f t="shared" si="65"/>
        <v>8.4900588216617265</v>
      </c>
      <c r="AG270" s="118">
        <v>25.4</v>
      </c>
      <c r="AH270" s="119">
        <v>23.04</v>
      </c>
      <c r="AI270" s="120">
        <f t="shared" si="66"/>
        <v>3.1372318358276905</v>
      </c>
      <c r="AJ270" s="121">
        <v>453</v>
      </c>
      <c r="AK270" s="120">
        <f t="shared" si="67"/>
        <v>6.1158921254830343</v>
      </c>
      <c r="AL270" s="108">
        <v>49.3</v>
      </c>
      <c r="AM270" s="119">
        <v>4866.1499999999996</v>
      </c>
      <c r="AN270" s="120">
        <f t="shared" si="68"/>
        <v>8.490058349008919</v>
      </c>
      <c r="AO270" s="96">
        <v>56.575899999999997</v>
      </c>
      <c r="AP270" s="94">
        <v>23.8035</v>
      </c>
      <c r="AQ270" s="95">
        <v>3.1698300000000001</v>
      </c>
      <c r="AR270" s="94">
        <v>48.6</v>
      </c>
      <c r="AS270" s="95">
        <f t="shared" si="69"/>
        <v>3.8836235309064482</v>
      </c>
      <c r="AT270" s="96">
        <v>86.247</v>
      </c>
    </row>
    <row r="271" spans="1:46">
      <c r="A271" s="109">
        <v>25</v>
      </c>
      <c r="B271" s="110" t="s">
        <v>5</v>
      </c>
      <c r="C271" s="110" t="s">
        <v>4</v>
      </c>
      <c r="D271" s="111">
        <v>2015</v>
      </c>
      <c r="E271" s="109">
        <v>18.100000000000001</v>
      </c>
      <c r="F271" s="111">
        <f t="shared" si="56"/>
        <v>2.8959119382717802</v>
      </c>
      <c r="G271" s="93">
        <v>1.94889</v>
      </c>
      <c r="H271" s="93">
        <v>9800000000</v>
      </c>
      <c r="I271" s="94">
        <v>51198</v>
      </c>
      <c r="J271" s="95">
        <v>10.843500000000001</v>
      </c>
      <c r="K271" s="96">
        <v>0.81</v>
      </c>
      <c r="L271" s="109">
        <v>23.094000000000001</v>
      </c>
      <c r="M271" s="111">
        <f t="shared" si="57"/>
        <v>3.1395728435296641</v>
      </c>
      <c r="N271" s="112">
        <v>2.0114000000000001</v>
      </c>
      <c r="O271" s="113">
        <f t="shared" si="58"/>
        <v>0.69883099702824303</v>
      </c>
      <c r="P271" s="109">
        <v>439</v>
      </c>
      <c r="Q271" s="111">
        <f t="shared" si="59"/>
        <v>6.0844994130751715</v>
      </c>
      <c r="R271" s="93">
        <v>47.599997999999999</v>
      </c>
      <c r="S271" s="114">
        <v>83.6</v>
      </c>
      <c r="T271" s="113">
        <f t="shared" si="60"/>
        <v>4.4260435200906558</v>
      </c>
      <c r="U271" s="112">
        <v>6.7</v>
      </c>
      <c r="V271" s="113">
        <f t="shared" si="61"/>
        <v>1.9021075263969205</v>
      </c>
      <c r="W271" s="115">
        <v>56</v>
      </c>
      <c r="X271" s="101">
        <f t="shared" si="62"/>
        <v>4.0253516907351496</v>
      </c>
      <c r="Y271" s="116">
        <v>6421</v>
      </c>
      <c r="Z271" s="102">
        <v>78165</v>
      </c>
      <c r="AA271" s="235">
        <v>1</v>
      </c>
      <c r="AB271" s="117">
        <f t="shared" si="63"/>
        <v>0</v>
      </c>
      <c r="AC271" s="115">
        <v>103</v>
      </c>
      <c r="AD271" s="117">
        <f t="shared" si="64"/>
        <v>4.6347289882296359</v>
      </c>
      <c r="AE271" s="109">
        <v>4665.5537000000004</v>
      </c>
      <c r="AF271" s="111">
        <f t="shared" si="65"/>
        <v>8.4479617986281994</v>
      </c>
      <c r="AG271" s="118">
        <v>25.5</v>
      </c>
      <c r="AH271" s="119">
        <v>23.094000000000001</v>
      </c>
      <c r="AI271" s="120">
        <f t="shared" si="66"/>
        <v>3.1395728435296641</v>
      </c>
      <c r="AJ271" s="121">
        <v>439</v>
      </c>
      <c r="AK271" s="120">
        <f t="shared" si="67"/>
        <v>6.0844994130751715</v>
      </c>
      <c r="AL271" s="108">
        <v>47.6</v>
      </c>
      <c r="AM271" s="119">
        <v>4665.55</v>
      </c>
      <c r="AN271" s="120">
        <f t="shared" si="68"/>
        <v>8.4479610055816057</v>
      </c>
      <c r="AO271" s="96">
        <v>55.495699999999999</v>
      </c>
      <c r="AP271" s="94">
        <v>24.058299999999999</v>
      </c>
      <c r="AQ271" s="95">
        <v>3.1804800000000002</v>
      </c>
      <c r="AR271" s="94">
        <v>51.9</v>
      </c>
      <c r="AS271" s="95">
        <f t="shared" si="69"/>
        <v>3.949318790171843</v>
      </c>
      <c r="AT271" s="96">
        <v>86.552999999999997</v>
      </c>
    </row>
    <row r="272" spans="1:46">
      <c r="A272" s="109">
        <v>25</v>
      </c>
      <c r="B272" s="110" t="s">
        <v>5</v>
      </c>
      <c r="C272" s="110" t="s">
        <v>4</v>
      </c>
      <c r="D272" s="111">
        <v>2016</v>
      </c>
      <c r="E272" s="109">
        <v>17.3</v>
      </c>
      <c r="F272" s="111">
        <f t="shared" si="56"/>
        <v>2.8507065015037334</v>
      </c>
      <c r="G272" s="93">
        <v>3.00854</v>
      </c>
      <c r="H272" s="93">
        <v>15000000000</v>
      </c>
      <c r="I272" s="94">
        <v>51746.7</v>
      </c>
      <c r="J272" s="95">
        <v>10.854100000000001</v>
      </c>
      <c r="K272" s="96">
        <v>0.79</v>
      </c>
      <c r="L272" s="109">
        <v>24.603000999999999</v>
      </c>
      <c r="M272" s="111">
        <f t="shared" si="57"/>
        <v>3.2028684273678327</v>
      </c>
      <c r="N272" s="112">
        <v>2.0141</v>
      </c>
      <c r="O272" s="113">
        <f t="shared" si="58"/>
        <v>0.70017244549669855</v>
      </c>
      <c r="P272" s="109">
        <v>452</v>
      </c>
      <c r="Q272" s="111">
        <f t="shared" si="59"/>
        <v>6.1136821798322316</v>
      </c>
      <c r="R272" s="93">
        <v>48.400002000000001</v>
      </c>
      <c r="S272" s="114">
        <v>83.4</v>
      </c>
      <c r="T272" s="113">
        <f t="shared" si="60"/>
        <v>4.423648309364701</v>
      </c>
      <c r="U272" s="112">
        <v>6.9</v>
      </c>
      <c r="V272" s="113">
        <f t="shared" si="61"/>
        <v>1.9315214116032138</v>
      </c>
      <c r="W272" s="115">
        <v>31.8</v>
      </c>
      <c r="X272" s="101">
        <f t="shared" si="62"/>
        <v>3.459466289786131</v>
      </c>
      <c r="Y272" s="116">
        <v>6642</v>
      </c>
      <c r="Z272" s="102">
        <v>80333</v>
      </c>
      <c r="AA272" s="235">
        <v>0.61</v>
      </c>
      <c r="AB272" s="117">
        <f t="shared" si="63"/>
        <v>-0.49429632181478012</v>
      </c>
      <c r="AC272" s="115">
        <v>104</v>
      </c>
      <c r="AD272" s="117">
        <f t="shared" si="64"/>
        <v>4.6443908991413725</v>
      </c>
      <c r="AE272" s="109">
        <v>4562.3603999999996</v>
      </c>
      <c r="AF272" s="111">
        <f t="shared" si="65"/>
        <v>8.4255954001623667</v>
      </c>
      <c r="AG272" s="118">
        <v>26.4</v>
      </c>
      <c r="AH272" s="119">
        <v>24.603000000000002</v>
      </c>
      <c r="AI272" s="120">
        <f t="shared" si="66"/>
        <v>3.2028683867223839</v>
      </c>
      <c r="AJ272" s="121">
        <v>452</v>
      </c>
      <c r="AK272" s="120">
        <f t="shared" si="67"/>
        <v>6.1136821798322316</v>
      </c>
      <c r="AL272" s="108">
        <v>48.4</v>
      </c>
      <c r="AM272" s="119">
        <v>4562.3599999999997</v>
      </c>
      <c r="AN272" s="120">
        <f t="shared" si="68"/>
        <v>8.4255953124884471</v>
      </c>
      <c r="AO272" s="96">
        <v>54.512099999999997</v>
      </c>
      <c r="AP272" s="94">
        <v>24.362400000000001</v>
      </c>
      <c r="AQ272" s="95">
        <v>3.1930399999999999</v>
      </c>
      <c r="AR272" s="94">
        <v>50.9</v>
      </c>
      <c r="AS272" s="95">
        <f t="shared" si="69"/>
        <v>3.929862923556477</v>
      </c>
      <c r="AT272" s="96">
        <v>86.852000000000004</v>
      </c>
    </row>
    <row r="273" spans="1:46">
      <c r="A273" s="109">
        <v>25</v>
      </c>
      <c r="B273" s="110" t="s">
        <v>5</v>
      </c>
      <c r="C273" s="110" t="s">
        <v>4</v>
      </c>
      <c r="D273" s="111">
        <v>2017</v>
      </c>
      <c r="E273" s="109">
        <v>17.899999999999999</v>
      </c>
      <c r="F273" s="111">
        <f t="shared" si="56"/>
        <v>2.884800712846709</v>
      </c>
      <c r="G273" s="93">
        <v>4.5338399999999996</v>
      </c>
      <c r="H273" s="93">
        <v>24000000000</v>
      </c>
      <c r="I273" s="94">
        <v>51985.9</v>
      </c>
      <c r="J273" s="95">
        <v>10.858700000000001</v>
      </c>
      <c r="K273" s="96">
        <v>0.78</v>
      </c>
      <c r="L273" s="109">
        <v>22.815000999999999</v>
      </c>
      <c r="M273" s="111">
        <f t="shared" si="57"/>
        <v>3.1274182582101777</v>
      </c>
      <c r="N273" s="112">
        <v>1.9456</v>
      </c>
      <c r="O273" s="113">
        <f t="shared" si="58"/>
        <v>0.66557041278971085</v>
      </c>
      <c r="P273" s="109">
        <v>459</v>
      </c>
      <c r="Q273" s="111">
        <f t="shared" si="59"/>
        <v>6.1290502100605453</v>
      </c>
      <c r="R273" s="93">
        <v>46.799999</v>
      </c>
      <c r="S273" s="114">
        <v>83.5</v>
      </c>
      <c r="T273" s="113">
        <f t="shared" si="60"/>
        <v>4.42484663185681</v>
      </c>
      <c r="U273" s="112">
        <v>6.7</v>
      </c>
      <c r="V273" s="113">
        <f t="shared" si="61"/>
        <v>1.9021075263969205</v>
      </c>
      <c r="W273" s="115">
        <v>46.1</v>
      </c>
      <c r="X273" s="101">
        <f t="shared" si="62"/>
        <v>3.8308129500026027</v>
      </c>
      <c r="Y273" s="116">
        <v>6984</v>
      </c>
      <c r="Z273" s="102">
        <v>83566</v>
      </c>
      <c r="AA273" s="235">
        <v>1.39</v>
      </c>
      <c r="AB273" s="117">
        <f t="shared" si="63"/>
        <v>0.3293037471426003</v>
      </c>
      <c r="AC273" s="115">
        <v>103</v>
      </c>
      <c r="AD273" s="117">
        <f t="shared" si="64"/>
        <v>4.6347289882296359</v>
      </c>
      <c r="AE273" s="109">
        <v>4403.3734999999997</v>
      </c>
      <c r="AF273" s="111">
        <f t="shared" si="65"/>
        <v>8.3901262306840234</v>
      </c>
      <c r="AG273" s="118">
        <v>25.4</v>
      </c>
      <c r="AH273" s="119">
        <v>22.815000000000001</v>
      </c>
      <c r="AI273" s="120">
        <f t="shared" si="66"/>
        <v>3.1274182143793658</v>
      </c>
      <c r="AJ273" s="121">
        <v>459</v>
      </c>
      <c r="AK273" s="120">
        <f t="shared" si="67"/>
        <v>6.1290502100605453</v>
      </c>
      <c r="AL273" s="108">
        <v>46.8</v>
      </c>
      <c r="AM273" s="119">
        <v>4403.37</v>
      </c>
      <c r="AN273" s="120">
        <f t="shared" si="68"/>
        <v>8.3901254358385735</v>
      </c>
      <c r="AO273" s="96">
        <v>57.292299999999997</v>
      </c>
      <c r="AP273" s="94">
        <v>24.692900000000002</v>
      </c>
      <c r="AQ273" s="95">
        <v>3.2065199999999998</v>
      </c>
      <c r="AR273" s="94">
        <v>51.8</v>
      </c>
      <c r="AS273" s="95">
        <f t="shared" si="69"/>
        <v>3.9473901492654373</v>
      </c>
      <c r="AT273" s="96">
        <v>87.146000000000001</v>
      </c>
    </row>
    <row r="274" spans="1:46">
      <c r="A274" s="109">
        <v>25</v>
      </c>
      <c r="B274" s="110" t="s">
        <v>5</v>
      </c>
      <c r="C274" s="110" t="s">
        <v>4</v>
      </c>
      <c r="D274" s="111">
        <v>2018</v>
      </c>
      <c r="E274" s="109">
        <v>18.2</v>
      </c>
      <c r="F274" s="111">
        <f t="shared" si="56"/>
        <v>2.9014215940827497</v>
      </c>
      <c r="G274" s="93">
        <v>-0.12953700000000001</v>
      </c>
      <c r="H274" s="93">
        <v>-710000000</v>
      </c>
      <c r="I274" s="94">
        <v>52363.4</v>
      </c>
      <c r="J274" s="95">
        <v>10.866</v>
      </c>
      <c r="K274" s="96">
        <v>0.78</v>
      </c>
      <c r="L274" s="109">
        <v>25.068999999999999</v>
      </c>
      <c r="M274" s="111">
        <f t="shared" si="57"/>
        <v>3.2216320230619178</v>
      </c>
      <c r="N274" s="112">
        <v>1.9154</v>
      </c>
      <c r="O274" s="113">
        <f t="shared" si="58"/>
        <v>0.64992647810538184</v>
      </c>
      <c r="P274" s="109">
        <v>472</v>
      </c>
      <c r="Q274" s="111">
        <f t="shared" si="59"/>
        <v>6.156978985585555</v>
      </c>
      <c r="R274" s="93">
        <v>45.799999</v>
      </c>
      <c r="S274" s="114">
        <v>83.3</v>
      </c>
      <c r="T274" s="113">
        <f t="shared" si="60"/>
        <v>4.4224485491727972</v>
      </c>
      <c r="U274" s="112">
        <v>6.6</v>
      </c>
      <c r="V274" s="113">
        <f t="shared" si="61"/>
        <v>1.8870696490323797</v>
      </c>
      <c r="W274" s="115">
        <v>19.100000000000001</v>
      </c>
      <c r="X274" s="101">
        <f t="shared" si="62"/>
        <v>2.9496883350525844</v>
      </c>
      <c r="Y274" s="116">
        <v>6437</v>
      </c>
      <c r="Z274" s="102">
        <v>80130</v>
      </c>
      <c r="AA274" s="235">
        <v>1.88</v>
      </c>
      <c r="AB274" s="117">
        <f t="shared" si="63"/>
        <v>0.63127177684185776</v>
      </c>
      <c r="AC274" s="115">
        <v>102</v>
      </c>
      <c r="AD274" s="117">
        <f t="shared" si="64"/>
        <v>4.6249728132842707</v>
      </c>
      <c r="AE274" s="109">
        <v>3890.9169999999999</v>
      </c>
      <c r="AF274" s="111">
        <f t="shared" si="65"/>
        <v>8.2664001414797319</v>
      </c>
      <c r="AG274" s="118">
        <v>26.8</v>
      </c>
      <c r="AH274" s="119">
        <v>25.068999999999999</v>
      </c>
      <c r="AI274" s="120">
        <f t="shared" si="66"/>
        <v>3.2216320230619178</v>
      </c>
      <c r="AJ274" s="121">
        <v>472</v>
      </c>
      <c r="AK274" s="120">
        <f t="shared" si="67"/>
        <v>6.156978985585555</v>
      </c>
      <c r="AL274" s="108">
        <v>45.8</v>
      </c>
      <c r="AM274" s="119">
        <v>3890.92</v>
      </c>
      <c r="AN274" s="120">
        <f t="shared" si="68"/>
        <v>8.2664009125059046</v>
      </c>
      <c r="AO274" s="96">
        <v>61.049399999999999</v>
      </c>
      <c r="AP274" s="94">
        <v>24.9815</v>
      </c>
      <c r="AQ274" s="95">
        <v>3.2181299999999999</v>
      </c>
      <c r="AR274" s="94">
        <v>51.6</v>
      </c>
      <c r="AS274" s="95">
        <f t="shared" si="69"/>
        <v>3.9435216724875173</v>
      </c>
      <c r="AT274" s="96">
        <v>87.430999999999997</v>
      </c>
    </row>
    <row r="275" spans="1:46">
      <c r="A275" s="109">
        <v>25</v>
      </c>
      <c r="B275" s="110" t="s">
        <v>5</v>
      </c>
      <c r="C275" s="110" t="s">
        <v>4</v>
      </c>
      <c r="D275" s="111">
        <v>2019</v>
      </c>
      <c r="E275" s="109">
        <v>18.8</v>
      </c>
      <c r="F275" s="111">
        <f t="shared" si="56"/>
        <v>2.9338568698359038</v>
      </c>
      <c r="G275" s="93">
        <v>2.98448</v>
      </c>
      <c r="H275" s="93">
        <v>16000000000</v>
      </c>
      <c r="I275" s="94">
        <v>53156.9</v>
      </c>
      <c r="J275" s="95">
        <v>10.881</v>
      </c>
      <c r="K275" s="96">
        <v>0.79</v>
      </c>
      <c r="L275" s="109">
        <v>24.677</v>
      </c>
      <c r="M275" s="111">
        <f t="shared" si="57"/>
        <v>3.2058716357329469</v>
      </c>
      <c r="N275" s="112">
        <v>1.8713</v>
      </c>
      <c r="O275" s="113">
        <f t="shared" si="58"/>
        <v>0.62663337650160578</v>
      </c>
      <c r="P275" s="109">
        <v>484</v>
      </c>
      <c r="Q275" s="111">
        <f t="shared" si="59"/>
        <v>6.1820849067166321</v>
      </c>
      <c r="R275" s="93">
        <v>46.599997999999999</v>
      </c>
      <c r="S275" s="114">
        <v>86.6</v>
      </c>
      <c r="T275" s="113">
        <f t="shared" si="60"/>
        <v>4.4612998155683892</v>
      </c>
      <c r="U275" s="112">
        <v>6.4</v>
      </c>
      <c r="V275" s="113">
        <f t="shared" si="61"/>
        <v>1.8562979903656263</v>
      </c>
      <c r="W275" s="115">
        <v>54.2</v>
      </c>
      <c r="X275" s="101">
        <f t="shared" si="62"/>
        <v>3.9926809084456005</v>
      </c>
      <c r="Y275" s="116">
        <v>6364</v>
      </c>
      <c r="Z275" s="102">
        <v>81185</v>
      </c>
      <c r="AA275" s="235">
        <v>1.4</v>
      </c>
      <c r="AB275" s="117">
        <f t="shared" si="63"/>
        <v>0.33647223662121289</v>
      </c>
      <c r="AC275" s="115">
        <v>103</v>
      </c>
      <c r="AD275" s="117">
        <f t="shared" si="64"/>
        <v>4.6347289882296359</v>
      </c>
      <c r="AE275" s="109">
        <v>3378.4603999999999</v>
      </c>
      <c r="AF275" s="111">
        <f t="shared" si="65"/>
        <v>8.1251753817454979</v>
      </c>
      <c r="AG275" s="118">
        <v>25</v>
      </c>
      <c r="AH275" s="119">
        <v>24.677</v>
      </c>
      <c r="AI275" s="120">
        <f t="shared" si="66"/>
        <v>3.2058716357329469</v>
      </c>
      <c r="AJ275" s="121">
        <v>484</v>
      </c>
      <c r="AK275" s="120">
        <f t="shared" si="67"/>
        <v>6.1820849067166321</v>
      </c>
      <c r="AL275" s="108">
        <v>46.6</v>
      </c>
      <c r="AM275" s="119">
        <v>0</v>
      </c>
      <c r="AN275" s="120">
        <v>0</v>
      </c>
      <c r="AO275" s="96">
        <v>60.046100000000003</v>
      </c>
      <c r="AP275" s="94">
        <v>25.2379</v>
      </c>
      <c r="AQ275" s="95">
        <v>3.2283499999999998</v>
      </c>
      <c r="AR275" s="94">
        <v>52.9</v>
      </c>
      <c r="AS275" s="95">
        <f t="shared" si="69"/>
        <v>3.9684033388642534</v>
      </c>
      <c r="AT275" s="96">
        <v>87.707999999999998</v>
      </c>
    </row>
    <row r="276" spans="1:46">
      <c r="A276" s="109">
        <v>25</v>
      </c>
      <c r="B276" s="110" t="s">
        <v>5</v>
      </c>
      <c r="C276" s="110" t="s">
        <v>4</v>
      </c>
      <c r="D276" s="111">
        <v>2020</v>
      </c>
      <c r="E276" s="109">
        <v>19.2</v>
      </c>
      <c r="F276" s="111">
        <f t="shared" si="56"/>
        <v>2.954910279033736</v>
      </c>
      <c r="G276" s="93">
        <v>3.39683</v>
      </c>
      <c r="H276" s="93">
        <v>19000000000</v>
      </c>
      <c r="I276" s="94">
        <v>51715.8</v>
      </c>
      <c r="J276" s="95">
        <v>10.8535</v>
      </c>
      <c r="K276" s="96">
        <v>0.78</v>
      </c>
      <c r="L276" s="109">
        <v>23.649000000000001</v>
      </c>
      <c r="M276" s="111">
        <f t="shared" si="57"/>
        <v>3.1633208307458811</v>
      </c>
      <c r="N276" s="112">
        <v>1.9179999999999999</v>
      </c>
      <c r="O276" s="113">
        <f t="shared" si="58"/>
        <v>0.65128297646124644</v>
      </c>
      <c r="P276" s="109">
        <v>504</v>
      </c>
      <c r="Q276" s="111">
        <f t="shared" si="59"/>
        <v>6.2225762680713688</v>
      </c>
      <c r="R276" s="93">
        <v>38.299999</v>
      </c>
      <c r="S276" s="114">
        <v>74.099999999999994</v>
      </c>
      <c r="T276" s="113">
        <f t="shared" si="60"/>
        <v>4.3054155323020415</v>
      </c>
      <c r="U276" s="112">
        <v>6.9</v>
      </c>
      <c r="V276" s="113">
        <f t="shared" si="61"/>
        <v>1.9315214116032138</v>
      </c>
      <c r="W276" s="115">
        <v>35.9</v>
      </c>
      <c r="X276" s="101">
        <f t="shared" si="62"/>
        <v>3.5807372954942331</v>
      </c>
      <c r="Y276" s="116">
        <v>7135</v>
      </c>
      <c r="Z276" s="102">
        <v>83884</v>
      </c>
      <c r="AA276" s="235">
        <v>0.46</v>
      </c>
      <c r="AB276" s="117">
        <f t="shared" si="63"/>
        <v>-0.77652878949899629</v>
      </c>
      <c r="AC276" s="115">
        <v>91</v>
      </c>
      <c r="AD276" s="117">
        <f t="shared" si="64"/>
        <v>4.5108595065168497</v>
      </c>
      <c r="AE276" s="109">
        <v>2866.0039000000002</v>
      </c>
      <c r="AF276" s="111">
        <f t="shared" si="65"/>
        <v>7.9606739691687682</v>
      </c>
      <c r="AG276" s="118">
        <v>23.7</v>
      </c>
      <c r="AH276" s="119">
        <v>23.649000000000001</v>
      </c>
      <c r="AI276" s="120">
        <f t="shared" si="66"/>
        <v>3.1633208307458811</v>
      </c>
      <c r="AJ276" s="121">
        <v>504</v>
      </c>
      <c r="AK276" s="120">
        <f t="shared" si="67"/>
        <v>6.2225762680713688</v>
      </c>
      <c r="AL276" s="108">
        <v>38.299999999999997</v>
      </c>
      <c r="AM276" s="119">
        <v>0</v>
      </c>
      <c r="AN276" s="120">
        <v>0</v>
      </c>
      <c r="AO276" s="96">
        <v>56.0364</v>
      </c>
      <c r="AP276" s="94">
        <v>25.4209</v>
      </c>
      <c r="AQ276" s="95">
        <v>3.2355700000000001</v>
      </c>
      <c r="AR276" s="94">
        <v>57.8</v>
      </c>
      <c r="AS276" s="95">
        <f t="shared" si="69"/>
        <v>4.0569887756783318</v>
      </c>
      <c r="AT276" s="96">
        <v>87.977000000000004</v>
      </c>
    </row>
    <row r="277" spans="1:46">
      <c r="A277" s="109">
        <v>26</v>
      </c>
      <c r="B277" s="110" t="s">
        <v>3</v>
      </c>
      <c r="C277" s="110" t="s">
        <v>2</v>
      </c>
      <c r="D277" s="111">
        <v>2010</v>
      </c>
      <c r="E277" s="109">
        <v>21</v>
      </c>
      <c r="F277" s="111">
        <f t="shared" si="56"/>
        <v>3.044522437723423</v>
      </c>
      <c r="G277" s="93">
        <v>0.66776100000000005</v>
      </c>
      <c r="H277" s="93">
        <v>320000000</v>
      </c>
      <c r="I277" s="94">
        <v>20444.099999999999</v>
      </c>
      <c r="J277" s="95">
        <v>9.9254499999999997</v>
      </c>
      <c r="K277" s="96">
        <v>0.52</v>
      </c>
      <c r="L277" s="109">
        <v>19.072001</v>
      </c>
      <c r="M277" s="111">
        <f t="shared" si="57"/>
        <v>2.948221343315824</v>
      </c>
      <c r="N277" s="112">
        <v>1.1600999999999999</v>
      </c>
      <c r="O277" s="113">
        <f t="shared" si="58"/>
        <v>0.14850620829922395</v>
      </c>
      <c r="P277" s="109">
        <v>396</v>
      </c>
      <c r="Q277" s="111">
        <f t="shared" si="59"/>
        <v>5.9814142112544806</v>
      </c>
      <c r="R277" s="93">
        <v>22.4</v>
      </c>
      <c r="S277" s="114">
        <v>78.5</v>
      </c>
      <c r="T277" s="113">
        <f t="shared" si="60"/>
        <v>4.3630986247883632</v>
      </c>
      <c r="U277" s="112">
        <v>5.9</v>
      </c>
      <c r="V277" s="113">
        <f t="shared" si="61"/>
        <v>1.7749523509116738</v>
      </c>
      <c r="W277" s="115">
        <v>804.5</v>
      </c>
      <c r="X277" s="101">
        <f t="shared" si="62"/>
        <v>6.6902209664324381</v>
      </c>
      <c r="Y277" s="116">
        <v>517</v>
      </c>
      <c r="Z277" s="102">
        <v>14076</v>
      </c>
      <c r="AA277" s="235">
        <v>0</v>
      </c>
      <c r="AB277" s="117">
        <v>0</v>
      </c>
      <c r="AC277" s="115">
        <v>100</v>
      </c>
      <c r="AD277" s="117">
        <f t="shared" si="64"/>
        <v>4.6051701859880918</v>
      </c>
      <c r="AE277" s="109">
        <v>6916.8687</v>
      </c>
      <c r="AF277" s="111">
        <f t="shared" si="65"/>
        <v>8.8417184462026963</v>
      </c>
      <c r="AG277" s="118">
        <v>37.799999999999997</v>
      </c>
      <c r="AH277" s="119">
        <v>19.071999999999999</v>
      </c>
      <c r="AI277" s="120">
        <f t="shared" si="66"/>
        <v>2.9482212908829393</v>
      </c>
      <c r="AJ277" s="121">
        <v>396</v>
      </c>
      <c r="AK277" s="120">
        <f t="shared" si="67"/>
        <v>5.9814142112544806</v>
      </c>
      <c r="AL277" s="108">
        <v>22.4</v>
      </c>
      <c r="AM277" s="119">
        <v>6916.87</v>
      </c>
      <c r="AN277" s="120">
        <f t="shared" si="68"/>
        <v>8.8417186341489948</v>
      </c>
      <c r="AO277" s="96">
        <v>124.06399999999999</v>
      </c>
      <c r="AP277" s="94">
        <v>101.68600000000001</v>
      </c>
      <c r="AQ277" s="95">
        <v>4.6218899999999996</v>
      </c>
      <c r="AR277" s="94">
        <v>20.100000000000001</v>
      </c>
      <c r="AS277" s="95">
        <f t="shared" si="69"/>
        <v>3.0007198150650303</v>
      </c>
      <c r="AT277" s="96">
        <v>52.658000000000001</v>
      </c>
    </row>
    <row r="278" spans="1:46">
      <c r="A278" s="109">
        <v>26</v>
      </c>
      <c r="B278" s="110" t="s">
        <v>3</v>
      </c>
      <c r="C278" s="110" t="s">
        <v>2</v>
      </c>
      <c r="D278" s="111">
        <v>2011</v>
      </c>
      <c r="E278" s="109">
        <v>21.5</v>
      </c>
      <c r="F278" s="111">
        <f t="shared" si="56"/>
        <v>3.068052935133617</v>
      </c>
      <c r="G278" s="93">
        <v>1.71086</v>
      </c>
      <c r="H278" s="93">
        <v>880000000</v>
      </c>
      <c r="I278" s="94">
        <v>20535.400000000001</v>
      </c>
      <c r="J278" s="95">
        <v>9.9299099999999996</v>
      </c>
      <c r="K278" s="96">
        <v>0.48</v>
      </c>
      <c r="L278" s="109">
        <v>18.468</v>
      </c>
      <c r="M278" s="111">
        <f t="shared" si="57"/>
        <v>2.9160395046447425</v>
      </c>
      <c r="N278" s="112">
        <v>1.2995000000000001</v>
      </c>
      <c r="O278" s="113">
        <f t="shared" si="58"/>
        <v>0.261979575099408</v>
      </c>
      <c r="P278" s="109">
        <v>391</v>
      </c>
      <c r="Q278" s="111">
        <f t="shared" si="59"/>
        <v>5.9687075599853658</v>
      </c>
      <c r="R278" s="93">
        <v>35.700001</v>
      </c>
      <c r="S278" s="114">
        <v>75.099999999999994</v>
      </c>
      <c r="T278" s="113">
        <f t="shared" si="60"/>
        <v>4.3188205587700894</v>
      </c>
      <c r="U278" s="112">
        <v>7.6</v>
      </c>
      <c r="V278" s="113">
        <f t="shared" si="61"/>
        <v>2.0281482472922852</v>
      </c>
      <c r="W278" s="115">
        <v>824.3</v>
      </c>
      <c r="X278" s="101">
        <f t="shared" si="62"/>
        <v>6.7145345413191819</v>
      </c>
      <c r="Y278" s="116">
        <v>531</v>
      </c>
      <c r="Z278" s="102">
        <v>14352</v>
      </c>
      <c r="AA278" s="235">
        <v>0.1</v>
      </c>
      <c r="AB278" s="117">
        <f t="shared" si="63"/>
        <v>-2.3025850929940455</v>
      </c>
      <c r="AC278" s="115">
        <v>99</v>
      </c>
      <c r="AD278" s="117">
        <f t="shared" si="64"/>
        <v>4.5951198501345898</v>
      </c>
      <c r="AE278" s="109">
        <v>6777.3451999999997</v>
      </c>
      <c r="AF278" s="111">
        <f t="shared" si="65"/>
        <v>8.8213407408316389</v>
      </c>
      <c r="AG278" s="118">
        <v>40.799999999999997</v>
      </c>
      <c r="AH278" s="119">
        <v>18.468</v>
      </c>
      <c r="AI278" s="120">
        <f t="shared" si="66"/>
        <v>2.9160395046447425</v>
      </c>
      <c r="AJ278" s="121">
        <v>391</v>
      </c>
      <c r="AK278" s="120">
        <f t="shared" si="67"/>
        <v>5.9687075599853658</v>
      </c>
      <c r="AL278" s="108">
        <v>35.700000000000003</v>
      </c>
      <c r="AM278" s="119">
        <v>6777.35</v>
      </c>
      <c r="AN278" s="120">
        <f t="shared" si="68"/>
        <v>8.8213414490733104</v>
      </c>
      <c r="AO278" s="96">
        <v>137.137</v>
      </c>
      <c r="AP278" s="94">
        <v>101.898</v>
      </c>
      <c r="AQ278" s="95">
        <v>4.6239800000000004</v>
      </c>
      <c r="AR278" s="94">
        <v>19.100000000000001</v>
      </c>
      <c r="AS278" s="95">
        <f t="shared" si="69"/>
        <v>2.9496883350525844</v>
      </c>
      <c r="AT278" s="96">
        <v>52.883000000000003</v>
      </c>
    </row>
    <row r="279" spans="1:46">
      <c r="A279" s="109">
        <v>26</v>
      </c>
      <c r="B279" s="110" t="s">
        <v>3</v>
      </c>
      <c r="C279" s="110" t="s">
        <v>2</v>
      </c>
      <c r="D279" s="111">
        <v>2012</v>
      </c>
      <c r="E279" s="109">
        <v>22.5</v>
      </c>
      <c r="F279" s="111">
        <f t="shared" si="56"/>
        <v>3.1135153092103742</v>
      </c>
      <c r="G279" s="93">
        <v>7.2645000000000001E-2</v>
      </c>
      <c r="H279" s="93">
        <v>34000000</v>
      </c>
      <c r="I279" s="94">
        <v>19894.900000000001</v>
      </c>
      <c r="J279" s="95">
        <v>9.8982200000000002</v>
      </c>
      <c r="K279" s="96">
        <v>0.47</v>
      </c>
      <c r="L279" s="109">
        <v>15.632</v>
      </c>
      <c r="M279" s="111">
        <f t="shared" si="57"/>
        <v>2.7493200953004271</v>
      </c>
      <c r="N279" s="112">
        <v>1.4568000000000001</v>
      </c>
      <c r="O279" s="113">
        <f t="shared" si="58"/>
        <v>0.37624224943126122</v>
      </c>
      <c r="P279" s="109">
        <v>411</v>
      </c>
      <c r="Q279" s="111">
        <f t="shared" si="59"/>
        <v>6.0185932144962342</v>
      </c>
      <c r="R279" s="93">
        <v>42.099997999999999</v>
      </c>
      <c r="S279" s="114">
        <v>79.7</v>
      </c>
      <c r="T279" s="113">
        <f t="shared" si="60"/>
        <v>4.3782695857961693</v>
      </c>
      <c r="U279" s="112">
        <v>9.4</v>
      </c>
      <c r="V279" s="113">
        <f t="shared" si="61"/>
        <v>2.2407096892759584</v>
      </c>
      <c r="W279" s="115">
        <v>991.1</v>
      </c>
      <c r="X279" s="101">
        <f t="shared" si="62"/>
        <v>6.8988154374126625</v>
      </c>
      <c r="Y279" s="116">
        <v>543</v>
      </c>
      <c r="Z279" s="102">
        <v>14648</v>
      </c>
      <c r="AA279" s="235">
        <v>0</v>
      </c>
      <c r="AB279" s="117">
        <v>0</v>
      </c>
      <c r="AC279" s="115">
        <v>96</v>
      </c>
      <c r="AD279" s="117">
        <f t="shared" si="64"/>
        <v>4.5643481914678361</v>
      </c>
      <c r="AE279" s="109">
        <v>6090.5888999999997</v>
      </c>
      <c r="AF279" s="111">
        <f t="shared" si="65"/>
        <v>8.7145000555362362</v>
      </c>
      <c r="AG279" s="118">
        <v>43.1</v>
      </c>
      <c r="AH279" s="119">
        <v>15.632</v>
      </c>
      <c r="AI279" s="120">
        <f t="shared" si="66"/>
        <v>2.7493200953004271</v>
      </c>
      <c r="AJ279" s="121">
        <v>411</v>
      </c>
      <c r="AK279" s="120">
        <f t="shared" si="67"/>
        <v>6.0185932144962342</v>
      </c>
      <c r="AL279" s="108">
        <v>42.1</v>
      </c>
      <c r="AM279" s="119">
        <v>6090.59</v>
      </c>
      <c r="AN279" s="120">
        <f t="shared" si="68"/>
        <v>8.7145002361427295</v>
      </c>
      <c r="AO279" s="96">
        <v>139.05600000000001</v>
      </c>
      <c r="AP279" s="94">
        <v>102.114</v>
      </c>
      <c r="AQ279" s="95">
        <v>4.6260899999999996</v>
      </c>
      <c r="AR279" s="94">
        <v>20.2</v>
      </c>
      <c r="AS279" s="95">
        <f t="shared" si="69"/>
        <v>3.0056826044071592</v>
      </c>
      <c r="AT279" s="96">
        <v>53.107999999999997</v>
      </c>
    </row>
    <row r="280" spans="1:46">
      <c r="A280" s="109">
        <v>26</v>
      </c>
      <c r="B280" s="110" t="s">
        <v>3</v>
      </c>
      <c r="C280" s="110" t="s">
        <v>2</v>
      </c>
      <c r="D280" s="111">
        <v>2013</v>
      </c>
      <c r="E280" s="109">
        <v>22.5</v>
      </c>
      <c r="F280" s="111">
        <f t="shared" si="56"/>
        <v>3.1135153092103742</v>
      </c>
      <c r="G280" s="93">
        <v>0.21731600000000001</v>
      </c>
      <c r="H280" s="93">
        <v>100000000</v>
      </c>
      <c r="I280" s="94">
        <v>19704.2</v>
      </c>
      <c r="J280" s="95">
        <v>9.8885900000000007</v>
      </c>
      <c r="K280" s="96">
        <v>0.44</v>
      </c>
      <c r="L280" s="109">
        <v>16.143999000000001</v>
      </c>
      <c r="M280" s="111">
        <f t="shared" si="57"/>
        <v>2.7815484016687337</v>
      </c>
      <c r="N280" s="112">
        <v>1.4702</v>
      </c>
      <c r="O280" s="113">
        <f t="shared" si="58"/>
        <v>0.38539844595785017</v>
      </c>
      <c r="P280" s="109">
        <v>381</v>
      </c>
      <c r="Q280" s="111">
        <f t="shared" si="59"/>
        <v>5.9427993751267012</v>
      </c>
      <c r="R280" s="93">
        <v>34.799999</v>
      </c>
      <c r="S280" s="114">
        <v>51</v>
      </c>
      <c r="T280" s="113">
        <f t="shared" si="60"/>
        <v>3.9318256327243257</v>
      </c>
      <c r="U280" s="112">
        <v>9.3000000000000007</v>
      </c>
      <c r="V280" s="113">
        <f t="shared" si="61"/>
        <v>2.2300144001592104</v>
      </c>
      <c r="W280" s="115">
        <v>1132.8</v>
      </c>
      <c r="X280" s="101">
        <f t="shared" si="62"/>
        <v>7.0324477229394553</v>
      </c>
      <c r="Y280" s="116">
        <v>537</v>
      </c>
      <c r="Z280" s="102">
        <v>14541</v>
      </c>
      <c r="AA280" s="235">
        <v>0.97</v>
      </c>
      <c r="AB280" s="117">
        <f t="shared" si="63"/>
        <v>-3.0459207484708574E-2</v>
      </c>
      <c r="AC280" s="115">
        <v>94</v>
      </c>
      <c r="AD280" s="117">
        <f t="shared" si="64"/>
        <v>4.5432947822700038</v>
      </c>
      <c r="AE280" s="109">
        <v>6211.5063</v>
      </c>
      <c r="AF280" s="111">
        <f t="shared" si="65"/>
        <v>8.7341587059009829</v>
      </c>
      <c r="AG280" s="118">
        <v>44.3</v>
      </c>
      <c r="AH280" s="119">
        <v>16.143999999999998</v>
      </c>
      <c r="AI280" s="120">
        <f t="shared" si="66"/>
        <v>2.7815484636112529</v>
      </c>
      <c r="AJ280" s="121">
        <v>381</v>
      </c>
      <c r="AK280" s="120">
        <f t="shared" si="67"/>
        <v>5.9427993751267012</v>
      </c>
      <c r="AL280" s="108">
        <v>34.799999999999997</v>
      </c>
      <c r="AM280" s="119">
        <v>6211.51</v>
      </c>
      <c r="AN280" s="120">
        <f t="shared" si="68"/>
        <v>8.7341593015695249</v>
      </c>
      <c r="AO280" s="96">
        <v>140.79</v>
      </c>
      <c r="AP280" s="94">
        <v>102.282</v>
      </c>
      <c r="AQ280" s="95">
        <v>4.6277299999999997</v>
      </c>
      <c r="AR280" s="94">
        <v>22.5</v>
      </c>
      <c r="AS280" s="95">
        <f t="shared" si="69"/>
        <v>3.1135153092103742</v>
      </c>
      <c r="AT280" s="96">
        <v>53.332000000000001</v>
      </c>
    </row>
    <row r="281" spans="1:46">
      <c r="A281" s="109">
        <v>26</v>
      </c>
      <c r="B281" s="110" t="s">
        <v>3</v>
      </c>
      <c r="C281" s="110" t="s">
        <v>2</v>
      </c>
      <c r="D281" s="111">
        <v>2014</v>
      </c>
      <c r="E281" s="109">
        <v>22.1</v>
      </c>
      <c r="F281" s="111">
        <f t="shared" si="56"/>
        <v>3.095577608523707</v>
      </c>
      <c r="G281" s="93">
        <v>2.0587499999999999</v>
      </c>
      <c r="H281" s="93">
        <v>1000000000</v>
      </c>
      <c r="I281" s="94">
        <v>20228.7</v>
      </c>
      <c r="J281" s="95">
        <v>9.9148599999999991</v>
      </c>
      <c r="K281" s="96">
        <v>0.39</v>
      </c>
      <c r="L281" s="109">
        <v>17.207999999999998</v>
      </c>
      <c r="M281" s="111">
        <f t="shared" si="57"/>
        <v>2.8453743919654286</v>
      </c>
      <c r="N281" s="112">
        <v>1.4047000000000001</v>
      </c>
      <c r="O281" s="113">
        <f t="shared" si="58"/>
        <v>0.33982375685472715</v>
      </c>
      <c r="P281" s="109">
        <v>313</v>
      </c>
      <c r="Q281" s="111">
        <f t="shared" si="59"/>
        <v>5.7462031905401529</v>
      </c>
      <c r="R281" s="93">
        <v>36</v>
      </c>
      <c r="S281" s="114">
        <v>81.599999999999994</v>
      </c>
      <c r="T281" s="113">
        <f t="shared" si="60"/>
        <v>4.401829261970061</v>
      </c>
      <c r="U281" s="112">
        <v>8.5</v>
      </c>
      <c r="V281" s="113">
        <f t="shared" si="61"/>
        <v>2.1400661634962708</v>
      </c>
      <c r="W281" s="115">
        <v>1111.0999999999999</v>
      </c>
      <c r="X281" s="101">
        <f t="shared" si="62"/>
        <v>7.0131057945899631</v>
      </c>
      <c r="Y281" s="116">
        <v>589</v>
      </c>
      <c r="Z281" s="102">
        <v>14718</v>
      </c>
      <c r="AA281" s="235">
        <v>1.0900000000000001</v>
      </c>
      <c r="AB281" s="117">
        <f t="shared" si="63"/>
        <v>8.6177696241052412E-2</v>
      </c>
      <c r="AC281" s="115">
        <v>95</v>
      </c>
      <c r="AD281" s="117">
        <f t="shared" si="64"/>
        <v>4.5538768916005408</v>
      </c>
      <c r="AE281" s="109">
        <v>6468.9022999999997</v>
      </c>
      <c r="AF281" s="111">
        <f t="shared" si="65"/>
        <v>8.7747617131319782</v>
      </c>
      <c r="AG281" s="118">
        <v>42.2</v>
      </c>
      <c r="AH281" s="119">
        <v>17.207999999999998</v>
      </c>
      <c r="AI281" s="120">
        <f t="shared" si="66"/>
        <v>2.8453743919654286</v>
      </c>
      <c r="AJ281" s="121">
        <v>313</v>
      </c>
      <c r="AK281" s="120">
        <f t="shared" si="67"/>
        <v>5.7462031905401529</v>
      </c>
      <c r="AL281" s="108">
        <v>36</v>
      </c>
      <c r="AM281" s="119">
        <v>6468.9</v>
      </c>
      <c r="AN281" s="120">
        <f t="shared" si="68"/>
        <v>8.7747613575847296</v>
      </c>
      <c r="AO281" s="96">
        <v>141.15100000000001</v>
      </c>
      <c r="AP281" s="94">
        <v>102.38200000000001</v>
      </c>
      <c r="AQ281" s="95">
        <v>4.6287099999999999</v>
      </c>
      <c r="AR281" s="94">
        <v>22.9</v>
      </c>
      <c r="AS281" s="95">
        <f t="shared" si="69"/>
        <v>3.1311369105601941</v>
      </c>
      <c r="AT281" s="96">
        <v>53.557000000000002</v>
      </c>
    </row>
    <row r="282" spans="1:46">
      <c r="A282" s="109">
        <v>26</v>
      </c>
      <c r="B282" s="110" t="s">
        <v>3</v>
      </c>
      <c r="C282" s="110" t="s">
        <v>2</v>
      </c>
      <c r="D282" s="111">
        <v>2015</v>
      </c>
      <c r="E282" s="109">
        <v>23</v>
      </c>
      <c r="F282" s="111">
        <f t="shared" si="56"/>
        <v>3.1354942159291497</v>
      </c>
      <c r="G282" s="93">
        <v>4.0509700000000004</v>
      </c>
      <c r="H282" s="93">
        <v>1700000000</v>
      </c>
      <c r="I282" s="94">
        <v>20697.3</v>
      </c>
      <c r="J282" s="95">
        <v>9.9377600000000008</v>
      </c>
      <c r="K282" s="96">
        <v>0.36</v>
      </c>
      <c r="L282" s="109">
        <v>15.97</v>
      </c>
      <c r="M282" s="111">
        <f t="shared" si="57"/>
        <v>2.7707119622269212</v>
      </c>
      <c r="N282" s="112">
        <v>1.4151</v>
      </c>
      <c r="O282" s="113">
        <f t="shared" si="58"/>
        <v>0.34720019997618867</v>
      </c>
      <c r="P282" s="109">
        <v>259</v>
      </c>
      <c r="Q282" s="111">
        <f t="shared" si="59"/>
        <v>5.5568280616995374</v>
      </c>
      <c r="R282" s="93">
        <v>54.099997999999999</v>
      </c>
      <c r="S282" s="114">
        <v>86.2</v>
      </c>
      <c r="T282" s="113">
        <f t="shared" si="60"/>
        <v>4.4566701776696478</v>
      </c>
      <c r="U282" s="112">
        <v>8.6999999999999993</v>
      </c>
      <c r="V282" s="113">
        <f t="shared" si="61"/>
        <v>2.1633230256605378</v>
      </c>
      <c r="W282" s="115">
        <v>1143.0999999999999</v>
      </c>
      <c r="X282" s="101">
        <f t="shared" si="62"/>
        <v>7.0414991490317327</v>
      </c>
      <c r="Y282" s="116">
        <v>614</v>
      </c>
      <c r="Z282" s="102">
        <v>15231</v>
      </c>
      <c r="AA282" s="235">
        <v>0</v>
      </c>
      <c r="AB282" s="117">
        <v>0</v>
      </c>
      <c r="AC282" s="115">
        <v>101</v>
      </c>
      <c r="AD282" s="117">
        <f t="shared" si="64"/>
        <v>4.6151205168412597</v>
      </c>
      <c r="AE282" s="109">
        <v>6531.7217000000001</v>
      </c>
      <c r="AF282" s="111">
        <f t="shared" si="65"/>
        <v>8.7844258475489063</v>
      </c>
      <c r="AG282" s="118">
        <v>44.2</v>
      </c>
      <c r="AH282" s="119">
        <v>15.97</v>
      </c>
      <c r="AI282" s="120">
        <f t="shared" si="66"/>
        <v>2.7707119622269212</v>
      </c>
      <c r="AJ282" s="121">
        <v>259</v>
      </c>
      <c r="AK282" s="120">
        <f t="shared" si="67"/>
        <v>5.5568280616995374</v>
      </c>
      <c r="AL282" s="108">
        <v>54.1</v>
      </c>
      <c r="AM282" s="119">
        <v>6531.72</v>
      </c>
      <c r="AN282" s="120">
        <f t="shared" si="68"/>
        <v>8.7844255872805892</v>
      </c>
      <c r="AO282" s="96">
        <v>144.56700000000001</v>
      </c>
      <c r="AP282" s="94">
        <v>102.446</v>
      </c>
      <c r="AQ282" s="95">
        <v>4.62934</v>
      </c>
      <c r="AR282" s="94">
        <v>21.4</v>
      </c>
      <c r="AS282" s="95">
        <f t="shared" si="69"/>
        <v>3.0633909220278057</v>
      </c>
      <c r="AT282" s="96">
        <v>53.780999999999999</v>
      </c>
    </row>
    <row r="283" spans="1:46">
      <c r="A283" s="109">
        <v>26</v>
      </c>
      <c r="B283" s="110" t="s">
        <v>3</v>
      </c>
      <c r="C283" s="110" t="s">
        <v>2</v>
      </c>
      <c r="D283" s="111">
        <v>2016</v>
      </c>
      <c r="E283" s="109">
        <v>22.1</v>
      </c>
      <c r="F283" s="111">
        <f t="shared" si="56"/>
        <v>3.095577608523707</v>
      </c>
      <c r="G283" s="93">
        <v>3.2654100000000001</v>
      </c>
      <c r="H283" s="93">
        <v>1400000000</v>
      </c>
      <c r="I283" s="94">
        <v>21309.7</v>
      </c>
      <c r="J283" s="95">
        <v>9.96692</v>
      </c>
      <c r="K283" s="96">
        <v>0.36</v>
      </c>
      <c r="L283" s="109">
        <v>15.036</v>
      </c>
      <c r="M283" s="111">
        <f t="shared" si="57"/>
        <v>2.7104473257019315</v>
      </c>
      <c r="N283" s="112">
        <v>1.5128999999999999</v>
      </c>
      <c r="O283" s="113">
        <f t="shared" si="58"/>
        <v>0.41402833876865219</v>
      </c>
      <c r="P283" s="109">
        <v>251</v>
      </c>
      <c r="Q283" s="111">
        <f t="shared" si="59"/>
        <v>5.5254529391317835</v>
      </c>
      <c r="R283" s="93">
        <v>55.5</v>
      </c>
      <c r="S283" s="114">
        <v>75.8</v>
      </c>
      <c r="T283" s="113">
        <f t="shared" si="60"/>
        <v>4.3280982926483258</v>
      </c>
      <c r="U283" s="112">
        <v>8.6999999999999993</v>
      </c>
      <c r="V283" s="113">
        <f t="shared" si="61"/>
        <v>2.1633230256605378</v>
      </c>
      <c r="W283" s="115">
        <v>1281.2</v>
      </c>
      <c r="X283" s="101">
        <f t="shared" si="62"/>
        <v>7.1555524177350032</v>
      </c>
      <c r="Y283" s="116">
        <v>649</v>
      </c>
      <c r="Z283" s="102">
        <v>15361</v>
      </c>
      <c r="AA283" s="235">
        <v>0</v>
      </c>
      <c r="AB283" s="117">
        <v>0</v>
      </c>
      <c r="AC283" s="115">
        <v>105</v>
      </c>
      <c r="AD283" s="117">
        <f t="shared" si="64"/>
        <v>4.6539603501575231</v>
      </c>
      <c r="AE283" s="109">
        <v>6613.2407000000003</v>
      </c>
      <c r="AF283" s="111">
        <f t="shared" si="65"/>
        <v>8.7968290850162028</v>
      </c>
      <c r="AG283" s="118">
        <v>47.2</v>
      </c>
      <c r="AH283" s="119">
        <v>15.036</v>
      </c>
      <c r="AI283" s="120">
        <f t="shared" si="66"/>
        <v>2.7104473257019315</v>
      </c>
      <c r="AJ283" s="121">
        <v>251</v>
      </c>
      <c r="AK283" s="120">
        <f t="shared" si="67"/>
        <v>5.5254529391317835</v>
      </c>
      <c r="AL283" s="108">
        <v>55.5</v>
      </c>
      <c r="AM283" s="119">
        <v>6613.24</v>
      </c>
      <c r="AN283" s="120">
        <f t="shared" si="68"/>
        <v>8.796828979167941</v>
      </c>
      <c r="AO283" s="96">
        <v>143.267</v>
      </c>
      <c r="AP283" s="94">
        <v>102.524</v>
      </c>
      <c r="AQ283" s="95">
        <v>4.6300999999999997</v>
      </c>
      <c r="AR283" s="94">
        <v>21</v>
      </c>
      <c r="AS283" s="95">
        <f t="shared" si="69"/>
        <v>3.044522437723423</v>
      </c>
      <c r="AT283" s="96">
        <v>54.02</v>
      </c>
    </row>
    <row r="284" spans="1:46">
      <c r="A284" s="109">
        <v>26</v>
      </c>
      <c r="B284" s="110" t="s">
        <v>3</v>
      </c>
      <c r="C284" s="110" t="s">
        <v>2</v>
      </c>
      <c r="D284" s="111">
        <v>2017</v>
      </c>
      <c r="E284" s="109">
        <v>23</v>
      </c>
      <c r="F284" s="111">
        <f t="shared" si="56"/>
        <v>3.1354942159291497</v>
      </c>
      <c r="G284" s="93">
        <v>2.48421</v>
      </c>
      <c r="H284" s="93">
        <v>1200000000</v>
      </c>
      <c r="I284" s="94">
        <v>22397.8</v>
      </c>
      <c r="J284" s="95">
        <v>10.0167</v>
      </c>
      <c r="K284" s="96">
        <v>0.36</v>
      </c>
      <c r="L284" s="109">
        <v>16.290001</v>
      </c>
      <c r="M284" s="111">
        <f t="shared" si="57"/>
        <v>2.7905514840013059</v>
      </c>
      <c r="N284" s="112">
        <v>1.5517000000000001</v>
      </c>
      <c r="O284" s="113">
        <f t="shared" si="58"/>
        <v>0.43935110410730133</v>
      </c>
      <c r="P284" s="109">
        <v>254</v>
      </c>
      <c r="Q284" s="111">
        <f t="shared" si="59"/>
        <v>5.5373342670185366</v>
      </c>
      <c r="R284" s="93">
        <v>57.799999</v>
      </c>
      <c r="S284" s="114">
        <v>86.9</v>
      </c>
      <c r="T284" s="113">
        <f t="shared" si="60"/>
        <v>4.4647580322713463</v>
      </c>
      <c r="U284" s="112">
        <v>9.8000000000000007</v>
      </c>
      <c r="V284" s="113">
        <f t="shared" si="61"/>
        <v>2.2823823856765264</v>
      </c>
      <c r="W284" s="115">
        <v>1023.8</v>
      </c>
      <c r="X284" s="101">
        <f t="shared" si="62"/>
        <v>6.9312764740234831</v>
      </c>
      <c r="Y284" s="116">
        <v>702</v>
      </c>
      <c r="Z284" s="102">
        <v>15837</v>
      </c>
      <c r="AA284" s="235">
        <v>0.48</v>
      </c>
      <c r="AB284" s="117">
        <f t="shared" si="63"/>
        <v>-0.73396917508020043</v>
      </c>
      <c r="AC284" s="115">
        <v>106</v>
      </c>
      <c r="AD284" s="117">
        <f t="shared" si="64"/>
        <v>4.6634390941120669</v>
      </c>
      <c r="AE284" s="109">
        <v>6495.1298999999999</v>
      </c>
      <c r="AF284" s="111">
        <f t="shared" si="65"/>
        <v>8.778807928904703</v>
      </c>
      <c r="AG284" s="118">
        <v>47.4</v>
      </c>
      <c r="AH284" s="119">
        <v>16.29</v>
      </c>
      <c r="AI284" s="120">
        <f t="shared" si="66"/>
        <v>2.7905514226139538</v>
      </c>
      <c r="AJ284" s="121">
        <v>254</v>
      </c>
      <c r="AK284" s="120">
        <f t="shared" si="67"/>
        <v>5.5373342670185366</v>
      </c>
      <c r="AL284" s="108">
        <v>57.8</v>
      </c>
      <c r="AM284" s="119">
        <v>6495.13</v>
      </c>
      <c r="AN284" s="120">
        <f t="shared" si="68"/>
        <v>8.7788079443008531</v>
      </c>
      <c r="AO284" s="96">
        <v>154.75800000000001</v>
      </c>
      <c r="AP284" s="94">
        <v>102.611</v>
      </c>
      <c r="AQ284" s="95">
        <v>4.6309399999999998</v>
      </c>
      <c r="AR284" s="94">
        <v>19.7</v>
      </c>
      <c r="AS284" s="95">
        <f t="shared" si="69"/>
        <v>2.9806186357439426</v>
      </c>
      <c r="AT284" s="96">
        <v>54.273000000000003</v>
      </c>
    </row>
    <row r="285" spans="1:46">
      <c r="A285" s="109">
        <v>26</v>
      </c>
      <c r="B285" s="110" t="s">
        <v>3</v>
      </c>
      <c r="C285" s="110" t="s">
        <v>2</v>
      </c>
      <c r="D285" s="111">
        <v>2018</v>
      </c>
      <c r="E285" s="109">
        <v>23.3</v>
      </c>
      <c r="F285" s="111">
        <f t="shared" si="56"/>
        <v>3.1484533605716547</v>
      </c>
      <c r="G285" s="93">
        <v>2.8649</v>
      </c>
      <c r="H285" s="93">
        <v>1500000000</v>
      </c>
      <c r="I285" s="94">
        <v>23294</v>
      </c>
      <c r="J285" s="95">
        <v>10.055899999999999</v>
      </c>
      <c r="K285" s="96">
        <v>0.35</v>
      </c>
      <c r="L285" s="109">
        <v>17.929001</v>
      </c>
      <c r="M285" s="111">
        <f t="shared" si="57"/>
        <v>2.8864195693888477</v>
      </c>
      <c r="N285" s="112">
        <v>1.4702</v>
      </c>
      <c r="O285" s="113">
        <f t="shared" si="58"/>
        <v>0.38539844595785017</v>
      </c>
      <c r="P285" s="109">
        <v>249</v>
      </c>
      <c r="Q285" s="111">
        <f t="shared" si="59"/>
        <v>5.5174528964647074</v>
      </c>
      <c r="R285" s="93">
        <v>58.900002000000001</v>
      </c>
      <c r="S285" s="114">
        <v>84.6</v>
      </c>
      <c r="T285" s="113">
        <f t="shared" si="60"/>
        <v>4.4379342666121779</v>
      </c>
      <c r="U285" s="112">
        <v>10.1</v>
      </c>
      <c r="V285" s="113">
        <f t="shared" si="61"/>
        <v>2.3125354238472138</v>
      </c>
      <c r="W285" s="115">
        <v>1509.1</v>
      </c>
      <c r="X285" s="101">
        <f t="shared" si="62"/>
        <v>7.3192687256245046</v>
      </c>
      <c r="Y285" s="116">
        <v>756</v>
      </c>
      <c r="Z285" s="102">
        <v>16974</v>
      </c>
      <c r="AA285" s="235">
        <v>0</v>
      </c>
      <c r="AB285" s="117">
        <v>0</v>
      </c>
      <c r="AC285" s="115">
        <v>103</v>
      </c>
      <c r="AD285" s="117">
        <f t="shared" si="64"/>
        <v>4.6347289882296359</v>
      </c>
      <c r="AE285" s="109">
        <v>6203.0478999999996</v>
      </c>
      <c r="AF285" s="111">
        <f t="shared" si="65"/>
        <v>8.7327960470132684</v>
      </c>
      <c r="AG285" s="118">
        <v>46.8</v>
      </c>
      <c r="AH285" s="119">
        <v>17.928999999999998</v>
      </c>
      <c r="AI285" s="120">
        <f t="shared" si="66"/>
        <v>2.8864195136132902</v>
      </c>
      <c r="AJ285" s="121">
        <v>249</v>
      </c>
      <c r="AK285" s="120">
        <f t="shared" si="67"/>
        <v>5.5174528964647074</v>
      </c>
      <c r="AL285" s="108">
        <v>58.9</v>
      </c>
      <c r="AM285" s="119">
        <v>6203.05</v>
      </c>
      <c r="AN285" s="120">
        <f t="shared" si="68"/>
        <v>8.7327963855564619</v>
      </c>
      <c r="AO285" s="96">
        <v>161.05099999999999</v>
      </c>
      <c r="AP285" s="94">
        <v>102.992</v>
      </c>
      <c r="AQ285" s="95">
        <v>4.6346499999999997</v>
      </c>
      <c r="AR285" s="94">
        <v>20.6</v>
      </c>
      <c r="AS285" s="95">
        <f t="shared" si="69"/>
        <v>3.0252910757955354</v>
      </c>
      <c r="AT285" s="96">
        <v>54.540999999999997</v>
      </c>
    </row>
    <row r="286" spans="1:46">
      <c r="A286" s="109">
        <v>26</v>
      </c>
      <c r="B286" s="110" t="s">
        <v>3</v>
      </c>
      <c r="C286" s="110" t="s">
        <v>2</v>
      </c>
      <c r="D286" s="111">
        <v>2019</v>
      </c>
      <c r="E286" s="109">
        <v>23.9</v>
      </c>
      <c r="F286" s="111">
        <f t="shared" si="56"/>
        <v>3.1738784589374651</v>
      </c>
      <c r="G286" s="93">
        <v>3.99099</v>
      </c>
      <c r="H286" s="93">
        <v>2200000000</v>
      </c>
      <c r="I286" s="94">
        <v>23943.200000000001</v>
      </c>
      <c r="J286" s="95">
        <v>10.083399999999999</v>
      </c>
      <c r="K286" s="96">
        <v>0.38</v>
      </c>
      <c r="L286" s="109">
        <v>16.469000000000001</v>
      </c>
      <c r="M286" s="111">
        <f t="shared" si="57"/>
        <v>2.8014798258920712</v>
      </c>
      <c r="N286" s="112">
        <v>1.6073999999999999</v>
      </c>
      <c r="O286" s="113">
        <f t="shared" si="58"/>
        <v>0.47461796679648094</v>
      </c>
      <c r="P286" s="109">
        <v>247</v>
      </c>
      <c r="Q286" s="111">
        <f t="shared" si="59"/>
        <v>5.5093883366279774</v>
      </c>
      <c r="R286" s="93">
        <v>59.200001</v>
      </c>
      <c r="S286" s="114">
        <v>87.8</v>
      </c>
      <c r="T286" s="113">
        <f t="shared" si="60"/>
        <v>4.475061500641071</v>
      </c>
      <c r="U286" s="112">
        <v>10.199999999999999</v>
      </c>
      <c r="V286" s="113">
        <f t="shared" si="61"/>
        <v>2.3223877202902252</v>
      </c>
      <c r="W286" s="115">
        <v>1400.2</v>
      </c>
      <c r="X286" s="101">
        <f t="shared" si="62"/>
        <v>7.2443703625430969</v>
      </c>
      <c r="Y286" s="116">
        <v>878</v>
      </c>
      <c r="Z286" s="102">
        <v>20938</v>
      </c>
      <c r="AA286" s="235">
        <v>0.48</v>
      </c>
      <c r="AB286" s="117">
        <f t="shared" si="63"/>
        <v>-0.73396917508020043</v>
      </c>
      <c r="AC286" s="115">
        <v>101</v>
      </c>
      <c r="AD286" s="117">
        <f t="shared" si="64"/>
        <v>4.6151205168412597</v>
      </c>
      <c r="AE286" s="109">
        <v>7819.8681999999999</v>
      </c>
      <c r="AF286" s="111">
        <f t="shared" si="65"/>
        <v>8.9644229791773746</v>
      </c>
      <c r="AG286" s="118">
        <v>48</v>
      </c>
      <c r="AH286" s="119">
        <v>16.469000000000001</v>
      </c>
      <c r="AI286" s="120">
        <f t="shared" si="66"/>
        <v>2.8014798258920712</v>
      </c>
      <c r="AJ286" s="121">
        <v>247</v>
      </c>
      <c r="AK286" s="120">
        <f t="shared" si="67"/>
        <v>5.5093883366279774</v>
      </c>
      <c r="AL286" s="108">
        <v>59.2</v>
      </c>
      <c r="AM286" s="119">
        <v>7819.87</v>
      </c>
      <c r="AN286" s="120">
        <f t="shared" si="68"/>
        <v>8.9644232093602554</v>
      </c>
      <c r="AO286" s="96">
        <v>164.99700000000001</v>
      </c>
      <c r="AP286" s="94">
        <v>103.712</v>
      </c>
      <c r="AQ286" s="95">
        <v>4.6416199999999996</v>
      </c>
      <c r="AR286" s="94">
        <v>20.9</v>
      </c>
      <c r="AS286" s="95">
        <f t="shared" si="69"/>
        <v>3.039749158970765</v>
      </c>
      <c r="AT286" s="96">
        <v>54.822000000000003</v>
      </c>
    </row>
    <row r="287" spans="1:46">
      <c r="A287" s="109">
        <v>26</v>
      </c>
      <c r="B287" s="110" t="s">
        <v>3</v>
      </c>
      <c r="C287" s="110" t="s">
        <v>2</v>
      </c>
      <c r="D287" s="111">
        <v>2020</v>
      </c>
      <c r="E287" s="109">
        <v>24.5</v>
      </c>
      <c r="F287" s="111">
        <f t="shared" si="56"/>
        <v>3.1986731175506815</v>
      </c>
      <c r="G287" s="93">
        <v>0.94834099999999999</v>
      </c>
      <c r="H287" s="93">
        <v>510000000</v>
      </c>
      <c r="I287" s="94">
        <v>22811.8</v>
      </c>
      <c r="J287" s="95">
        <v>10.035</v>
      </c>
      <c r="K287" s="96">
        <v>0.34</v>
      </c>
      <c r="L287" s="109">
        <v>16.726998999999999</v>
      </c>
      <c r="M287" s="111">
        <f t="shared" si="57"/>
        <v>2.8170241205462863</v>
      </c>
      <c r="N287" s="112">
        <v>1.5808</v>
      </c>
      <c r="O287" s="113">
        <f t="shared" si="58"/>
        <v>0.45793104801146628</v>
      </c>
      <c r="P287" s="109">
        <v>261</v>
      </c>
      <c r="Q287" s="111">
        <f t="shared" si="59"/>
        <v>5.5645204073226937</v>
      </c>
      <c r="R287" s="93">
        <v>59.299999</v>
      </c>
      <c r="S287" s="114">
        <v>85.6</v>
      </c>
      <c r="T287" s="113">
        <f t="shared" si="60"/>
        <v>4.4496852831476961</v>
      </c>
      <c r="U287" s="112">
        <v>9.9</v>
      </c>
      <c r="V287" s="113">
        <f t="shared" si="61"/>
        <v>2.2925347571405443</v>
      </c>
      <c r="W287" s="115">
        <v>1476.2</v>
      </c>
      <c r="X287" s="101">
        <f t="shared" si="62"/>
        <v>7.2972264973359522</v>
      </c>
      <c r="Y287" s="116">
        <v>757</v>
      </c>
      <c r="Z287" s="102">
        <v>15918</v>
      </c>
      <c r="AA287" s="235">
        <v>0.48</v>
      </c>
      <c r="AB287" s="117">
        <f t="shared" si="63"/>
        <v>-0.73396917508020043</v>
      </c>
      <c r="AC287" s="115">
        <v>99</v>
      </c>
      <c r="AD287" s="117">
        <f t="shared" si="64"/>
        <v>4.5951198501345898</v>
      </c>
      <c r="AE287" s="109">
        <v>8130.0790999999999</v>
      </c>
      <c r="AF287" s="111">
        <f t="shared" si="65"/>
        <v>9.0033259318918208</v>
      </c>
      <c r="AG287" s="118">
        <v>46.2</v>
      </c>
      <c r="AH287" s="119">
        <v>16.727</v>
      </c>
      <c r="AI287" s="120">
        <f t="shared" si="66"/>
        <v>2.8170241803298719</v>
      </c>
      <c r="AJ287" s="121">
        <v>261</v>
      </c>
      <c r="AK287" s="120">
        <f t="shared" si="67"/>
        <v>5.5645204073226937</v>
      </c>
      <c r="AL287" s="108">
        <v>59.3</v>
      </c>
      <c r="AM287" s="119">
        <v>8130.08</v>
      </c>
      <c r="AN287" s="120">
        <f t="shared" si="68"/>
        <v>9.0033260425918442</v>
      </c>
      <c r="AO287" s="96">
        <v>163.07499999999999</v>
      </c>
      <c r="AP287" s="94">
        <v>104.40900000000001</v>
      </c>
      <c r="AQ287" s="95">
        <v>4.6483100000000004</v>
      </c>
      <c r="AR287" s="94">
        <v>22.7</v>
      </c>
      <c r="AS287" s="95">
        <f t="shared" si="69"/>
        <v>3.122364924487357</v>
      </c>
      <c r="AT287" s="96">
        <v>55.118000000000002</v>
      </c>
    </row>
    <row r="288" spans="1:46">
      <c r="A288" s="109">
        <v>27</v>
      </c>
      <c r="B288" s="110" t="s">
        <v>1</v>
      </c>
      <c r="C288" s="110" t="s">
        <v>0</v>
      </c>
      <c r="D288" s="111">
        <v>2010</v>
      </c>
      <c r="E288" s="109">
        <v>19.5</v>
      </c>
      <c r="F288" s="111">
        <f t="shared" si="56"/>
        <v>2.9704144655697009</v>
      </c>
      <c r="G288" s="93">
        <v>2.3222299999999998</v>
      </c>
      <c r="H288" s="93">
        <v>2100000000</v>
      </c>
      <c r="I288" s="94">
        <v>14596.1</v>
      </c>
      <c r="J288" s="95">
        <v>9.5885099999999994</v>
      </c>
      <c r="K288" s="96">
        <v>0.28000000000000003</v>
      </c>
      <c r="L288" s="109">
        <v>14.327</v>
      </c>
      <c r="M288" s="111">
        <f t="shared" si="57"/>
        <v>2.6621458689112352</v>
      </c>
      <c r="N288" s="112">
        <v>0.98750000000000004</v>
      </c>
      <c r="O288" s="113">
        <f t="shared" si="58"/>
        <v>-1.2578782206860073E-2</v>
      </c>
      <c r="P288" s="109">
        <v>461</v>
      </c>
      <c r="Q288" s="111">
        <f t="shared" si="59"/>
        <v>6.1333980429966486</v>
      </c>
      <c r="R288" s="93">
        <v>9.1000004000000008</v>
      </c>
      <c r="S288" s="114">
        <v>87.1</v>
      </c>
      <c r="T288" s="113">
        <f t="shared" si="60"/>
        <v>4.467056883858457</v>
      </c>
      <c r="U288" s="112">
        <v>5</v>
      </c>
      <c r="V288" s="113">
        <f t="shared" si="61"/>
        <v>1.6094379124341003</v>
      </c>
      <c r="W288" s="115">
        <v>100.6</v>
      </c>
      <c r="X288" s="101">
        <f t="shared" si="62"/>
        <v>4.6111522576656387</v>
      </c>
      <c r="Y288" s="116">
        <v>1073</v>
      </c>
      <c r="Z288" s="102">
        <v>50834</v>
      </c>
      <c r="AA288" s="235">
        <v>0</v>
      </c>
      <c r="AB288" s="117">
        <v>0</v>
      </c>
      <c r="AC288" s="115">
        <v>100</v>
      </c>
      <c r="AD288" s="117">
        <f t="shared" si="64"/>
        <v>4.6051701859880918</v>
      </c>
      <c r="AE288" s="109">
        <v>6462.2138999999997</v>
      </c>
      <c r="AF288" s="111">
        <f t="shared" si="65"/>
        <v>8.7737272470436665</v>
      </c>
      <c r="AG288" s="118">
        <v>42.2</v>
      </c>
      <c r="AH288" s="119">
        <v>14.327</v>
      </c>
      <c r="AI288" s="120">
        <f t="shared" si="66"/>
        <v>2.6621458689112352</v>
      </c>
      <c r="AJ288" s="121">
        <v>461</v>
      </c>
      <c r="AK288" s="120">
        <f t="shared" si="67"/>
        <v>6.1333980429966486</v>
      </c>
      <c r="AL288" s="108">
        <v>9.1</v>
      </c>
      <c r="AM288" s="119">
        <v>6462.21</v>
      </c>
      <c r="AN288" s="120">
        <f t="shared" si="68"/>
        <v>8.7737266435351433</v>
      </c>
      <c r="AO288" s="96">
        <v>145.50399999999999</v>
      </c>
      <c r="AP288" s="94">
        <v>112.10899999999999</v>
      </c>
      <c r="AQ288" s="95">
        <v>4.7194700000000003</v>
      </c>
      <c r="AR288" s="94">
        <v>10.3</v>
      </c>
      <c r="AS288" s="95">
        <f t="shared" si="69"/>
        <v>2.33214389523559</v>
      </c>
      <c r="AT288" s="96">
        <v>54.685000000000002</v>
      </c>
    </row>
    <row r="289" spans="1:46">
      <c r="A289" s="109">
        <v>27</v>
      </c>
      <c r="B289" s="110" t="s">
        <v>1</v>
      </c>
      <c r="C289" s="110" t="s">
        <v>0</v>
      </c>
      <c r="D289" s="111">
        <v>2011</v>
      </c>
      <c r="E289" s="109">
        <v>20.5</v>
      </c>
      <c r="F289" s="111">
        <f t="shared" si="56"/>
        <v>3.0204248861443626</v>
      </c>
      <c r="G289" s="93">
        <v>5.4476599999999999</v>
      </c>
      <c r="H289" s="93">
        <v>5400000000</v>
      </c>
      <c r="I289" s="94">
        <v>14950.9</v>
      </c>
      <c r="J289" s="95">
        <v>9.61252</v>
      </c>
      <c r="K289" s="96">
        <v>0.28000000000000003</v>
      </c>
      <c r="L289" s="109">
        <v>13.977</v>
      </c>
      <c r="M289" s="111">
        <f t="shared" si="57"/>
        <v>2.6374131215027696</v>
      </c>
      <c r="N289" s="112">
        <v>1.0016</v>
      </c>
      <c r="O289" s="113">
        <f t="shared" si="58"/>
        <v>1.5987213636970735E-3</v>
      </c>
      <c r="P289" s="109">
        <v>479</v>
      </c>
      <c r="Q289" s="111">
        <f t="shared" si="59"/>
        <v>6.1717005974109149</v>
      </c>
      <c r="R289" s="93">
        <v>10.9</v>
      </c>
      <c r="S289" s="114">
        <v>86.6</v>
      </c>
      <c r="T289" s="113">
        <f t="shared" si="60"/>
        <v>4.4612998155683892</v>
      </c>
      <c r="U289" s="112">
        <v>4.7</v>
      </c>
      <c r="V289" s="113">
        <f t="shared" si="61"/>
        <v>1.547562508716013</v>
      </c>
      <c r="W289" s="115">
        <v>932.4</v>
      </c>
      <c r="X289" s="101">
        <f t="shared" si="62"/>
        <v>6.8377619071616023</v>
      </c>
      <c r="Y289" s="116">
        <v>1070</v>
      </c>
      <c r="Z289" s="102">
        <v>49517</v>
      </c>
      <c r="AA289" s="235">
        <v>0</v>
      </c>
      <c r="AB289" s="117">
        <v>0</v>
      </c>
      <c r="AC289" s="115">
        <v>101</v>
      </c>
      <c r="AD289" s="117">
        <f t="shared" si="64"/>
        <v>4.6151205168412597</v>
      </c>
      <c r="AE289" s="109">
        <v>6393.2007000000003</v>
      </c>
      <c r="AF289" s="111">
        <f t="shared" si="65"/>
        <v>8.7629903139858278</v>
      </c>
      <c r="AG289" s="118">
        <v>41.8</v>
      </c>
      <c r="AH289" s="119">
        <v>13.977</v>
      </c>
      <c r="AI289" s="120">
        <f t="shared" si="66"/>
        <v>2.6374131215027696</v>
      </c>
      <c r="AJ289" s="121">
        <v>479</v>
      </c>
      <c r="AK289" s="120">
        <f t="shared" si="67"/>
        <v>6.1717005974109149</v>
      </c>
      <c r="AL289" s="108">
        <v>10.9</v>
      </c>
      <c r="AM289" s="119">
        <v>6393.2</v>
      </c>
      <c r="AN289" s="120">
        <f t="shared" si="68"/>
        <v>8.7629902044944981</v>
      </c>
      <c r="AO289" s="96">
        <v>160.39599999999999</v>
      </c>
      <c r="AP289" s="94">
        <v>112.261</v>
      </c>
      <c r="AQ289" s="95">
        <v>4.7208199999999998</v>
      </c>
      <c r="AR289" s="94">
        <v>10.4</v>
      </c>
      <c r="AS289" s="95">
        <f t="shared" si="69"/>
        <v>2.341805806147327</v>
      </c>
      <c r="AT289" s="96">
        <v>54.42</v>
      </c>
    </row>
    <row r="290" spans="1:46">
      <c r="A290" s="109">
        <v>27</v>
      </c>
      <c r="B290" s="110" t="s">
        <v>1</v>
      </c>
      <c r="C290" s="110" t="s">
        <v>0</v>
      </c>
      <c r="D290" s="111">
        <v>2012</v>
      </c>
      <c r="E290" s="109">
        <v>21.5</v>
      </c>
      <c r="F290" s="111">
        <f t="shared" si="56"/>
        <v>3.068052935133617</v>
      </c>
      <c r="G290" s="93">
        <v>1.87551</v>
      </c>
      <c r="H290" s="93">
        <v>1800000000</v>
      </c>
      <c r="I290" s="94">
        <v>15159.7</v>
      </c>
      <c r="J290" s="95">
        <v>9.6263900000000007</v>
      </c>
      <c r="K290" s="96">
        <v>0.28000000000000003</v>
      </c>
      <c r="L290" s="109">
        <v>11.624000000000001</v>
      </c>
      <c r="M290" s="111">
        <f t="shared" si="57"/>
        <v>2.4530719262679819</v>
      </c>
      <c r="N290" s="112">
        <v>1.1495</v>
      </c>
      <c r="O290" s="113">
        <f t="shared" si="58"/>
        <v>0.13932706522109917</v>
      </c>
      <c r="P290" s="109">
        <v>491</v>
      </c>
      <c r="Q290" s="111">
        <f t="shared" si="59"/>
        <v>6.1964441277945204</v>
      </c>
      <c r="R290" s="93">
        <v>13.4</v>
      </c>
      <c r="S290" s="114">
        <v>87.8</v>
      </c>
      <c r="T290" s="113">
        <f t="shared" si="60"/>
        <v>4.475061500641071</v>
      </c>
      <c r="U290" s="112">
        <v>4</v>
      </c>
      <c r="V290" s="113">
        <f t="shared" si="61"/>
        <v>1.3862943611198906</v>
      </c>
      <c r="W290" s="115">
        <v>819.5</v>
      </c>
      <c r="X290" s="101">
        <f t="shared" si="62"/>
        <v>6.7086943981838845</v>
      </c>
      <c r="Y290" s="116">
        <v>1121</v>
      </c>
      <c r="Z290" s="102">
        <v>43835</v>
      </c>
      <c r="AA290" s="235">
        <v>0.41</v>
      </c>
      <c r="AB290" s="117">
        <f t="shared" si="63"/>
        <v>-0.89159811928378363</v>
      </c>
      <c r="AC290" s="115">
        <v>97</v>
      </c>
      <c r="AD290" s="117">
        <f t="shared" si="64"/>
        <v>4.5747109785033828</v>
      </c>
      <c r="AE290" s="109">
        <v>6034.7772999999997</v>
      </c>
      <c r="AF290" s="111">
        <f t="shared" si="65"/>
        <v>8.7052942314423074</v>
      </c>
      <c r="AG290" s="118">
        <v>44.2</v>
      </c>
      <c r="AH290" s="119">
        <v>11.624000000000001</v>
      </c>
      <c r="AI290" s="120">
        <f t="shared" si="66"/>
        <v>2.4530719262679819</v>
      </c>
      <c r="AJ290" s="121">
        <v>491</v>
      </c>
      <c r="AK290" s="120">
        <f t="shared" si="67"/>
        <v>6.1964441277945204</v>
      </c>
      <c r="AL290" s="108">
        <v>13.4</v>
      </c>
      <c r="AM290" s="119">
        <v>6034.78</v>
      </c>
      <c r="AN290" s="120">
        <f t="shared" si="68"/>
        <v>8.7052946788489418</v>
      </c>
      <c r="AO290" s="96">
        <v>166.97300000000001</v>
      </c>
      <c r="AP290" s="94">
        <v>112.452</v>
      </c>
      <c r="AQ290" s="95">
        <v>4.7225200000000003</v>
      </c>
      <c r="AR290" s="94">
        <v>10.5</v>
      </c>
      <c r="AS290" s="95">
        <f t="shared" si="69"/>
        <v>2.3513752571634776</v>
      </c>
      <c r="AT290" s="96">
        <v>54.28</v>
      </c>
    </row>
    <row r="291" spans="1:46">
      <c r="A291" s="109">
        <v>27</v>
      </c>
      <c r="B291" s="110" t="s">
        <v>1</v>
      </c>
      <c r="C291" s="110" t="s">
        <v>0</v>
      </c>
      <c r="D291" s="111">
        <v>2013</v>
      </c>
      <c r="E291" s="109">
        <v>21.5</v>
      </c>
      <c r="F291" s="111">
        <f t="shared" si="56"/>
        <v>3.068052935133617</v>
      </c>
      <c r="G291" s="93">
        <v>1.01267</v>
      </c>
      <c r="H291" s="93">
        <v>1000000000</v>
      </c>
      <c r="I291" s="94">
        <v>15249.9</v>
      </c>
      <c r="J291" s="95">
        <v>9.6323299999999996</v>
      </c>
      <c r="K291" s="96">
        <v>0.28999999999999998</v>
      </c>
      <c r="L291" s="109">
        <v>11.773</v>
      </c>
      <c r="M291" s="111">
        <f t="shared" si="57"/>
        <v>2.4658087740960597</v>
      </c>
      <c r="N291" s="112">
        <v>1.2014</v>
      </c>
      <c r="O291" s="113">
        <f t="shared" si="58"/>
        <v>0.18348754343392401</v>
      </c>
      <c r="P291" s="109">
        <v>488</v>
      </c>
      <c r="Q291" s="111">
        <f t="shared" si="59"/>
        <v>6.1903154058531475</v>
      </c>
      <c r="R291" s="93">
        <v>10.8</v>
      </c>
      <c r="S291" s="114">
        <v>85.1</v>
      </c>
      <c r="T291" s="113">
        <f t="shared" si="60"/>
        <v>4.4438270355793286</v>
      </c>
      <c r="U291" s="112">
        <v>4.5</v>
      </c>
      <c r="V291" s="113">
        <f t="shared" si="61"/>
        <v>1.5040773967762742</v>
      </c>
      <c r="W291" s="115">
        <v>473.4</v>
      </c>
      <c r="X291" s="101">
        <f t="shared" si="62"/>
        <v>6.1599406970798833</v>
      </c>
      <c r="Y291" s="116">
        <v>1064</v>
      </c>
      <c r="Z291" s="102">
        <v>43909</v>
      </c>
      <c r="AA291" s="235">
        <v>0.18</v>
      </c>
      <c r="AB291" s="117">
        <f t="shared" si="63"/>
        <v>-1.7147984280919266</v>
      </c>
      <c r="AC291" s="115">
        <v>100</v>
      </c>
      <c r="AD291" s="117">
        <f t="shared" si="64"/>
        <v>4.6051701859880918</v>
      </c>
      <c r="AE291" s="109">
        <v>6212.3353999999999</v>
      </c>
      <c r="AF291" s="111">
        <f t="shared" si="65"/>
        <v>8.7342921750840681</v>
      </c>
      <c r="AG291" s="118">
        <v>45.8</v>
      </c>
      <c r="AH291" s="119">
        <v>11.773</v>
      </c>
      <c r="AI291" s="120">
        <f t="shared" si="66"/>
        <v>2.4658087740960597</v>
      </c>
      <c r="AJ291" s="121">
        <v>488</v>
      </c>
      <c r="AK291" s="120">
        <f t="shared" si="67"/>
        <v>6.1903154058531475</v>
      </c>
      <c r="AL291" s="108">
        <v>10.8</v>
      </c>
      <c r="AM291" s="119">
        <v>6212.34</v>
      </c>
      <c r="AN291" s="120">
        <f t="shared" si="68"/>
        <v>8.7342929155460673</v>
      </c>
      <c r="AO291" s="96">
        <v>169.08</v>
      </c>
      <c r="AP291" s="94">
        <v>112.57299999999999</v>
      </c>
      <c r="AQ291" s="95">
        <v>4.7236000000000002</v>
      </c>
      <c r="AR291" s="94">
        <v>10.7</v>
      </c>
      <c r="AS291" s="95">
        <f t="shared" si="69"/>
        <v>2.3702437414678603</v>
      </c>
      <c r="AT291" s="96">
        <v>54.14</v>
      </c>
    </row>
    <row r="292" spans="1:46">
      <c r="A292" s="109">
        <v>27</v>
      </c>
      <c r="B292" s="110" t="s">
        <v>1</v>
      </c>
      <c r="C292" s="110" t="s">
        <v>0</v>
      </c>
      <c r="D292" s="111">
        <v>2014</v>
      </c>
      <c r="E292" s="109">
        <v>20.5</v>
      </c>
      <c r="F292" s="111">
        <f t="shared" si="56"/>
        <v>3.0204248861443626</v>
      </c>
      <c r="G292" s="93">
        <v>-0.35680299999999998</v>
      </c>
      <c r="H292" s="93">
        <v>-360000000</v>
      </c>
      <c r="I292" s="94">
        <v>15647.6</v>
      </c>
      <c r="J292" s="95">
        <v>9.65808</v>
      </c>
      <c r="K292" s="96">
        <v>0.28999999999999998</v>
      </c>
      <c r="L292" s="109">
        <v>12.504</v>
      </c>
      <c r="M292" s="111">
        <f t="shared" si="57"/>
        <v>2.5260485931191754</v>
      </c>
      <c r="N292" s="112">
        <v>1.1218999999999999</v>
      </c>
      <c r="O292" s="113">
        <f t="shared" si="58"/>
        <v>0.11502367656878186</v>
      </c>
      <c r="P292" s="109">
        <v>485</v>
      </c>
      <c r="Q292" s="111">
        <f t="shared" si="59"/>
        <v>6.1841488909374833</v>
      </c>
      <c r="R292" s="93">
        <v>10.4</v>
      </c>
      <c r="S292" s="114">
        <v>90.7</v>
      </c>
      <c r="T292" s="113">
        <f t="shared" si="60"/>
        <v>4.5075573571210912</v>
      </c>
      <c r="U292" s="112">
        <v>4.8</v>
      </c>
      <c r="V292" s="113">
        <f t="shared" si="61"/>
        <v>1.5686159179138452</v>
      </c>
      <c r="W292" s="115">
        <v>361.6</v>
      </c>
      <c r="X292" s="101">
        <f t="shared" si="62"/>
        <v>5.8905386285180219</v>
      </c>
      <c r="Y292" s="116">
        <v>762</v>
      </c>
      <c r="Z292" s="102">
        <v>42938</v>
      </c>
      <c r="AA292" s="235">
        <v>0.25</v>
      </c>
      <c r="AB292" s="117">
        <f t="shared" si="63"/>
        <v>-1.3862943611198906</v>
      </c>
      <c r="AC292" s="115">
        <v>101</v>
      </c>
      <c r="AD292" s="117">
        <f t="shared" si="64"/>
        <v>4.6151205168412597</v>
      </c>
      <c r="AE292" s="109">
        <v>6309.8076000000001</v>
      </c>
      <c r="AF292" s="111">
        <f t="shared" si="65"/>
        <v>8.7498604637867139</v>
      </c>
      <c r="AG292" s="118">
        <v>42</v>
      </c>
      <c r="AH292" s="119">
        <v>12.504</v>
      </c>
      <c r="AI292" s="120">
        <f t="shared" si="66"/>
        <v>2.5260485931191754</v>
      </c>
      <c r="AJ292" s="121">
        <v>485</v>
      </c>
      <c r="AK292" s="120">
        <f t="shared" si="67"/>
        <v>6.1841488909374833</v>
      </c>
      <c r="AL292" s="108">
        <v>10.4</v>
      </c>
      <c r="AM292" s="119">
        <v>6309.81</v>
      </c>
      <c r="AN292" s="120">
        <f t="shared" si="68"/>
        <v>8.749860844146891</v>
      </c>
      <c r="AO292" s="96">
        <v>164.95</v>
      </c>
      <c r="AP292" s="94">
        <v>112.70099999999999</v>
      </c>
      <c r="AQ292" s="95">
        <v>4.7247399999999997</v>
      </c>
      <c r="AR292" s="94">
        <v>12.2</v>
      </c>
      <c r="AS292" s="95">
        <f t="shared" si="69"/>
        <v>2.5014359517392109</v>
      </c>
      <c r="AT292" s="96">
        <v>54</v>
      </c>
    </row>
    <row r="293" spans="1:46">
      <c r="A293" s="109">
        <v>27</v>
      </c>
      <c r="B293" s="110" t="s">
        <v>1</v>
      </c>
      <c r="C293" s="110" t="s">
        <v>0</v>
      </c>
      <c r="D293" s="111">
        <v>2015</v>
      </c>
      <c r="E293" s="109">
        <v>21.6</v>
      </c>
      <c r="F293" s="111">
        <f t="shared" si="56"/>
        <v>3.0726933146901194</v>
      </c>
      <c r="G293" s="93">
        <v>1.7048700000000001</v>
      </c>
      <c r="H293" s="93">
        <v>1500000000</v>
      </c>
      <c r="I293" s="94">
        <v>16442.099999999999</v>
      </c>
      <c r="J293" s="95">
        <v>9.7075999999999993</v>
      </c>
      <c r="K293" s="96">
        <v>0.28999999999999998</v>
      </c>
      <c r="L293" s="109">
        <v>13.084</v>
      </c>
      <c r="M293" s="111">
        <f t="shared" si="57"/>
        <v>2.5713901096761376</v>
      </c>
      <c r="N293" s="112">
        <v>1.1835</v>
      </c>
      <c r="O293" s="113">
        <f t="shared" si="58"/>
        <v>0.16847614997190158</v>
      </c>
      <c r="P293" s="109">
        <v>472</v>
      </c>
      <c r="Q293" s="111">
        <f t="shared" si="59"/>
        <v>6.156978985585555</v>
      </c>
      <c r="R293" s="93">
        <v>14.9</v>
      </c>
      <c r="S293" s="114">
        <v>86.7</v>
      </c>
      <c r="T293" s="113">
        <f t="shared" si="60"/>
        <v>4.4624538837864964</v>
      </c>
      <c r="U293" s="112">
        <v>5</v>
      </c>
      <c r="V293" s="113">
        <f t="shared" si="61"/>
        <v>1.6094379124341003</v>
      </c>
      <c r="W293" s="115">
        <v>764.6</v>
      </c>
      <c r="X293" s="101">
        <f t="shared" si="62"/>
        <v>6.6393528212623121</v>
      </c>
      <c r="Y293" s="116">
        <v>855</v>
      </c>
      <c r="Z293" s="102">
        <v>44737</v>
      </c>
      <c r="AA293" s="235">
        <v>0.78</v>
      </c>
      <c r="AB293" s="117">
        <f t="shared" si="63"/>
        <v>-0.24846135929849961</v>
      </c>
      <c r="AC293" s="115">
        <v>97</v>
      </c>
      <c r="AD293" s="117">
        <f t="shared" si="64"/>
        <v>4.5747109785033828</v>
      </c>
      <c r="AE293" s="109">
        <v>6464.9062999999996</v>
      </c>
      <c r="AF293" s="111">
        <f t="shared" si="65"/>
        <v>8.7741437976747871</v>
      </c>
      <c r="AG293" s="118">
        <v>42.4</v>
      </c>
      <c r="AH293" s="119">
        <v>13.084</v>
      </c>
      <c r="AI293" s="120">
        <f t="shared" si="66"/>
        <v>2.5713901096761376</v>
      </c>
      <c r="AJ293" s="121">
        <v>472</v>
      </c>
      <c r="AK293" s="120">
        <f t="shared" si="67"/>
        <v>6.156978985585555</v>
      </c>
      <c r="AL293" s="108">
        <v>14.9</v>
      </c>
      <c r="AM293" s="119">
        <v>6464.91</v>
      </c>
      <c r="AN293" s="120">
        <f t="shared" si="68"/>
        <v>8.7741443699953692</v>
      </c>
      <c r="AO293" s="96">
        <v>165.94</v>
      </c>
      <c r="AP293" s="94">
        <v>112.803</v>
      </c>
      <c r="AQ293" s="95">
        <v>4.7256400000000003</v>
      </c>
      <c r="AR293" s="94">
        <v>13.4</v>
      </c>
      <c r="AS293" s="95">
        <f t="shared" si="69"/>
        <v>2.5952547069568657</v>
      </c>
      <c r="AT293" s="96">
        <v>53.889000000000003</v>
      </c>
    </row>
    <row r="294" spans="1:46">
      <c r="A294" s="109">
        <v>27</v>
      </c>
      <c r="B294" s="110" t="s">
        <v>1</v>
      </c>
      <c r="C294" s="110" t="s">
        <v>0</v>
      </c>
      <c r="D294" s="111">
        <v>2016</v>
      </c>
      <c r="E294" s="109">
        <v>20.6</v>
      </c>
      <c r="F294" s="111">
        <f t="shared" si="56"/>
        <v>3.0252910757955354</v>
      </c>
      <c r="G294" s="93">
        <v>5.2777099999999999</v>
      </c>
      <c r="H294" s="93">
        <v>4800000000</v>
      </c>
      <c r="I294" s="94">
        <v>16740.7</v>
      </c>
      <c r="J294" s="95">
        <v>9.7256</v>
      </c>
      <c r="K294" s="96">
        <v>0.28999999999999998</v>
      </c>
      <c r="L294" s="109">
        <v>13.548</v>
      </c>
      <c r="M294" s="111">
        <f t="shared" si="57"/>
        <v>2.6062389349555253</v>
      </c>
      <c r="N294" s="112">
        <v>1.2133</v>
      </c>
      <c r="O294" s="113">
        <f t="shared" si="58"/>
        <v>0.19334392007569032</v>
      </c>
      <c r="P294" s="109">
        <v>441</v>
      </c>
      <c r="Q294" s="111">
        <f t="shared" si="59"/>
        <v>6.089044875446846</v>
      </c>
      <c r="R294" s="93">
        <v>23</v>
      </c>
      <c r="S294" s="114">
        <v>89.4</v>
      </c>
      <c r="T294" s="113">
        <f t="shared" si="60"/>
        <v>4.4931206821794687</v>
      </c>
      <c r="U294" s="112">
        <v>5.2</v>
      </c>
      <c r="V294" s="113">
        <f t="shared" si="61"/>
        <v>1.6486586255873816</v>
      </c>
      <c r="W294" s="115">
        <v>1020.4</v>
      </c>
      <c r="X294" s="101">
        <f t="shared" si="62"/>
        <v>6.9279499862676559</v>
      </c>
      <c r="Y294" s="116">
        <v>922</v>
      </c>
      <c r="Z294" s="102">
        <v>45547</v>
      </c>
      <c r="AA294" s="235">
        <v>0</v>
      </c>
      <c r="AB294" s="117">
        <v>0</v>
      </c>
      <c r="AC294" s="115">
        <v>107</v>
      </c>
      <c r="AD294" s="117">
        <f t="shared" si="64"/>
        <v>4.6728288344619058</v>
      </c>
      <c r="AE294" s="109">
        <v>6496.6972999999998</v>
      </c>
      <c r="AF294" s="111">
        <f t="shared" si="65"/>
        <v>8.7790492190609637</v>
      </c>
      <c r="AG294" s="118">
        <v>42.5</v>
      </c>
      <c r="AH294" s="119">
        <v>13.548</v>
      </c>
      <c r="AI294" s="120">
        <f t="shared" si="66"/>
        <v>2.6062389349555253</v>
      </c>
      <c r="AJ294" s="121">
        <v>441</v>
      </c>
      <c r="AK294" s="120">
        <f t="shared" si="67"/>
        <v>6.089044875446846</v>
      </c>
      <c r="AL294" s="108">
        <v>23</v>
      </c>
      <c r="AM294" s="119">
        <v>6496.7</v>
      </c>
      <c r="AN294" s="120">
        <f t="shared" si="68"/>
        <v>8.7790496346566602</v>
      </c>
      <c r="AO294" s="96">
        <v>167.952</v>
      </c>
      <c r="AP294" s="94">
        <v>112.953</v>
      </c>
      <c r="AQ294" s="95">
        <v>4.7269699999999997</v>
      </c>
      <c r="AR294" s="94">
        <v>13.1</v>
      </c>
      <c r="AS294" s="95">
        <f t="shared" si="69"/>
        <v>2.5726122302071057</v>
      </c>
      <c r="AT294" s="96">
        <v>53.805999999999997</v>
      </c>
    </row>
    <row r="295" spans="1:46">
      <c r="A295" s="109">
        <v>27</v>
      </c>
      <c r="B295" s="110" t="s">
        <v>1</v>
      </c>
      <c r="C295" s="110" t="s">
        <v>0</v>
      </c>
      <c r="D295" s="111">
        <v>2017</v>
      </c>
      <c r="E295" s="109">
        <v>21.5</v>
      </c>
      <c r="F295" s="111">
        <f t="shared" si="56"/>
        <v>3.068052935133617</v>
      </c>
      <c r="G295" s="93">
        <v>4.3998600000000003</v>
      </c>
      <c r="H295" s="93">
        <v>4200000000</v>
      </c>
      <c r="I295" s="94">
        <v>17195.3</v>
      </c>
      <c r="J295" s="95">
        <v>9.7523900000000001</v>
      </c>
      <c r="K295" s="96">
        <v>0.28999999999999998</v>
      </c>
      <c r="L295" s="109">
        <v>13.75</v>
      </c>
      <c r="M295" s="111">
        <f t="shared" si="57"/>
        <v>2.6210388241125804</v>
      </c>
      <c r="N295" s="112">
        <v>1.2091000000000001</v>
      </c>
      <c r="O295" s="113">
        <f t="shared" si="58"/>
        <v>0.18987628119806405</v>
      </c>
      <c r="P295" s="109">
        <v>453</v>
      </c>
      <c r="Q295" s="111">
        <f t="shared" si="59"/>
        <v>6.1158921254830343</v>
      </c>
      <c r="R295" s="93">
        <v>29.799999</v>
      </c>
      <c r="S295" s="114">
        <v>88.6</v>
      </c>
      <c r="T295" s="113">
        <f t="shared" si="60"/>
        <v>4.4841318576110352</v>
      </c>
      <c r="U295" s="112">
        <v>4.9000000000000004</v>
      </c>
      <c r="V295" s="113">
        <f t="shared" si="61"/>
        <v>1.589235205116581</v>
      </c>
      <c r="W295" s="115">
        <v>1425.9</v>
      </c>
      <c r="X295" s="101">
        <f t="shared" si="62"/>
        <v>7.2625584722880738</v>
      </c>
      <c r="Y295" s="116">
        <v>1011</v>
      </c>
      <c r="Z295" s="102">
        <v>47036</v>
      </c>
      <c r="AA295" s="235">
        <v>0.42</v>
      </c>
      <c r="AB295" s="117">
        <f t="shared" si="63"/>
        <v>-0.86750056770472306</v>
      </c>
      <c r="AC295" s="115">
        <v>112</v>
      </c>
      <c r="AD295" s="117">
        <f t="shared" si="64"/>
        <v>4.7184988712950942</v>
      </c>
      <c r="AE295" s="109">
        <v>6105.1812</v>
      </c>
      <c r="AF295" s="111">
        <f t="shared" si="65"/>
        <v>8.7168930666940252</v>
      </c>
      <c r="AG295" s="118">
        <v>42.9</v>
      </c>
      <c r="AH295" s="119">
        <v>13.75</v>
      </c>
      <c r="AI295" s="120">
        <f t="shared" si="66"/>
        <v>2.6210388241125804</v>
      </c>
      <c r="AJ295" s="121">
        <v>453</v>
      </c>
      <c r="AK295" s="120">
        <f t="shared" si="67"/>
        <v>6.1158921254830343</v>
      </c>
      <c r="AL295" s="108">
        <v>29.8</v>
      </c>
      <c r="AM295" s="119">
        <v>6105.18</v>
      </c>
      <c r="AN295" s="120">
        <f t="shared" si="68"/>
        <v>8.7168928701396435</v>
      </c>
      <c r="AO295" s="96">
        <v>171.946</v>
      </c>
      <c r="AP295" s="94">
        <v>113.129</v>
      </c>
      <c r="AQ295" s="95">
        <v>4.7285300000000001</v>
      </c>
      <c r="AR295" s="94">
        <v>12.4</v>
      </c>
      <c r="AS295" s="95">
        <f t="shared" si="69"/>
        <v>2.5176964726109912</v>
      </c>
      <c r="AT295" s="96">
        <v>53.750999999999998</v>
      </c>
    </row>
    <row r="296" spans="1:46">
      <c r="A296" s="109">
        <v>27</v>
      </c>
      <c r="B296" s="110" t="s">
        <v>1</v>
      </c>
      <c r="C296" s="110" t="s">
        <v>0</v>
      </c>
      <c r="D296" s="111">
        <v>2018</v>
      </c>
      <c r="E296" s="109">
        <v>21.8</v>
      </c>
      <c r="F296" s="111">
        <f t="shared" si="56"/>
        <v>3.0819099697950434</v>
      </c>
      <c r="G296" s="93">
        <v>2.1126999999999998</v>
      </c>
      <c r="H296" s="93">
        <v>2300000000</v>
      </c>
      <c r="I296" s="94">
        <v>17869</v>
      </c>
      <c r="J296" s="95">
        <v>9.7908200000000001</v>
      </c>
      <c r="K296" s="96">
        <v>0.28999999999999998</v>
      </c>
      <c r="L296" s="109">
        <v>14.824999999999999</v>
      </c>
      <c r="M296" s="111">
        <f t="shared" si="57"/>
        <v>2.6963149448837891</v>
      </c>
      <c r="N296" s="112">
        <v>1.1894</v>
      </c>
      <c r="O296" s="113">
        <f t="shared" si="58"/>
        <v>0.17344897829035627</v>
      </c>
      <c r="P296" s="109">
        <v>454</v>
      </c>
      <c r="Q296" s="111">
        <f t="shared" si="59"/>
        <v>6.1180971980413483</v>
      </c>
      <c r="R296" s="93">
        <v>36.299999</v>
      </c>
      <c r="S296" s="114">
        <v>88.9</v>
      </c>
      <c r="T296" s="113">
        <f t="shared" si="60"/>
        <v>4.4875121425198587</v>
      </c>
      <c r="U296" s="112">
        <v>4.7</v>
      </c>
      <c r="V296" s="113">
        <f t="shared" si="61"/>
        <v>1.547562508716013</v>
      </c>
      <c r="W296" s="115">
        <v>1422.9</v>
      </c>
      <c r="X296" s="101">
        <f t="shared" si="62"/>
        <v>7.2604523215516457</v>
      </c>
      <c r="Y296" s="116">
        <v>1165</v>
      </c>
      <c r="Z296" s="102">
        <v>49438</v>
      </c>
      <c r="AA296" s="235">
        <v>0.28000000000000003</v>
      </c>
      <c r="AB296" s="117">
        <f t="shared" si="63"/>
        <v>-1.2729656758128873</v>
      </c>
      <c r="AC296" s="115">
        <v>114</v>
      </c>
      <c r="AD296" s="117">
        <f t="shared" si="64"/>
        <v>4.7361984483944957</v>
      </c>
      <c r="AE296" s="109">
        <v>5581.2358000000004</v>
      </c>
      <c r="AF296" s="111">
        <f t="shared" si="65"/>
        <v>8.6271655003886494</v>
      </c>
      <c r="AG296" s="118">
        <v>43</v>
      </c>
      <c r="AH296" s="119">
        <v>14.824999999999999</v>
      </c>
      <c r="AI296" s="120">
        <f t="shared" si="66"/>
        <v>2.6963149448837891</v>
      </c>
      <c r="AJ296" s="121">
        <v>454</v>
      </c>
      <c r="AK296" s="120">
        <f t="shared" si="67"/>
        <v>6.1180971980413483</v>
      </c>
      <c r="AL296" s="108">
        <v>36.299999999999997</v>
      </c>
      <c r="AM296" s="119">
        <v>5581.24</v>
      </c>
      <c r="AN296" s="120">
        <f t="shared" si="68"/>
        <v>8.6271662529098787</v>
      </c>
      <c r="AO296" s="96">
        <v>174.77199999999999</v>
      </c>
      <c r="AP296" s="94">
        <v>113.286</v>
      </c>
      <c r="AQ296" s="95">
        <v>4.7299100000000003</v>
      </c>
      <c r="AR296" s="94">
        <v>12.4</v>
      </c>
      <c r="AS296" s="95">
        <f t="shared" si="69"/>
        <v>2.5176964726109912</v>
      </c>
      <c r="AT296" s="96">
        <v>53.725999999999999</v>
      </c>
    </row>
    <row r="297" spans="1:46">
      <c r="A297" s="109">
        <v>27</v>
      </c>
      <c r="B297" s="110" t="s">
        <v>1</v>
      </c>
      <c r="C297" s="110" t="s">
        <v>0</v>
      </c>
      <c r="D297" s="111">
        <v>2019</v>
      </c>
      <c r="E297" s="109">
        <v>22.5</v>
      </c>
      <c r="F297" s="111">
        <f t="shared" si="56"/>
        <v>3.1135153092103742</v>
      </c>
      <c r="G297" s="93">
        <v>2.15395</v>
      </c>
      <c r="H297" s="93">
        <v>2300000000</v>
      </c>
      <c r="I297" s="94">
        <v>18251</v>
      </c>
      <c r="J297" s="95">
        <v>9.8119700000000005</v>
      </c>
      <c r="K297" s="96">
        <v>0.28999999999999998</v>
      </c>
      <c r="L297" s="109">
        <v>13.602</v>
      </c>
      <c r="M297" s="111">
        <f t="shared" si="57"/>
        <v>2.6102168407534472</v>
      </c>
      <c r="N297" s="112">
        <v>1.3387</v>
      </c>
      <c r="O297" s="113">
        <f t="shared" si="58"/>
        <v>0.29169899380971498</v>
      </c>
      <c r="P297" s="109">
        <v>455</v>
      </c>
      <c r="Q297" s="111">
        <f t="shared" si="59"/>
        <v>6.1202974189509503</v>
      </c>
      <c r="R297" s="93">
        <v>38.5</v>
      </c>
      <c r="S297" s="114">
        <v>91.2</v>
      </c>
      <c r="T297" s="113">
        <f t="shared" si="60"/>
        <v>4.513054897080286</v>
      </c>
      <c r="U297" s="112">
        <v>8.3000000000000007</v>
      </c>
      <c r="V297" s="113">
        <f t="shared" si="61"/>
        <v>2.1162555148025524</v>
      </c>
      <c r="W297" s="115">
        <v>1560.6</v>
      </c>
      <c r="X297" s="101">
        <f t="shared" si="62"/>
        <v>7.352825641682661</v>
      </c>
      <c r="Y297" s="116">
        <v>1200</v>
      </c>
      <c r="Z297" s="102">
        <v>48995</v>
      </c>
      <c r="AA297" s="235">
        <v>0.67</v>
      </c>
      <c r="AB297" s="117">
        <f t="shared" si="63"/>
        <v>-0.40047756659712525</v>
      </c>
      <c r="AC297" s="115">
        <v>115</v>
      </c>
      <c r="AD297" s="117">
        <f t="shared" si="64"/>
        <v>4.7449321283632502</v>
      </c>
      <c r="AE297" s="109">
        <v>5057.2905000000001</v>
      </c>
      <c r="AF297" s="111">
        <f t="shared" si="65"/>
        <v>8.5285861445556428</v>
      </c>
      <c r="AG297" s="118">
        <v>44</v>
      </c>
      <c r="AH297" s="119">
        <v>13.602</v>
      </c>
      <c r="AI297" s="120">
        <f t="shared" si="66"/>
        <v>2.6102168407534472</v>
      </c>
      <c r="AJ297" s="121">
        <v>455</v>
      </c>
      <c r="AK297" s="120">
        <f t="shared" si="67"/>
        <v>6.1202974189509503</v>
      </c>
      <c r="AL297" s="108">
        <v>38.5</v>
      </c>
      <c r="AM297" s="119">
        <v>0</v>
      </c>
      <c r="AN297" s="120">
        <v>0</v>
      </c>
      <c r="AO297" s="96">
        <v>169.59899999999999</v>
      </c>
      <c r="AP297" s="94">
        <v>113.43899999999999</v>
      </c>
      <c r="AQ297" s="95">
        <v>4.7312700000000003</v>
      </c>
      <c r="AR297" s="94">
        <v>17.600000000000001</v>
      </c>
      <c r="AS297" s="95">
        <f t="shared" si="69"/>
        <v>2.8678989020441064</v>
      </c>
      <c r="AT297" s="96">
        <v>53.728999999999999</v>
      </c>
    </row>
    <row r="298" spans="1:46">
      <c r="A298" s="122">
        <v>27</v>
      </c>
      <c r="B298" s="123" t="s">
        <v>1</v>
      </c>
      <c r="C298" s="123" t="s">
        <v>0</v>
      </c>
      <c r="D298" s="124">
        <v>2020</v>
      </c>
      <c r="E298" s="122">
        <v>23</v>
      </c>
      <c r="F298" s="124">
        <f t="shared" si="56"/>
        <v>3.1354942159291497</v>
      </c>
      <c r="G298" s="93">
        <v>-1.05976</v>
      </c>
      <c r="H298" s="93">
        <v>-1100000000</v>
      </c>
      <c r="I298" s="125">
        <v>17763.900000000001</v>
      </c>
      <c r="J298" s="126">
        <v>9.7849199999999996</v>
      </c>
      <c r="K298" s="127">
        <v>0.28999999999999998</v>
      </c>
      <c r="L298" s="122">
        <v>12.706</v>
      </c>
      <c r="M298" s="124">
        <f t="shared" si="57"/>
        <v>2.5420743228443414</v>
      </c>
      <c r="N298" s="128">
        <v>1.3376999999999999</v>
      </c>
      <c r="O298" s="129">
        <f t="shared" si="58"/>
        <v>0.2909517213194035</v>
      </c>
      <c r="P298" s="122">
        <v>443</v>
      </c>
      <c r="Q298" s="124">
        <f t="shared" si="59"/>
        <v>6.0935697700451357</v>
      </c>
      <c r="R298" s="93">
        <v>45.299999</v>
      </c>
      <c r="S298" s="130">
        <v>92.6</v>
      </c>
      <c r="T298" s="129">
        <f t="shared" si="60"/>
        <v>4.5282891416521336</v>
      </c>
      <c r="U298" s="128">
        <v>10.3</v>
      </c>
      <c r="V298" s="129">
        <f t="shared" si="61"/>
        <v>2.33214389523559</v>
      </c>
      <c r="W298" s="131">
        <v>1296.5</v>
      </c>
      <c r="X298" s="132">
        <f t="shared" si="62"/>
        <v>7.167423604978719</v>
      </c>
      <c r="Y298" s="133">
        <v>1125</v>
      </c>
      <c r="Z298" s="102">
        <v>51486</v>
      </c>
      <c r="AA298" s="236">
        <v>0</v>
      </c>
      <c r="AB298" s="134">
        <v>0</v>
      </c>
      <c r="AC298" s="131">
        <v>120</v>
      </c>
      <c r="AD298" s="134">
        <f t="shared" si="64"/>
        <v>4.7874917427820458</v>
      </c>
      <c r="AE298" s="122">
        <v>4533.3451999999997</v>
      </c>
      <c r="AF298" s="124">
        <f t="shared" si="65"/>
        <v>8.4192154006996667</v>
      </c>
      <c r="AG298" s="135">
        <v>42.7</v>
      </c>
      <c r="AH298" s="136">
        <v>12.706</v>
      </c>
      <c r="AI298" s="137">
        <f t="shared" si="66"/>
        <v>2.5420743228443414</v>
      </c>
      <c r="AJ298" s="138">
        <v>443</v>
      </c>
      <c r="AK298" s="137">
        <f t="shared" si="67"/>
        <v>6.0935697700451357</v>
      </c>
      <c r="AL298" s="108">
        <v>45.3</v>
      </c>
      <c r="AM298" s="136">
        <v>0</v>
      </c>
      <c r="AN298" s="137">
        <v>0</v>
      </c>
      <c r="AO298" s="127">
        <v>158.75700000000001</v>
      </c>
      <c r="AP298" s="125">
        <v>113.536</v>
      </c>
      <c r="AQ298" s="126">
        <v>4.7321200000000001</v>
      </c>
      <c r="AR298" s="125">
        <v>17.600000000000001</v>
      </c>
      <c r="AS298" s="126">
        <f t="shared" si="69"/>
        <v>2.8678989020441064</v>
      </c>
      <c r="AT298" s="96">
        <v>53.76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2010-2020 (2)</vt:lpstr>
      <vt:lpstr>24_1_2025</vt:lpstr>
      <vt:lpstr>From stata</vt:lpstr>
      <vt:lpstr>Sheet4</vt:lpstr>
      <vt:lpstr>Sheet2</vt:lpstr>
      <vt:lpstr>loginexcel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Phan Bao Tran</dc:creator>
  <cp:lastModifiedBy>Microsoft Office User</cp:lastModifiedBy>
  <dcterms:created xsi:type="dcterms:W3CDTF">2025-01-07T17:06:18Z</dcterms:created>
  <dcterms:modified xsi:type="dcterms:W3CDTF">2025-01-24T13:33:30Z</dcterms:modified>
</cp:coreProperties>
</file>